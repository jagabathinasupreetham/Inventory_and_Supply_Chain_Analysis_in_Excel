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993E\EXCELCNV\878d0d20-d7d0-4df2-9e4b-6328a26e3a9a\"/>
    </mc:Choice>
  </mc:AlternateContent>
  <xr:revisionPtr revIDLastSave="0" documentId="8_{75957D15-ABBA-4AAA-A980-29FC5C7E6249}" xr6:coauthVersionLast="47" xr6:coauthVersionMax="47" xr10:uidLastSave="{00000000-0000-0000-0000-000000000000}"/>
  <bookViews>
    <workbookView xWindow="-60" yWindow="-60" windowWidth="15480" windowHeight="11640" firstSheet="7" activeTab="6" xr2:uid="{82C6C094-2E74-4BDC-80E6-B2EFDC255A33}"/>
  </bookViews>
  <sheets>
    <sheet name="validation" sheetId="2" r:id="rId1"/>
    <sheet name="analysis" sheetId="3" r:id="rId2"/>
    <sheet name="inventory value by warehouse" sheetId="5" r:id="rId3"/>
    <sheet name="inventory value by category" sheetId="6" r:id="rId4"/>
    <sheet name="record status" sheetId="7" r:id="rId5"/>
    <sheet name="inventory month value" sheetId="8" r:id="rId6"/>
    <sheet name="in" sheetId="1" r:id="rId7"/>
    <sheet name="dashboard" sheetId="9" r:id="rId8"/>
  </sheets>
  <calcPr calcId="191028"/>
  <pivotCaches>
    <pivotCache cacheId="404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9" l="1"/>
  <c r="G3" i="9"/>
  <c r="E3" i="9"/>
  <c r="C3" i="9"/>
  <c r="B8" i="3"/>
  <c r="I4" i="9" s="1"/>
  <c r="B7" i="3"/>
  <c r="G4" i="9" s="1"/>
  <c r="B6" i="3"/>
  <c r="E4" i="9" s="1"/>
  <c r="B5" i="3"/>
  <c r="C4" i="9" s="1"/>
  <c r="B4" i="3"/>
  <c r="A4" i="9" s="1"/>
  <c r="S1001" i="2"/>
  <c r="S1000" i="2"/>
  <c r="S999" i="2"/>
  <c r="S998" i="2"/>
  <c r="S997" i="2"/>
  <c r="S996" i="2"/>
  <c r="S995" i="2"/>
  <c r="S994" i="2"/>
  <c r="S993" i="2"/>
  <c r="S992" i="2"/>
  <c r="S991" i="2"/>
  <c r="S990" i="2"/>
  <c r="S989" i="2"/>
  <c r="S988" i="2"/>
  <c r="S987" i="2"/>
  <c r="S986" i="2"/>
  <c r="S985" i="2"/>
  <c r="S984" i="2"/>
  <c r="S983" i="2"/>
  <c r="S982" i="2"/>
  <c r="S981" i="2"/>
  <c r="S980" i="2"/>
  <c r="S979" i="2"/>
  <c r="S978" i="2"/>
  <c r="S977" i="2"/>
  <c r="S976" i="2"/>
  <c r="S975" i="2"/>
  <c r="S974" i="2"/>
  <c r="S973" i="2"/>
  <c r="S972" i="2"/>
  <c r="S971" i="2"/>
  <c r="S970" i="2"/>
  <c r="S969" i="2"/>
  <c r="S968" i="2"/>
  <c r="S967" i="2"/>
  <c r="S966" i="2"/>
  <c r="S965" i="2"/>
  <c r="S964" i="2"/>
  <c r="S963" i="2"/>
  <c r="S962" i="2"/>
  <c r="S961" i="2"/>
  <c r="S960" i="2"/>
  <c r="S959" i="2"/>
  <c r="S958" i="2"/>
  <c r="S957" i="2"/>
  <c r="S956" i="2"/>
  <c r="S955" i="2"/>
  <c r="S954" i="2"/>
  <c r="S953" i="2"/>
  <c r="S952" i="2"/>
  <c r="S951" i="2"/>
  <c r="S950" i="2"/>
  <c r="S949" i="2"/>
  <c r="S948" i="2"/>
  <c r="S947" i="2"/>
  <c r="S946" i="2"/>
  <c r="S945" i="2"/>
  <c r="S944" i="2"/>
  <c r="S943" i="2"/>
  <c r="S942" i="2"/>
  <c r="S941" i="2"/>
  <c r="S940" i="2"/>
  <c r="S939" i="2"/>
  <c r="S938" i="2"/>
  <c r="S937" i="2"/>
  <c r="S936" i="2"/>
  <c r="S935" i="2"/>
  <c r="S934" i="2"/>
  <c r="S933" i="2"/>
  <c r="S932" i="2"/>
  <c r="S931" i="2"/>
  <c r="S930" i="2"/>
  <c r="S929" i="2"/>
  <c r="S928" i="2"/>
  <c r="S927" i="2"/>
  <c r="S926" i="2"/>
  <c r="S925" i="2"/>
  <c r="S924" i="2"/>
  <c r="S923" i="2"/>
  <c r="S922" i="2"/>
  <c r="S921" i="2"/>
  <c r="S920" i="2"/>
  <c r="S919" i="2"/>
  <c r="S918" i="2"/>
  <c r="S917" i="2"/>
  <c r="S916" i="2"/>
  <c r="S915" i="2"/>
  <c r="S914" i="2"/>
  <c r="S913" i="2"/>
  <c r="S912" i="2"/>
  <c r="S911" i="2"/>
  <c r="S910" i="2"/>
  <c r="S909" i="2"/>
  <c r="S908" i="2"/>
  <c r="S907" i="2"/>
  <c r="S906" i="2"/>
  <c r="S905" i="2"/>
  <c r="S904" i="2"/>
  <c r="S903" i="2"/>
  <c r="S902" i="2"/>
  <c r="S901" i="2"/>
  <c r="S900" i="2"/>
  <c r="S899" i="2"/>
  <c r="S898" i="2"/>
  <c r="S897" i="2"/>
  <c r="S896" i="2"/>
  <c r="S895" i="2"/>
  <c r="S894" i="2"/>
  <c r="S893" i="2"/>
  <c r="S892" i="2"/>
  <c r="S891" i="2"/>
  <c r="S890" i="2"/>
  <c r="S889" i="2"/>
  <c r="S888" i="2"/>
  <c r="S887" i="2"/>
  <c r="S886" i="2"/>
  <c r="S885" i="2"/>
  <c r="S884" i="2"/>
  <c r="S883" i="2"/>
  <c r="S882" i="2"/>
  <c r="S881" i="2"/>
  <c r="S880" i="2"/>
  <c r="S879" i="2"/>
  <c r="S878" i="2"/>
  <c r="S877" i="2"/>
  <c r="S876" i="2"/>
  <c r="S875" i="2"/>
  <c r="S874" i="2"/>
  <c r="S873" i="2"/>
  <c r="S872" i="2"/>
  <c r="S871" i="2"/>
  <c r="S870" i="2"/>
  <c r="S869" i="2"/>
  <c r="S868" i="2"/>
  <c r="S867" i="2"/>
  <c r="S866" i="2"/>
  <c r="S865" i="2"/>
  <c r="S864" i="2"/>
  <c r="S863" i="2"/>
  <c r="S862" i="2"/>
  <c r="S861" i="2"/>
  <c r="S860" i="2"/>
  <c r="S859" i="2"/>
  <c r="S858" i="2"/>
  <c r="S857" i="2"/>
  <c r="S856" i="2"/>
  <c r="S855" i="2"/>
  <c r="S854" i="2"/>
  <c r="S853" i="2"/>
  <c r="S852" i="2"/>
  <c r="S851" i="2"/>
  <c r="S850" i="2"/>
  <c r="S849" i="2"/>
  <c r="S848" i="2"/>
  <c r="S847" i="2"/>
  <c r="S846" i="2"/>
  <c r="S845" i="2"/>
  <c r="S844" i="2"/>
  <c r="S843" i="2"/>
  <c r="S842" i="2"/>
  <c r="S841" i="2"/>
  <c r="S840" i="2"/>
  <c r="S839" i="2"/>
  <c r="S838" i="2"/>
  <c r="S837" i="2"/>
  <c r="S836" i="2"/>
  <c r="S835" i="2"/>
  <c r="S834" i="2"/>
  <c r="S833" i="2"/>
  <c r="S832" i="2"/>
  <c r="S831" i="2"/>
  <c r="S830" i="2"/>
  <c r="S829" i="2"/>
  <c r="S828" i="2"/>
  <c r="S827" i="2"/>
  <c r="S826" i="2"/>
  <c r="S825" i="2"/>
  <c r="S824" i="2"/>
  <c r="S823" i="2"/>
  <c r="S822" i="2"/>
  <c r="S821" i="2"/>
  <c r="S820" i="2"/>
  <c r="S819" i="2"/>
  <c r="S818" i="2"/>
  <c r="S817" i="2"/>
  <c r="S816" i="2"/>
  <c r="S815" i="2"/>
  <c r="S814" i="2"/>
  <c r="S813" i="2"/>
  <c r="S812" i="2"/>
  <c r="S811" i="2"/>
  <c r="S810" i="2"/>
  <c r="S809" i="2"/>
  <c r="S808" i="2"/>
  <c r="S807" i="2"/>
  <c r="S806" i="2"/>
  <c r="S805" i="2"/>
  <c r="S804" i="2"/>
  <c r="S803" i="2"/>
  <c r="S802" i="2"/>
  <c r="S801" i="2"/>
  <c r="S800" i="2"/>
  <c r="S799" i="2"/>
  <c r="S798" i="2"/>
  <c r="S797" i="2"/>
  <c r="S796" i="2"/>
  <c r="S795" i="2"/>
  <c r="S794" i="2"/>
  <c r="S793" i="2"/>
  <c r="S792" i="2"/>
  <c r="S791" i="2"/>
  <c r="S790" i="2"/>
  <c r="S789" i="2"/>
  <c r="S788" i="2"/>
  <c r="S787" i="2"/>
  <c r="S786" i="2"/>
  <c r="S785" i="2"/>
  <c r="S784" i="2"/>
  <c r="S783" i="2"/>
  <c r="S782" i="2"/>
  <c r="S781" i="2"/>
  <c r="S780" i="2"/>
  <c r="S779" i="2"/>
  <c r="S778" i="2"/>
  <c r="S777" i="2"/>
  <c r="S776" i="2"/>
  <c r="S775" i="2"/>
  <c r="S774" i="2"/>
  <c r="S773" i="2"/>
  <c r="S772" i="2"/>
  <c r="S771" i="2"/>
  <c r="S770" i="2"/>
  <c r="S769" i="2"/>
  <c r="S768" i="2"/>
  <c r="S767" i="2"/>
  <c r="S766" i="2"/>
  <c r="S765" i="2"/>
  <c r="S764" i="2"/>
  <c r="S763" i="2"/>
  <c r="S762" i="2"/>
  <c r="S761" i="2"/>
  <c r="S760" i="2"/>
  <c r="S759" i="2"/>
  <c r="S758" i="2"/>
  <c r="S757" i="2"/>
  <c r="S756" i="2"/>
  <c r="S755" i="2"/>
  <c r="S754" i="2"/>
  <c r="S753" i="2"/>
  <c r="S752" i="2"/>
  <c r="S751" i="2"/>
  <c r="S750" i="2"/>
  <c r="S749" i="2"/>
  <c r="S748" i="2"/>
  <c r="S747" i="2"/>
  <c r="S746" i="2"/>
  <c r="S745" i="2"/>
  <c r="S744" i="2"/>
  <c r="S743" i="2"/>
  <c r="S742" i="2"/>
  <c r="S741" i="2"/>
  <c r="S740" i="2"/>
  <c r="S739" i="2"/>
  <c r="S738" i="2"/>
  <c r="S737" i="2"/>
  <c r="S736" i="2"/>
  <c r="S735" i="2"/>
  <c r="S734" i="2"/>
  <c r="S733" i="2"/>
  <c r="S732" i="2"/>
  <c r="S731" i="2"/>
  <c r="S730" i="2"/>
  <c r="S729" i="2"/>
  <c r="S728" i="2"/>
  <c r="S727" i="2"/>
  <c r="S726" i="2"/>
  <c r="S725" i="2"/>
  <c r="S724" i="2"/>
  <c r="S723" i="2"/>
  <c r="S722" i="2"/>
  <c r="S721" i="2"/>
  <c r="S720" i="2"/>
  <c r="S719" i="2"/>
  <c r="S718" i="2"/>
  <c r="S717" i="2"/>
  <c r="S716" i="2"/>
  <c r="S715" i="2"/>
  <c r="S714" i="2"/>
  <c r="S713" i="2"/>
  <c r="S712" i="2"/>
  <c r="S711" i="2"/>
  <c r="S710" i="2"/>
  <c r="S709" i="2"/>
  <c r="S708" i="2"/>
  <c r="S707" i="2"/>
  <c r="S706" i="2"/>
  <c r="S705" i="2"/>
  <c r="S704" i="2"/>
  <c r="S703" i="2"/>
  <c r="S702" i="2"/>
  <c r="S701" i="2"/>
  <c r="S700" i="2"/>
  <c r="S699" i="2"/>
  <c r="S698" i="2"/>
  <c r="S697" i="2"/>
  <c r="S696" i="2"/>
  <c r="S695" i="2"/>
  <c r="S694" i="2"/>
  <c r="S693" i="2"/>
  <c r="S692" i="2"/>
  <c r="S691" i="2"/>
  <c r="S690" i="2"/>
  <c r="S689" i="2"/>
  <c r="S688" i="2"/>
  <c r="S687" i="2"/>
  <c r="S686" i="2"/>
  <c r="S685" i="2"/>
  <c r="S684" i="2"/>
  <c r="S683" i="2"/>
  <c r="S682" i="2"/>
  <c r="S681" i="2"/>
  <c r="S680" i="2"/>
  <c r="S679" i="2"/>
  <c r="S678" i="2"/>
  <c r="S677" i="2"/>
  <c r="S676" i="2"/>
  <c r="S675" i="2"/>
  <c r="S674" i="2"/>
  <c r="S673" i="2"/>
  <c r="S672" i="2"/>
  <c r="S671" i="2"/>
  <c r="S670" i="2"/>
  <c r="S669" i="2"/>
  <c r="S668" i="2"/>
  <c r="S667" i="2"/>
  <c r="S666" i="2"/>
  <c r="S665" i="2"/>
  <c r="S664" i="2"/>
  <c r="S663" i="2"/>
  <c r="S662" i="2"/>
  <c r="S661" i="2"/>
  <c r="S660" i="2"/>
  <c r="S659" i="2"/>
  <c r="S658" i="2"/>
  <c r="S657" i="2"/>
  <c r="S656" i="2"/>
  <c r="S655" i="2"/>
  <c r="S654" i="2"/>
  <c r="S653" i="2"/>
  <c r="S652" i="2"/>
  <c r="S651" i="2"/>
  <c r="S650" i="2"/>
  <c r="S649" i="2"/>
  <c r="S648" i="2"/>
  <c r="S647" i="2"/>
  <c r="S646" i="2"/>
  <c r="S645" i="2"/>
  <c r="S644" i="2"/>
  <c r="S643" i="2"/>
  <c r="S642" i="2"/>
  <c r="S641" i="2"/>
  <c r="S640" i="2"/>
  <c r="S639" i="2"/>
  <c r="S638" i="2"/>
  <c r="S637" i="2"/>
  <c r="S636" i="2"/>
  <c r="S635" i="2"/>
  <c r="S634" i="2"/>
  <c r="S633" i="2"/>
  <c r="S632" i="2"/>
  <c r="S631" i="2"/>
  <c r="S630" i="2"/>
  <c r="S629" i="2"/>
  <c r="S628" i="2"/>
  <c r="S627" i="2"/>
  <c r="S626" i="2"/>
  <c r="S625" i="2"/>
  <c r="S624" i="2"/>
  <c r="S623" i="2"/>
  <c r="S622" i="2"/>
  <c r="S621" i="2"/>
  <c r="S620" i="2"/>
  <c r="S619" i="2"/>
  <c r="S618" i="2"/>
  <c r="S617" i="2"/>
  <c r="S616" i="2"/>
  <c r="S615" i="2"/>
  <c r="S614" i="2"/>
  <c r="S613" i="2"/>
  <c r="S612" i="2"/>
  <c r="S611" i="2"/>
  <c r="S610" i="2"/>
  <c r="S609" i="2"/>
  <c r="S608" i="2"/>
  <c r="S607" i="2"/>
  <c r="S606" i="2"/>
  <c r="S605" i="2"/>
  <c r="S604" i="2"/>
  <c r="S603" i="2"/>
  <c r="S602" i="2"/>
  <c r="S601" i="2"/>
  <c r="S600" i="2"/>
  <c r="S599" i="2"/>
  <c r="S598" i="2"/>
  <c r="S597" i="2"/>
  <c r="S596" i="2"/>
  <c r="S595" i="2"/>
  <c r="S594" i="2"/>
  <c r="S593" i="2"/>
  <c r="S592" i="2"/>
  <c r="S591" i="2"/>
  <c r="S590" i="2"/>
  <c r="S589" i="2"/>
  <c r="S588" i="2"/>
  <c r="S587" i="2"/>
  <c r="S586" i="2"/>
  <c r="S585" i="2"/>
  <c r="S584" i="2"/>
  <c r="S583" i="2"/>
  <c r="S582" i="2"/>
  <c r="S581" i="2"/>
  <c r="S580" i="2"/>
  <c r="S579" i="2"/>
  <c r="S578" i="2"/>
  <c r="S577" i="2"/>
  <c r="S576" i="2"/>
  <c r="S575" i="2"/>
  <c r="S574" i="2"/>
  <c r="S573" i="2"/>
  <c r="S572" i="2"/>
  <c r="S571" i="2"/>
  <c r="S570" i="2"/>
  <c r="S569" i="2"/>
  <c r="S568" i="2"/>
  <c r="S567" i="2"/>
  <c r="S566" i="2"/>
  <c r="S565" i="2"/>
  <c r="S564" i="2"/>
  <c r="S563" i="2"/>
  <c r="S562" i="2"/>
  <c r="S561" i="2"/>
  <c r="S560" i="2"/>
  <c r="S559" i="2"/>
  <c r="S558" i="2"/>
  <c r="S557" i="2"/>
  <c r="S556" i="2"/>
  <c r="S555" i="2"/>
  <c r="S554" i="2"/>
  <c r="S553" i="2"/>
  <c r="S552" i="2"/>
  <c r="S551" i="2"/>
  <c r="S550" i="2"/>
  <c r="S549" i="2"/>
  <c r="S548" i="2"/>
  <c r="S547" i="2"/>
  <c r="S546" i="2"/>
  <c r="S545" i="2"/>
  <c r="S544" i="2"/>
  <c r="S543" i="2"/>
  <c r="S542" i="2"/>
  <c r="S541" i="2"/>
  <c r="S540" i="2"/>
  <c r="S539" i="2"/>
  <c r="S538" i="2"/>
  <c r="S537" i="2"/>
  <c r="S536" i="2"/>
  <c r="S535" i="2"/>
  <c r="S534" i="2"/>
  <c r="S533" i="2"/>
  <c r="S532" i="2"/>
  <c r="S531" i="2"/>
  <c r="S530" i="2"/>
  <c r="S529" i="2"/>
  <c r="S528" i="2"/>
  <c r="S527" i="2"/>
  <c r="S526" i="2"/>
  <c r="S525" i="2"/>
  <c r="S524" i="2"/>
  <c r="S523" i="2"/>
  <c r="S522" i="2"/>
  <c r="S521" i="2"/>
  <c r="S520" i="2"/>
  <c r="S519" i="2"/>
  <c r="S518" i="2"/>
  <c r="S517" i="2"/>
  <c r="S516" i="2"/>
  <c r="S515" i="2"/>
  <c r="S514" i="2"/>
  <c r="S513" i="2"/>
  <c r="S512" i="2"/>
  <c r="S511" i="2"/>
  <c r="S510" i="2"/>
  <c r="S509" i="2"/>
  <c r="S508" i="2"/>
  <c r="S507" i="2"/>
  <c r="S506" i="2"/>
  <c r="S505" i="2"/>
  <c r="S504" i="2"/>
  <c r="S503" i="2"/>
  <c r="S502" i="2"/>
  <c r="S501" i="2"/>
  <c r="S500" i="2"/>
  <c r="S499" i="2"/>
  <c r="S498" i="2"/>
  <c r="S497" i="2"/>
  <c r="S496" i="2"/>
  <c r="S495" i="2"/>
  <c r="S494" i="2"/>
  <c r="S493" i="2"/>
  <c r="S492" i="2"/>
  <c r="S491" i="2"/>
  <c r="S490" i="2"/>
  <c r="S489" i="2"/>
  <c r="S488" i="2"/>
  <c r="S487" i="2"/>
  <c r="S486" i="2"/>
  <c r="S485" i="2"/>
  <c r="S484" i="2"/>
  <c r="S483" i="2"/>
  <c r="S482" i="2"/>
  <c r="S481" i="2"/>
  <c r="S480" i="2"/>
  <c r="S479" i="2"/>
  <c r="S478" i="2"/>
  <c r="S477" i="2"/>
  <c r="S476" i="2"/>
  <c r="S475" i="2"/>
  <c r="S474" i="2"/>
  <c r="S473" i="2"/>
  <c r="S472" i="2"/>
  <c r="S471" i="2"/>
  <c r="S470" i="2"/>
  <c r="S469" i="2"/>
  <c r="S468" i="2"/>
  <c r="S467" i="2"/>
  <c r="S466" i="2"/>
  <c r="S465" i="2"/>
  <c r="S464" i="2"/>
  <c r="S463" i="2"/>
  <c r="S462" i="2"/>
  <c r="S461" i="2"/>
  <c r="S460" i="2"/>
  <c r="S459" i="2"/>
  <c r="S458" i="2"/>
  <c r="S457" i="2"/>
  <c r="S456" i="2"/>
  <c r="S455" i="2"/>
  <c r="S454" i="2"/>
  <c r="S453" i="2"/>
  <c r="S452" i="2"/>
  <c r="S451" i="2"/>
  <c r="S450" i="2"/>
  <c r="S449" i="2"/>
  <c r="S448" i="2"/>
  <c r="S447" i="2"/>
  <c r="S446" i="2"/>
  <c r="S445" i="2"/>
  <c r="S444" i="2"/>
  <c r="S443" i="2"/>
  <c r="S442" i="2"/>
  <c r="S441" i="2"/>
  <c r="S440" i="2"/>
  <c r="S439" i="2"/>
  <c r="S438" i="2"/>
  <c r="S437" i="2"/>
  <c r="S436" i="2"/>
  <c r="S435" i="2"/>
  <c r="S434" i="2"/>
  <c r="S433" i="2"/>
  <c r="S432" i="2"/>
  <c r="S431" i="2"/>
  <c r="S430" i="2"/>
  <c r="S429" i="2"/>
  <c r="S428" i="2"/>
  <c r="S427" i="2"/>
  <c r="S426" i="2"/>
  <c r="S425" i="2"/>
  <c r="S424" i="2"/>
  <c r="S423" i="2"/>
  <c r="S422" i="2"/>
  <c r="S421" i="2"/>
  <c r="S420" i="2"/>
  <c r="S419" i="2"/>
  <c r="S418" i="2"/>
  <c r="S417" i="2"/>
  <c r="S416" i="2"/>
  <c r="S415" i="2"/>
  <c r="S414" i="2"/>
  <c r="S413" i="2"/>
  <c r="S412" i="2"/>
  <c r="S411" i="2"/>
  <c r="S410" i="2"/>
  <c r="S409" i="2"/>
  <c r="S408" i="2"/>
  <c r="S407" i="2"/>
  <c r="S406" i="2"/>
  <c r="S405" i="2"/>
  <c r="S404" i="2"/>
  <c r="S403" i="2"/>
  <c r="S402" i="2"/>
  <c r="S401" i="2"/>
  <c r="S400" i="2"/>
  <c r="S399" i="2"/>
  <c r="S398" i="2"/>
  <c r="S397" i="2"/>
  <c r="S396" i="2"/>
  <c r="S395" i="2"/>
  <c r="S394" i="2"/>
  <c r="S393" i="2"/>
  <c r="S392" i="2"/>
  <c r="S391" i="2"/>
  <c r="S390" i="2"/>
  <c r="S389" i="2"/>
  <c r="S388" i="2"/>
  <c r="S387" i="2"/>
  <c r="S386" i="2"/>
  <c r="S385" i="2"/>
  <c r="S384" i="2"/>
  <c r="S383" i="2"/>
  <c r="S382" i="2"/>
  <c r="S381" i="2"/>
  <c r="S380" i="2"/>
  <c r="S379" i="2"/>
  <c r="S378" i="2"/>
  <c r="S377" i="2"/>
  <c r="S376" i="2"/>
  <c r="S375" i="2"/>
  <c r="S374" i="2"/>
  <c r="S373" i="2"/>
  <c r="S372" i="2"/>
  <c r="S371" i="2"/>
  <c r="S370" i="2"/>
  <c r="S369" i="2"/>
  <c r="S368" i="2"/>
  <c r="S367" i="2"/>
  <c r="S366" i="2"/>
  <c r="S365" i="2"/>
  <c r="S364" i="2"/>
  <c r="S363" i="2"/>
  <c r="S362" i="2"/>
  <c r="S361" i="2"/>
  <c r="S360" i="2"/>
  <c r="S359" i="2"/>
  <c r="S358" i="2"/>
  <c r="S357" i="2"/>
  <c r="S356" i="2"/>
  <c r="S355" i="2"/>
  <c r="S354" i="2"/>
  <c r="S353" i="2"/>
  <c r="S352" i="2"/>
  <c r="S351" i="2"/>
  <c r="S350" i="2"/>
  <c r="S349" i="2"/>
  <c r="S348" i="2"/>
  <c r="S347" i="2"/>
  <c r="S346" i="2"/>
  <c r="S345" i="2"/>
  <c r="S344" i="2"/>
  <c r="S343" i="2"/>
  <c r="S342" i="2"/>
  <c r="S341" i="2"/>
  <c r="S340" i="2"/>
  <c r="S339" i="2"/>
  <c r="S338" i="2"/>
  <c r="S337" i="2"/>
  <c r="S336" i="2"/>
  <c r="S335" i="2"/>
  <c r="S334" i="2"/>
  <c r="S333" i="2"/>
  <c r="S332" i="2"/>
  <c r="S331" i="2"/>
  <c r="S330" i="2"/>
  <c r="S329" i="2"/>
  <c r="S328" i="2"/>
  <c r="S327" i="2"/>
  <c r="S326" i="2"/>
  <c r="S325" i="2"/>
  <c r="S324" i="2"/>
  <c r="S323" i="2"/>
  <c r="S322" i="2"/>
  <c r="S321" i="2"/>
  <c r="S320" i="2"/>
  <c r="S319" i="2"/>
  <c r="S318" i="2"/>
  <c r="S317" i="2"/>
  <c r="S316" i="2"/>
  <c r="S315" i="2"/>
  <c r="S314" i="2"/>
  <c r="S313" i="2"/>
  <c r="S312" i="2"/>
  <c r="S311" i="2"/>
  <c r="S310" i="2"/>
  <c r="S309" i="2"/>
  <c r="S308" i="2"/>
  <c r="S307" i="2"/>
  <c r="S306" i="2"/>
  <c r="S305" i="2"/>
  <c r="S304" i="2"/>
  <c r="S303" i="2"/>
  <c r="S302" i="2"/>
  <c r="S301" i="2"/>
  <c r="S300" i="2"/>
  <c r="S299" i="2"/>
  <c r="S298" i="2"/>
  <c r="S297" i="2"/>
  <c r="S296" i="2"/>
  <c r="S295" i="2"/>
  <c r="S294" i="2"/>
  <c r="S293" i="2"/>
  <c r="S292" i="2"/>
  <c r="S291" i="2"/>
  <c r="S290" i="2"/>
  <c r="S289" i="2"/>
  <c r="S288" i="2"/>
  <c r="S287" i="2"/>
  <c r="S286" i="2"/>
  <c r="S285" i="2"/>
  <c r="S284" i="2"/>
  <c r="S283" i="2"/>
  <c r="S282" i="2"/>
  <c r="S281" i="2"/>
  <c r="S280" i="2"/>
  <c r="S279" i="2"/>
  <c r="S278" i="2"/>
  <c r="S277" i="2"/>
  <c r="S276" i="2"/>
  <c r="S275" i="2"/>
  <c r="S274" i="2"/>
  <c r="S273" i="2"/>
  <c r="S272" i="2"/>
  <c r="S271" i="2"/>
  <c r="S270" i="2"/>
  <c r="S269" i="2"/>
  <c r="S268" i="2"/>
  <c r="S267" i="2"/>
  <c r="S266" i="2"/>
  <c r="S265" i="2"/>
  <c r="S264" i="2"/>
  <c r="S263" i="2"/>
  <c r="S262" i="2"/>
  <c r="S261" i="2"/>
  <c r="S260" i="2"/>
  <c r="S259" i="2"/>
  <c r="S258" i="2"/>
  <c r="S257" i="2"/>
  <c r="S256" i="2"/>
  <c r="S255" i="2"/>
  <c r="S254" i="2"/>
  <c r="S253" i="2"/>
  <c r="S252" i="2"/>
  <c r="S251" i="2"/>
  <c r="S250" i="2"/>
  <c r="S249" i="2"/>
  <c r="S248" i="2"/>
  <c r="S247" i="2"/>
  <c r="S246" i="2"/>
  <c r="S245" i="2"/>
  <c r="S244" i="2"/>
  <c r="S243" i="2"/>
  <c r="S242" i="2"/>
  <c r="S241" i="2"/>
  <c r="S240" i="2"/>
  <c r="S239" i="2"/>
  <c r="S238" i="2"/>
  <c r="S237" i="2"/>
  <c r="S236" i="2"/>
  <c r="S235" i="2"/>
  <c r="S234" i="2"/>
  <c r="S233" i="2"/>
  <c r="S232" i="2"/>
  <c r="S231" i="2"/>
  <c r="S230" i="2"/>
  <c r="S229" i="2"/>
  <c r="S228" i="2"/>
  <c r="S227" i="2"/>
  <c r="S226" i="2"/>
  <c r="S225" i="2"/>
  <c r="S224" i="2"/>
  <c r="S223" i="2"/>
  <c r="S222" i="2"/>
  <c r="S221" i="2"/>
  <c r="S220" i="2"/>
  <c r="S219" i="2"/>
  <c r="S218" i="2"/>
  <c r="S217" i="2"/>
  <c r="S216" i="2"/>
  <c r="S215" i="2"/>
  <c r="S214" i="2"/>
  <c r="S213" i="2"/>
  <c r="S212" i="2"/>
  <c r="S211" i="2"/>
  <c r="S210" i="2"/>
  <c r="S209" i="2"/>
  <c r="S208" i="2"/>
  <c r="S207" i="2"/>
  <c r="S206" i="2"/>
  <c r="S205" i="2"/>
  <c r="S204" i="2"/>
  <c r="S203" i="2"/>
  <c r="S202" i="2"/>
  <c r="S201" i="2"/>
  <c r="S200" i="2"/>
  <c r="S199" i="2"/>
  <c r="S198" i="2"/>
  <c r="S197" i="2"/>
  <c r="S196" i="2"/>
  <c r="S195" i="2"/>
  <c r="S194" i="2"/>
  <c r="S193" i="2"/>
  <c r="S192" i="2"/>
  <c r="S191" i="2"/>
  <c r="S190" i="2"/>
  <c r="S189" i="2"/>
  <c r="S188" i="2"/>
  <c r="S187" i="2"/>
  <c r="S186" i="2"/>
  <c r="S185" i="2"/>
  <c r="S184" i="2"/>
  <c r="S183" i="2"/>
  <c r="S182" i="2"/>
  <c r="S181" i="2"/>
  <c r="S180" i="2"/>
  <c r="S179" i="2"/>
  <c r="S178" i="2"/>
  <c r="S177" i="2"/>
  <c r="S176" i="2"/>
  <c r="S175" i="2"/>
  <c r="S174" i="2"/>
  <c r="S173" i="2"/>
  <c r="S172" i="2"/>
  <c r="S171" i="2"/>
  <c r="S170" i="2"/>
  <c r="S169" i="2"/>
  <c r="S168" i="2"/>
  <c r="S167" i="2"/>
  <c r="S166" i="2"/>
  <c r="S165" i="2"/>
  <c r="S164" i="2"/>
  <c r="S163" i="2"/>
  <c r="S162" i="2"/>
  <c r="S161" i="2"/>
  <c r="S160" i="2"/>
  <c r="S159" i="2"/>
  <c r="S158" i="2"/>
  <c r="S157" i="2"/>
  <c r="S156" i="2"/>
  <c r="S155" i="2"/>
  <c r="S154" i="2"/>
  <c r="S153" i="2"/>
  <c r="S152" i="2"/>
  <c r="S151" i="2"/>
  <c r="S150" i="2"/>
  <c r="S149" i="2"/>
  <c r="S148" i="2"/>
  <c r="S147" i="2"/>
  <c r="S146" i="2"/>
  <c r="S145" i="2"/>
  <c r="S144" i="2"/>
  <c r="S143" i="2"/>
  <c r="S142" i="2"/>
  <c r="S141" i="2"/>
  <c r="S140" i="2"/>
  <c r="S139" i="2"/>
  <c r="S138" i="2"/>
  <c r="S137" i="2"/>
  <c r="S136" i="2"/>
  <c r="S135" i="2"/>
  <c r="S134" i="2"/>
  <c r="S133" i="2"/>
  <c r="S132" i="2"/>
  <c r="S131" i="2"/>
  <c r="S130" i="2"/>
  <c r="S129" i="2"/>
  <c r="S128" i="2"/>
  <c r="S127" i="2"/>
  <c r="S126" i="2"/>
  <c r="S125" i="2"/>
  <c r="S124" i="2"/>
  <c r="S123" i="2"/>
  <c r="S122" i="2"/>
  <c r="S121" i="2"/>
  <c r="S120" i="2"/>
  <c r="S119" i="2"/>
  <c r="S118" i="2"/>
  <c r="S117" i="2"/>
  <c r="S116" i="2"/>
  <c r="S115" i="2"/>
  <c r="S114" i="2"/>
  <c r="S113" i="2"/>
  <c r="S112" i="2"/>
  <c r="S111" i="2"/>
  <c r="S110" i="2"/>
  <c r="S109" i="2"/>
  <c r="S108" i="2"/>
  <c r="S107" i="2"/>
  <c r="S106" i="2"/>
  <c r="S105" i="2"/>
  <c r="S104" i="2"/>
  <c r="S103" i="2"/>
  <c r="S102" i="2"/>
  <c r="S101" i="2"/>
  <c r="S100" i="2"/>
  <c r="S99" i="2"/>
  <c r="S98" i="2"/>
  <c r="S97" i="2"/>
  <c r="S96" i="2"/>
  <c r="S95" i="2"/>
  <c r="S94" i="2"/>
  <c r="S93" i="2"/>
  <c r="S92" i="2"/>
  <c r="S91" i="2"/>
  <c r="S90" i="2"/>
  <c r="S89" i="2"/>
  <c r="S88" i="2"/>
  <c r="S87" i="2"/>
  <c r="S86" i="2"/>
  <c r="S85" i="2"/>
  <c r="S84" i="2"/>
  <c r="S83" i="2"/>
  <c r="S82" i="2"/>
  <c r="S81" i="2"/>
  <c r="S80" i="2"/>
  <c r="S79" i="2"/>
  <c r="S78" i="2"/>
  <c r="S77" i="2"/>
  <c r="S76" i="2"/>
  <c r="S75" i="2"/>
  <c r="S74" i="2"/>
  <c r="S73" i="2"/>
  <c r="S72" i="2"/>
  <c r="S71" i="2"/>
  <c r="S70" i="2"/>
  <c r="S69" i="2"/>
  <c r="S68" i="2"/>
  <c r="S67" i="2"/>
  <c r="S66" i="2"/>
  <c r="S65" i="2"/>
  <c r="S64" i="2"/>
  <c r="S63" i="2"/>
  <c r="S62" i="2"/>
  <c r="S61" i="2"/>
  <c r="S60" i="2"/>
  <c r="S59" i="2"/>
  <c r="S58" i="2"/>
  <c r="S57" i="2"/>
  <c r="S56" i="2"/>
  <c r="S55" i="2"/>
  <c r="S54" i="2"/>
  <c r="S53" i="2"/>
  <c r="S52" i="2"/>
  <c r="S51" i="2"/>
  <c r="S50" i="2"/>
  <c r="S49" i="2"/>
  <c r="S48" i="2"/>
  <c r="S47" i="2"/>
  <c r="S46" i="2"/>
  <c r="S45" i="2"/>
  <c r="S44" i="2"/>
  <c r="S43" i="2"/>
  <c r="S42" i="2"/>
  <c r="S41" i="2"/>
  <c r="S40" i="2"/>
  <c r="S39" i="2"/>
  <c r="S38" i="2"/>
  <c r="S37" i="2"/>
  <c r="S36" i="2"/>
  <c r="S35" i="2"/>
  <c r="S34" i="2"/>
  <c r="S33" i="2"/>
  <c r="S32" i="2"/>
  <c r="S31" i="2"/>
  <c r="S30" i="2"/>
  <c r="S29" i="2"/>
  <c r="S28" i="2"/>
  <c r="S27" i="2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S11" i="2"/>
  <c r="S10" i="2"/>
  <c r="S9" i="2"/>
  <c r="S8" i="2"/>
  <c r="S7" i="2"/>
  <c r="S6" i="2"/>
  <c r="S5" i="2"/>
  <c r="S4" i="2"/>
  <c r="S3" i="2"/>
  <c r="S2" i="2"/>
  <c r="R1001" i="2"/>
  <c r="Q1001" i="2"/>
  <c r="P1001" i="2"/>
  <c r="R1000" i="2"/>
  <c r="Q1000" i="2"/>
  <c r="P1000" i="2"/>
  <c r="R999" i="2"/>
  <c r="Q999" i="2"/>
  <c r="P999" i="2"/>
  <c r="R998" i="2"/>
  <c r="Q998" i="2"/>
  <c r="P998" i="2"/>
  <c r="R997" i="2"/>
  <c r="Q997" i="2"/>
  <c r="P997" i="2"/>
  <c r="R996" i="2"/>
  <c r="Q996" i="2"/>
  <c r="P996" i="2"/>
  <c r="R995" i="2"/>
  <c r="Q995" i="2"/>
  <c r="P995" i="2"/>
  <c r="R994" i="2"/>
  <c r="Q994" i="2"/>
  <c r="P994" i="2"/>
  <c r="R993" i="2"/>
  <c r="Q993" i="2"/>
  <c r="P993" i="2"/>
  <c r="R992" i="2"/>
  <c r="Q992" i="2"/>
  <c r="P992" i="2"/>
  <c r="R991" i="2"/>
  <c r="Q991" i="2"/>
  <c r="P991" i="2"/>
  <c r="R990" i="2"/>
  <c r="Q990" i="2"/>
  <c r="P990" i="2"/>
  <c r="R989" i="2"/>
  <c r="Q989" i="2"/>
  <c r="P989" i="2"/>
  <c r="R988" i="2"/>
  <c r="Q988" i="2"/>
  <c r="P988" i="2"/>
  <c r="R987" i="2"/>
  <c r="Q987" i="2"/>
  <c r="P987" i="2"/>
  <c r="R986" i="2"/>
  <c r="Q986" i="2"/>
  <c r="P986" i="2"/>
  <c r="R985" i="2"/>
  <c r="Q985" i="2"/>
  <c r="P985" i="2"/>
  <c r="R984" i="2"/>
  <c r="Q984" i="2"/>
  <c r="P984" i="2"/>
  <c r="R983" i="2"/>
  <c r="Q983" i="2"/>
  <c r="P983" i="2"/>
  <c r="R982" i="2"/>
  <c r="Q982" i="2"/>
  <c r="P982" i="2"/>
  <c r="R981" i="2"/>
  <c r="Q981" i="2"/>
  <c r="P981" i="2"/>
  <c r="R980" i="2"/>
  <c r="Q980" i="2"/>
  <c r="P980" i="2"/>
  <c r="R979" i="2"/>
  <c r="Q979" i="2"/>
  <c r="P979" i="2"/>
  <c r="R978" i="2"/>
  <c r="Q978" i="2"/>
  <c r="P978" i="2"/>
  <c r="R977" i="2"/>
  <c r="Q977" i="2"/>
  <c r="P977" i="2"/>
  <c r="R976" i="2"/>
  <c r="Q976" i="2"/>
  <c r="P976" i="2"/>
  <c r="R975" i="2"/>
  <c r="Q975" i="2"/>
  <c r="P975" i="2"/>
  <c r="R974" i="2"/>
  <c r="Q974" i="2"/>
  <c r="P974" i="2"/>
  <c r="R973" i="2"/>
  <c r="Q973" i="2"/>
  <c r="P973" i="2"/>
  <c r="R972" i="2"/>
  <c r="Q972" i="2"/>
  <c r="P972" i="2"/>
  <c r="R971" i="2"/>
  <c r="Q971" i="2"/>
  <c r="P971" i="2"/>
  <c r="R970" i="2"/>
  <c r="Q970" i="2"/>
  <c r="P970" i="2"/>
  <c r="R969" i="2"/>
  <c r="Q969" i="2"/>
  <c r="P969" i="2"/>
  <c r="R968" i="2"/>
  <c r="Q968" i="2"/>
  <c r="P968" i="2"/>
  <c r="R967" i="2"/>
  <c r="Q967" i="2"/>
  <c r="P967" i="2"/>
  <c r="R966" i="2"/>
  <c r="Q966" i="2"/>
  <c r="P966" i="2"/>
  <c r="R965" i="2"/>
  <c r="Q965" i="2"/>
  <c r="P965" i="2"/>
  <c r="R964" i="2"/>
  <c r="Q964" i="2"/>
  <c r="P964" i="2"/>
  <c r="R963" i="2"/>
  <c r="Q963" i="2"/>
  <c r="P963" i="2"/>
  <c r="R962" i="2"/>
  <c r="Q962" i="2"/>
  <c r="P962" i="2"/>
  <c r="R961" i="2"/>
  <c r="Q961" i="2"/>
  <c r="P961" i="2"/>
  <c r="R960" i="2"/>
  <c r="Q960" i="2"/>
  <c r="P960" i="2"/>
  <c r="R959" i="2"/>
  <c r="Q959" i="2"/>
  <c r="P959" i="2"/>
  <c r="R958" i="2"/>
  <c r="Q958" i="2"/>
  <c r="P958" i="2"/>
  <c r="R957" i="2"/>
  <c r="Q957" i="2"/>
  <c r="P957" i="2"/>
  <c r="R956" i="2"/>
  <c r="Q956" i="2"/>
  <c r="P956" i="2"/>
  <c r="R955" i="2"/>
  <c r="Q955" i="2"/>
  <c r="P955" i="2"/>
  <c r="R954" i="2"/>
  <c r="Q954" i="2"/>
  <c r="P954" i="2"/>
  <c r="R953" i="2"/>
  <c r="Q953" i="2"/>
  <c r="P953" i="2"/>
  <c r="R952" i="2"/>
  <c r="Q952" i="2"/>
  <c r="P952" i="2"/>
  <c r="R951" i="2"/>
  <c r="Q951" i="2"/>
  <c r="P951" i="2"/>
  <c r="R950" i="2"/>
  <c r="Q950" i="2"/>
  <c r="P950" i="2"/>
  <c r="R949" i="2"/>
  <c r="Q949" i="2"/>
  <c r="P949" i="2"/>
  <c r="R948" i="2"/>
  <c r="Q948" i="2"/>
  <c r="P948" i="2"/>
  <c r="R947" i="2"/>
  <c r="Q947" i="2"/>
  <c r="P947" i="2"/>
  <c r="R946" i="2"/>
  <c r="Q946" i="2"/>
  <c r="P946" i="2"/>
  <c r="R945" i="2"/>
  <c r="Q945" i="2"/>
  <c r="P945" i="2"/>
  <c r="R944" i="2"/>
  <c r="Q944" i="2"/>
  <c r="P944" i="2"/>
  <c r="R943" i="2"/>
  <c r="Q943" i="2"/>
  <c r="P943" i="2"/>
  <c r="R942" i="2"/>
  <c r="Q942" i="2"/>
  <c r="P942" i="2"/>
  <c r="R941" i="2"/>
  <c r="Q941" i="2"/>
  <c r="P941" i="2"/>
  <c r="R940" i="2"/>
  <c r="Q940" i="2"/>
  <c r="P940" i="2"/>
  <c r="R939" i="2"/>
  <c r="Q939" i="2"/>
  <c r="P939" i="2"/>
  <c r="R938" i="2"/>
  <c r="Q938" i="2"/>
  <c r="P938" i="2"/>
  <c r="R937" i="2"/>
  <c r="Q937" i="2"/>
  <c r="P937" i="2"/>
  <c r="R936" i="2"/>
  <c r="Q936" i="2"/>
  <c r="P936" i="2"/>
  <c r="R935" i="2"/>
  <c r="Q935" i="2"/>
  <c r="P935" i="2"/>
  <c r="R934" i="2"/>
  <c r="Q934" i="2"/>
  <c r="P934" i="2"/>
  <c r="R933" i="2"/>
  <c r="Q933" i="2"/>
  <c r="P933" i="2"/>
  <c r="R932" i="2"/>
  <c r="Q932" i="2"/>
  <c r="P932" i="2"/>
  <c r="R931" i="2"/>
  <c r="Q931" i="2"/>
  <c r="P931" i="2"/>
  <c r="R930" i="2"/>
  <c r="Q930" i="2"/>
  <c r="P930" i="2"/>
  <c r="R929" i="2"/>
  <c r="Q929" i="2"/>
  <c r="P929" i="2"/>
  <c r="R928" i="2"/>
  <c r="Q928" i="2"/>
  <c r="P928" i="2"/>
  <c r="R927" i="2"/>
  <c r="Q927" i="2"/>
  <c r="P927" i="2"/>
  <c r="R926" i="2"/>
  <c r="Q926" i="2"/>
  <c r="P926" i="2"/>
  <c r="R925" i="2"/>
  <c r="Q925" i="2"/>
  <c r="P925" i="2"/>
  <c r="R924" i="2"/>
  <c r="Q924" i="2"/>
  <c r="P924" i="2"/>
  <c r="R923" i="2"/>
  <c r="Q923" i="2"/>
  <c r="P923" i="2"/>
  <c r="R922" i="2"/>
  <c r="Q922" i="2"/>
  <c r="P922" i="2"/>
  <c r="R921" i="2"/>
  <c r="Q921" i="2"/>
  <c r="P921" i="2"/>
  <c r="R920" i="2"/>
  <c r="Q920" i="2"/>
  <c r="P920" i="2"/>
  <c r="R919" i="2"/>
  <c r="Q919" i="2"/>
  <c r="P919" i="2"/>
  <c r="R918" i="2"/>
  <c r="Q918" i="2"/>
  <c r="P918" i="2"/>
  <c r="R917" i="2"/>
  <c r="Q917" i="2"/>
  <c r="P917" i="2"/>
  <c r="R916" i="2"/>
  <c r="Q916" i="2"/>
  <c r="P916" i="2"/>
  <c r="R915" i="2"/>
  <c r="Q915" i="2"/>
  <c r="P915" i="2"/>
  <c r="R914" i="2"/>
  <c r="Q914" i="2"/>
  <c r="P914" i="2"/>
  <c r="R913" i="2"/>
  <c r="Q913" i="2"/>
  <c r="P913" i="2"/>
  <c r="R912" i="2"/>
  <c r="Q912" i="2"/>
  <c r="P912" i="2"/>
  <c r="R911" i="2"/>
  <c r="Q911" i="2"/>
  <c r="P911" i="2"/>
  <c r="R910" i="2"/>
  <c r="Q910" i="2"/>
  <c r="P910" i="2"/>
  <c r="R909" i="2"/>
  <c r="Q909" i="2"/>
  <c r="P909" i="2"/>
  <c r="R908" i="2"/>
  <c r="Q908" i="2"/>
  <c r="P908" i="2"/>
  <c r="R907" i="2"/>
  <c r="Q907" i="2"/>
  <c r="P907" i="2"/>
  <c r="R906" i="2"/>
  <c r="Q906" i="2"/>
  <c r="P906" i="2"/>
  <c r="R905" i="2"/>
  <c r="Q905" i="2"/>
  <c r="P905" i="2"/>
  <c r="R904" i="2"/>
  <c r="Q904" i="2"/>
  <c r="P904" i="2"/>
  <c r="R903" i="2"/>
  <c r="Q903" i="2"/>
  <c r="P903" i="2"/>
  <c r="R902" i="2"/>
  <c r="Q902" i="2"/>
  <c r="P902" i="2"/>
  <c r="R901" i="2"/>
  <c r="Q901" i="2"/>
  <c r="P901" i="2"/>
  <c r="R900" i="2"/>
  <c r="Q900" i="2"/>
  <c r="P900" i="2"/>
  <c r="R899" i="2"/>
  <c r="Q899" i="2"/>
  <c r="P899" i="2"/>
  <c r="R898" i="2"/>
  <c r="Q898" i="2"/>
  <c r="P898" i="2"/>
  <c r="R897" i="2"/>
  <c r="Q897" i="2"/>
  <c r="P897" i="2"/>
  <c r="R896" i="2"/>
  <c r="Q896" i="2"/>
  <c r="P896" i="2"/>
  <c r="R895" i="2"/>
  <c r="Q895" i="2"/>
  <c r="P895" i="2"/>
  <c r="R894" i="2"/>
  <c r="Q894" i="2"/>
  <c r="P894" i="2"/>
  <c r="R893" i="2"/>
  <c r="Q893" i="2"/>
  <c r="P893" i="2"/>
  <c r="R892" i="2"/>
  <c r="Q892" i="2"/>
  <c r="P892" i="2"/>
  <c r="R891" i="2"/>
  <c r="Q891" i="2"/>
  <c r="P891" i="2"/>
  <c r="R890" i="2"/>
  <c r="Q890" i="2"/>
  <c r="P890" i="2"/>
  <c r="R889" i="2"/>
  <c r="Q889" i="2"/>
  <c r="P889" i="2"/>
  <c r="R888" i="2"/>
  <c r="Q888" i="2"/>
  <c r="P888" i="2"/>
  <c r="R887" i="2"/>
  <c r="Q887" i="2"/>
  <c r="P887" i="2"/>
  <c r="R886" i="2"/>
  <c r="Q886" i="2"/>
  <c r="P886" i="2"/>
  <c r="R885" i="2"/>
  <c r="Q885" i="2"/>
  <c r="P885" i="2"/>
  <c r="R884" i="2"/>
  <c r="Q884" i="2"/>
  <c r="P884" i="2"/>
  <c r="R883" i="2"/>
  <c r="Q883" i="2"/>
  <c r="P883" i="2"/>
  <c r="R882" i="2"/>
  <c r="Q882" i="2"/>
  <c r="P882" i="2"/>
  <c r="R881" i="2"/>
  <c r="Q881" i="2"/>
  <c r="P881" i="2"/>
  <c r="R880" i="2"/>
  <c r="Q880" i="2"/>
  <c r="P880" i="2"/>
  <c r="R879" i="2"/>
  <c r="Q879" i="2"/>
  <c r="P879" i="2"/>
  <c r="R878" i="2"/>
  <c r="Q878" i="2"/>
  <c r="P878" i="2"/>
  <c r="R877" i="2"/>
  <c r="Q877" i="2"/>
  <c r="P877" i="2"/>
  <c r="R876" i="2"/>
  <c r="Q876" i="2"/>
  <c r="P876" i="2"/>
  <c r="R875" i="2"/>
  <c r="Q875" i="2"/>
  <c r="P875" i="2"/>
  <c r="R874" i="2"/>
  <c r="Q874" i="2"/>
  <c r="P874" i="2"/>
  <c r="R873" i="2"/>
  <c r="Q873" i="2"/>
  <c r="P873" i="2"/>
  <c r="R872" i="2"/>
  <c r="Q872" i="2"/>
  <c r="P872" i="2"/>
  <c r="R871" i="2"/>
  <c r="Q871" i="2"/>
  <c r="P871" i="2"/>
  <c r="R870" i="2"/>
  <c r="Q870" i="2"/>
  <c r="P870" i="2"/>
  <c r="R869" i="2"/>
  <c r="Q869" i="2"/>
  <c r="P869" i="2"/>
  <c r="R868" i="2"/>
  <c r="Q868" i="2"/>
  <c r="P868" i="2"/>
  <c r="R867" i="2"/>
  <c r="Q867" i="2"/>
  <c r="P867" i="2"/>
  <c r="R866" i="2"/>
  <c r="Q866" i="2"/>
  <c r="P866" i="2"/>
  <c r="R865" i="2"/>
  <c r="Q865" i="2"/>
  <c r="P865" i="2"/>
  <c r="R864" i="2"/>
  <c r="Q864" i="2"/>
  <c r="P864" i="2"/>
  <c r="R863" i="2"/>
  <c r="Q863" i="2"/>
  <c r="P863" i="2"/>
  <c r="R862" i="2"/>
  <c r="Q862" i="2"/>
  <c r="P862" i="2"/>
  <c r="R861" i="2"/>
  <c r="Q861" i="2"/>
  <c r="P861" i="2"/>
  <c r="R860" i="2"/>
  <c r="Q860" i="2"/>
  <c r="P860" i="2"/>
  <c r="R859" i="2"/>
  <c r="Q859" i="2"/>
  <c r="P859" i="2"/>
  <c r="R858" i="2"/>
  <c r="Q858" i="2"/>
  <c r="P858" i="2"/>
  <c r="R857" i="2"/>
  <c r="Q857" i="2"/>
  <c r="P857" i="2"/>
  <c r="R856" i="2"/>
  <c r="Q856" i="2"/>
  <c r="P856" i="2"/>
  <c r="R855" i="2"/>
  <c r="Q855" i="2"/>
  <c r="P855" i="2"/>
  <c r="R854" i="2"/>
  <c r="Q854" i="2"/>
  <c r="P854" i="2"/>
  <c r="R853" i="2"/>
  <c r="Q853" i="2"/>
  <c r="P853" i="2"/>
  <c r="R852" i="2"/>
  <c r="Q852" i="2"/>
  <c r="P852" i="2"/>
  <c r="R851" i="2"/>
  <c r="Q851" i="2"/>
  <c r="P851" i="2"/>
  <c r="R850" i="2"/>
  <c r="Q850" i="2"/>
  <c r="P850" i="2"/>
  <c r="R849" i="2"/>
  <c r="Q849" i="2"/>
  <c r="P849" i="2"/>
  <c r="R848" i="2"/>
  <c r="Q848" i="2"/>
  <c r="P848" i="2"/>
  <c r="R847" i="2"/>
  <c r="Q847" i="2"/>
  <c r="P847" i="2"/>
  <c r="R846" i="2"/>
  <c r="Q846" i="2"/>
  <c r="P846" i="2"/>
  <c r="R845" i="2"/>
  <c r="Q845" i="2"/>
  <c r="P845" i="2"/>
  <c r="R844" i="2"/>
  <c r="Q844" i="2"/>
  <c r="P844" i="2"/>
  <c r="R843" i="2"/>
  <c r="Q843" i="2"/>
  <c r="P843" i="2"/>
  <c r="R842" i="2"/>
  <c r="Q842" i="2"/>
  <c r="P842" i="2"/>
  <c r="R841" i="2"/>
  <c r="Q841" i="2"/>
  <c r="P841" i="2"/>
  <c r="R840" i="2"/>
  <c r="Q840" i="2"/>
  <c r="P840" i="2"/>
  <c r="R839" i="2"/>
  <c r="Q839" i="2"/>
  <c r="P839" i="2"/>
  <c r="R838" i="2"/>
  <c r="Q838" i="2"/>
  <c r="P838" i="2"/>
  <c r="R837" i="2"/>
  <c r="Q837" i="2"/>
  <c r="P837" i="2"/>
  <c r="R836" i="2"/>
  <c r="Q836" i="2"/>
  <c r="P836" i="2"/>
  <c r="R835" i="2"/>
  <c r="Q835" i="2"/>
  <c r="P835" i="2"/>
  <c r="R834" i="2"/>
  <c r="Q834" i="2"/>
  <c r="P834" i="2"/>
  <c r="R833" i="2"/>
  <c r="Q833" i="2"/>
  <c r="P833" i="2"/>
  <c r="R832" i="2"/>
  <c r="Q832" i="2"/>
  <c r="P832" i="2"/>
  <c r="R831" i="2"/>
  <c r="Q831" i="2"/>
  <c r="P831" i="2"/>
  <c r="R830" i="2"/>
  <c r="Q830" i="2"/>
  <c r="P830" i="2"/>
  <c r="R829" i="2"/>
  <c r="Q829" i="2"/>
  <c r="P829" i="2"/>
  <c r="R828" i="2"/>
  <c r="Q828" i="2"/>
  <c r="P828" i="2"/>
  <c r="R827" i="2"/>
  <c r="Q827" i="2"/>
  <c r="P827" i="2"/>
  <c r="R826" i="2"/>
  <c r="Q826" i="2"/>
  <c r="P826" i="2"/>
  <c r="R825" i="2"/>
  <c r="Q825" i="2"/>
  <c r="P825" i="2"/>
  <c r="R824" i="2"/>
  <c r="Q824" i="2"/>
  <c r="P824" i="2"/>
  <c r="R823" i="2"/>
  <c r="Q823" i="2"/>
  <c r="P823" i="2"/>
  <c r="R822" i="2"/>
  <c r="Q822" i="2"/>
  <c r="P822" i="2"/>
  <c r="R821" i="2"/>
  <c r="Q821" i="2"/>
  <c r="P821" i="2"/>
  <c r="R820" i="2"/>
  <c r="Q820" i="2"/>
  <c r="P820" i="2"/>
  <c r="R819" i="2"/>
  <c r="Q819" i="2"/>
  <c r="P819" i="2"/>
  <c r="R818" i="2"/>
  <c r="Q818" i="2"/>
  <c r="P818" i="2"/>
  <c r="R817" i="2"/>
  <c r="Q817" i="2"/>
  <c r="P817" i="2"/>
  <c r="R816" i="2"/>
  <c r="Q816" i="2"/>
  <c r="P816" i="2"/>
  <c r="R815" i="2"/>
  <c r="Q815" i="2"/>
  <c r="P815" i="2"/>
  <c r="R814" i="2"/>
  <c r="Q814" i="2"/>
  <c r="P814" i="2"/>
  <c r="R813" i="2"/>
  <c r="Q813" i="2"/>
  <c r="P813" i="2"/>
  <c r="R812" i="2"/>
  <c r="Q812" i="2"/>
  <c r="P812" i="2"/>
  <c r="R811" i="2"/>
  <c r="Q811" i="2"/>
  <c r="P811" i="2"/>
  <c r="R810" i="2"/>
  <c r="Q810" i="2"/>
  <c r="P810" i="2"/>
  <c r="R809" i="2"/>
  <c r="Q809" i="2"/>
  <c r="P809" i="2"/>
  <c r="R808" i="2"/>
  <c r="Q808" i="2"/>
  <c r="P808" i="2"/>
  <c r="R807" i="2"/>
  <c r="Q807" i="2"/>
  <c r="P807" i="2"/>
  <c r="R806" i="2"/>
  <c r="Q806" i="2"/>
  <c r="P806" i="2"/>
  <c r="R805" i="2"/>
  <c r="Q805" i="2"/>
  <c r="P805" i="2"/>
  <c r="R804" i="2"/>
  <c r="Q804" i="2"/>
  <c r="P804" i="2"/>
  <c r="R803" i="2"/>
  <c r="Q803" i="2"/>
  <c r="P803" i="2"/>
  <c r="R802" i="2"/>
  <c r="Q802" i="2"/>
  <c r="P802" i="2"/>
  <c r="R801" i="2"/>
  <c r="Q801" i="2"/>
  <c r="P801" i="2"/>
  <c r="R800" i="2"/>
  <c r="Q800" i="2"/>
  <c r="P800" i="2"/>
  <c r="R799" i="2"/>
  <c r="Q799" i="2"/>
  <c r="P799" i="2"/>
  <c r="R798" i="2"/>
  <c r="Q798" i="2"/>
  <c r="P798" i="2"/>
  <c r="R797" i="2"/>
  <c r="Q797" i="2"/>
  <c r="P797" i="2"/>
  <c r="R796" i="2"/>
  <c r="Q796" i="2"/>
  <c r="P796" i="2"/>
  <c r="R795" i="2"/>
  <c r="Q795" i="2"/>
  <c r="P795" i="2"/>
  <c r="R794" i="2"/>
  <c r="Q794" i="2"/>
  <c r="P794" i="2"/>
  <c r="R793" i="2"/>
  <c r="Q793" i="2"/>
  <c r="P793" i="2"/>
  <c r="R792" i="2"/>
  <c r="Q792" i="2"/>
  <c r="P792" i="2"/>
  <c r="R791" i="2"/>
  <c r="Q791" i="2"/>
  <c r="P791" i="2"/>
  <c r="R790" i="2"/>
  <c r="Q790" i="2"/>
  <c r="P790" i="2"/>
  <c r="R789" i="2"/>
  <c r="Q789" i="2"/>
  <c r="P789" i="2"/>
  <c r="R788" i="2"/>
  <c r="Q788" i="2"/>
  <c r="P788" i="2"/>
  <c r="R787" i="2"/>
  <c r="Q787" i="2"/>
  <c r="P787" i="2"/>
  <c r="R786" i="2"/>
  <c r="Q786" i="2"/>
  <c r="P786" i="2"/>
  <c r="R785" i="2"/>
  <c r="Q785" i="2"/>
  <c r="P785" i="2"/>
  <c r="R784" i="2"/>
  <c r="Q784" i="2"/>
  <c r="P784" i="2"/>
  <c r="R783" i="2"/>
  <c r="Q783" i="2"/>
  <c r="P783" i="2"/>
  <c r="R782" i="2"/>
  <c r="Q782" i="2"/>
  <c r="P782" i="2"/>
  <c r="R781" i="2"/>
  <c r="Q781" i="2"/>
  <c r="P781" i="2"/>
  <c r="R780" i="2"/>
  <c r="Q780" i="2"/>
  <c r="P780" i="2"/>
  <c r="R779" i="2"/>
  <c r="Q779" i="2"/>
  <c r="P779" i="2"/>
  <c r="R778" i="2"/>
  <c r="Q778" i="2"/>
  <c r="P778" i="2"/>
  <c r="R777" i="2"/>
  <c r="Q777" i="2"/>
  <c r="P777" i="2"/>
  <c r="R776" i="2"/>
  <c r="Q776" i="2"/>
  <c r="P776" i="2"/>
  <c r="R775" i="2"/>
  <c r="Q775" i="2"/>
  <c r="P775" i="2"/>
  <c r="R774" i="2"/>
  <c r="Q774" i="2"/>
  <c r="P774" i="2"/>
  <c r="R773" i="2"/>
  <c r="Q773" i="2"/>
  <c r="P773" i="2"/>
  <c r="R772" i="2"/>
  <c r="Q772" i="2"/>
  <c r="P772" i="2"/>
  <c r="R771" i="2"/>
  <c r="Q771" i="2"/>
  <c r="P771" i="2"/>
  <c r="R770" i="2"/>
  <c r="Q770" i="2"/>
  <c r="P770" i="2"/>
  <c r="R769" i="2"/>
  <c r="Q769" i="2"/>
  <c r="P769" i="2"/>
  <c r="R768" i="2"/>
  <c r="Q768" i="2"/>
  <c r="P768" i="2"/>
  <c r="R767" i="2"/>
  <c r="Q767" i="2"/>
  <c r="P767" i="2"/>
  <c r="R766" i="2"/>
  <c r="Q766" i="2"/>
  <c r="P766" i="2"/>
  <c r="R765" i="2"/>
  <c r="Q765" i="2"/>
  <c r="P765" i="2"/>
  <c r="R764" i="2"/>
  <c r="Q764" i="2"/>
  <c r="P764" i="2"/>
  <c r="R763" i="2"/>
  <c r="Q763" i="2"/>
  <c r="P763" i="2"/>
  <c r="R762" i="2"/>
  <c r="Q762" i="2"/>
  <c r="P762" i="2"/>
  <c r="R761" i="2"/>
  <c r="Q761" i="2"/>
  <c r="P761" i="2"/>
  <c r="R760" i="2"/>
  <c r="Q760" i="2"/>
  <c r="P760" i="2"/>
  <c r="R759" i="2"/>
  <c r="Q759" i="2"/>
  <c r="P759" i="2"/>
  <c r="R758" i="2"/>
  <c r="Q758" i="2"/>
  <c r="P758" i="2"/>
  <c r="R757" i="2"/>
  <c r="Q757" i="2"/>
  <c r="P757" i="2"/>
  <c r="R756" i="2"/>
  <c r="Q756" i="2"/>
  <c r="P756" i="2"/>
  <c r="R755" i="2"/>
  <c r="Q755" i="2"/>
  <c r="P755" i="2"/>
  <c r="R754" i="2"/>
  <c r="Q754" i="2"/>
  <c r="P754" i="2"/>
  <c r="R753" i="2"/>
  <c r="Q753" i="2"/>
  <c r="P753" i="2"/>
  <c r="R752" i="2"/>
  <c r="Q752" i="2"/>
  <c r="P752" i="2"/>
  <c r="R751" i="2"/>
  <c r="Q751" i="2"/>
  <c r="P751" i="2"/>
  <c r="R750" i="2"/>
  <c r="Q750" i="2"/>
  <c r="P750" i="2"/>
  <c r="R749" i="2"/>
  <c r="Q749" i="2"/>
  <c r="P749" i="2"/>
  <c r="R748" i="2"/>
  <c r="Q748" i="2"/>
  <c r="P748" i="2"/>
  <c r="R747" i="2"/>
  <c r="Q747" i="2"/>
  <c r="P747" i="2"/>
  <c r="R746" i="2"/>
  <c r="Q746" i="2"/>
  <c r="P746" i="2"/>
  <c r="R745" i="2"/>
  <c r="Q745" i="2"/>
  <c r="P745" i="2"/>
  <c r="R744" i="2"/>
  <c r="Q744" i="2"/>
  <c r="P744" i="2"/>
  <c r="R743" i="2"/>
  <c r="Q743" i="2"/>
  <c r="P743" i="2"/>
  <c r="R742" i="2"/>
  <c r="Q742" i="2"/>
  <c r="P742" i="2"/>
  <c r="R741" i="2"/>
  <c r="Q741" i="2"/>
  <c r="P741" i="2"/>
  <c r="R740" i="2"/>
  <c r="Q740" i="2"/>
  <c r="P740" i="2"/>
  <c r="R739" i="2"/>
  <c r="Q739" i="2"/>
  <c r="P739" i="2"/>
  <c r="R738" i="2"/>
  <c r="Q738" i="2"/>
  <c r="P738" i="2"/>
  <c r="R737" i="2"/>
  <c r="Q737" i="2"/>
  <c r="P737" i="2"/>
  <c r="R736" i="2"/>
  <c r="Q736" i="2"/>
  <c r="P736" i="2"/>
  <c r="R735" i="2"/>
  <c r="Q735" i="2"/>
  <c r="P735" i="2"/>
  <c r="R734" i="2"/>
  <c r="Q734" i="2"/>
  <c r="P734" i="2"/>
  <c r="R733" i="2"/>
  <c r="Q733" i="2"/>
  <c r="P733" i="2"/>
  <c r="R732" i="2"/>
  <c r="Q732" i="2"/>
  <c r="P732" i="2"/>
  <c r="R731" i="2"/>
  <c r="Q731" i="2"/>
  <c r="P731" i="2"/>
  <c r="R730" i="2"/>
  <c r="Q730" i="2"/>
  <c r="P730" i="2"/>
  <c r="R729" i="2"/>
  <c r="Q729" i="2"/>
  <c r="P729" i="2"/>
  <c r="R728" i="2"/>
  <c r="Q728" i="2"/>
  <c r="P728" i="2"/>
  <c r="R727" i="2"/>
  <c r="Q727" i="2"/>
  <c r="P727" i="2"/>
  <c r="R726" i="2"/>
  <c r="Q726" i="2"/>
  <c r="P726" i="2"/>
  <c r="R725" i="2"/>
  <c r="Q725" i="2"/>
  <c r="P725" i="2"/>
  <c r="R724" i="2"/>
  <c r="Q724" i="2"/>
  <c r="P724" i="2"/>
  <c r="R723" i="2"/>
  <c r="Q723" i="2"/>
  <c r="P723" i="2"/>
  <c r="R722" i="2"/>
  <c r="Q722" i="2"/>
  <c r="P722" i="2"/>
  <c r="R721" i="2"/>
  <c r="Q721" i="2"/>
  <c r="P721" i="2"/>
  <c r="R720" i="2"/>
  <c r="Q720" i="2"/>
  <c r="P720" i="2"/>
  <c r="R719" i="2"/>
  <c r="Q719" i="2"/>
  <c r="P719" i="2"/>
  <c r="R718" i="2"/>
  <c r="Q718" i="2"/>
  <c r="P718" i="2"/>
  <c r="R717" i="2"/>
  <c r="Q717" i="2"/>
  <c r="P717" i="2"/>
  <c r="R716" i="2"/>
  <c r="Q716" i="2"/>
  <c r="P716" i="2"/>
  <c r="R715" i="2"/>
  <c r="Q715" i="2"/>
  <c r="P715" i="2"/>
  <c r="R714" i="2"/>
  <c r="Q714" i="2"/>
  <c r="P714" i="2"/>
  <c r="R713" i="2"/>
  <c r="Q713" i="2"/>
  <c r="P713" i="2"/>
  <c r="R712" i="2"/>
  <c r="Q712" i="2"/>
  <c r="P712" i="2"/>
  <c r="R711" i="2"/>
  <c r="Q711" i="2"/>
  <c r="P711" i="2"/>
  <c r="R710" i="2"/>
  <c r="Q710" i="2"/>
  <c r="P710" i="2"/>
  <c r="R709" i="2"/>
  <c r="Q709" i="2"/>
  <c r="P709" i="2"/>
  <c r="R708" i="2"/>
  <c r="Q708" i="2"/>
  <c r="P708" i="2"/>
  <c r="R707" i="2"/>
  <c r="Q707" i="2"/>
  <c r="P707" i="2"/>
  <c r="R706" i="2"/>
  <c r="Q706" i="2"/>
  <c r="P706" i="2"/>
  <c r="R705" i="2"/>
  <c r="Q705" i="2"/>
  <c r="P705" i="2"/>
  <c r="R704" i="2"/>
  <c r="Q704" i="2"/>
  <c r="P704" i="2"/>
  <c r="R703" i="2"/>
  <c r="Q703" i="2"/>
  <c r="P703" i="2"/>
  <c r="R702" i="2"/>
  <c r="Q702" i="2"/>
  <c r="P702" i="2"/>
  <c r="R701" i="2"/>
  <c r="Q701" i="2"/>
  <c r="P701" i="2"/>
  <c r="R700" i="2"/>
  <c r="Q700" i="2"/>
  <c r="P700" i="2"/>
  <c r="R699" i="2"/>
  <c r="Q699" i="2"/>
  <c r="P699" i="2"/>
  <c r="R698" i="2"/>
  <c r="Q698" i="2"/>
  <c r="P698" i="2"/>
  <c r="R697" i="2"/>
  <c r="Q697" i="2"/>
  <c r="P697" i="2"/>
  <c r="R696" i="2"/>
  <c r="Q696" i="2"/>
  <c r="P696" i="2"/>
  <c r="R695" i="2"/>
  <c r="Q695" i="2"/>
  <c r="P695" i="2"/>
  <c r="R694" i="2"/>
  <c r="Q694" i="2"/>
  <c r="P694" i="2"/>
  <c r="R693" i="2"/>
  <c r="Q693" i="2"/>
  <c r="P693" i="2"/>
  <c r="R692" i="2"/>
  <c r="Q692" i="2"/>
  <c r="P692" i="2"/>
  <c r="R691" i="2"/>
  <c r="Q691" i="2"/>
  <c r="P691" i="2"/>
  <c r="R690" i="2"/>
  <c r="Q690" i="2"/>
  <c r="P690" i="2"/>
  <c r="R689" i="2"/>
  <c r="Q689" i="2"/>
  <c r="P689" i="2"/>
  <c r="R688" i="2"/>
  <c r="Q688" i="2"/>
  <c r="P688" i="2"/>
  <c r="R687" i="2"/>
  <c r="Q687" i="2"/>
  <c r="P687" i="2"/>
  <c r="R686" i="2"/>
  <c r="Q686" i="2"/>
  <c r="P686" i="2"/>
  <c r="R685" i="2"/>
  <c r="Q685" i="2"/>
  <c r="P685" i="2"/>
  <c r="R684" i="2"/>
  <c r="Q684" i="2"/>
  <c r="P684" i="2"/>
  <c r="R683" i="2"/>
  <c r="Q683" i="2"/>
  <c r="P683" i="2"/>
  <c r="R682" i="2"/>
  <c r="Q682" i="2"/>
  <c r="P682" i="2"/>
  <c r="R681" i="2"/>
  <c r="Q681" i="2"/>
  <c r="P681" i="2"/>
  <c r="R680" i="2"/>
  <c r="Q680" i="2"/>
  <c r="P680" i="2"/>
  <c r="R679" i="2"/>
  <c r="Q679" i="2"/>
  <c r="P679" i="2"/>
  <c r="R678" i="2"/>
  <c r="Q678" i="2"/>
  <c r="P678" i="2"/>
  <c r="R677" i="2"/>
  <c r="Q677" i="2"/>
  <c r="P677" i="2"/>
  <c r="R676" i="2"/>
  <c r="Q676" i="2"/>
  <c r="P676" i="2"/>
  <c r="R675" i="2"/>
  <c r="Q675" i="2"/>
  <c r="P675" i="2"/>
  <c r="R674" i="2"/>
  <c r="Q674" i="2"/>
  <c r="P674" i="2"/>
  <c r="R673" i="2"/>
  <c r="Q673" i="2"/>
  <c r="P673" i="2"/>
  <c r="R672" i="2"/>
  <c r="Q672" i="2"/>
  <c r="P672" i="2"/>
  <c r="R671" i="2"/>
  <c r="Q671" i="2"/>
  <c r="P671" i="2"/>
  <c r="R670" i="2"/>
  <c r="Q670" i="2"/>
  <c r="P670" i="2"/>
  <c r="R669" i="2"/>
  <c r="Q669" i="2"/>
  <c r="P669" i="2"/>
  <c r="R668" i="2"/>
  <c r="Q668" i="2"/>
  <c r="P668" i="2"/>
  <c r="R667" i="2"/>
  <c r="Q667" i="2"/>
  <c r="P667" i="2"/>
  <c r="R666" i="2"/>
  <c r="Q666" i="2"/>
  <c r="P666" i="2"/>
  <c r="R665" i="2"/>
  <c r="Q665" i="2"/>
  <c r="P665" i="2"/>
  <c r="R664" i="2"/>
  <c r="Q664" i="2"/>
  <c r="P664" i="2"/>
  <c r="R663" i="2"/>
  <c r="Q663" i="2"/>
  <c r="P663" i="2"/>
  <c r="R662" i="2"/>
  <c r="Q662" i="2"/>
  <c r="P662" i="2"/>
  <c r="R661" i="2"/>
  <c r="Q661" i="2"/>
  <c r="P661" i="2"/>
  <c r="R660" i="2"/>
  <c r="Q660" i="2"/>
  <c r="P660" i="2"/>
  <c r="R659" i="2"/>
  <c r="Q659" i="2"/>
  <c r="P659" i="2"/>
  <c r="R658" i="2"/>
  <c r="Q658" i="2"/>
  <c r="P658" i="2"/>
  <c r="R657" i="2"/>
  <c r="Q657" i="2"/>
  <c r="P657" i="2"/>
  <c r="R656" i="2"/>
  <c r="Q656" i="2"/>
  <c r="P656" i="2"/>
  <c r="R655" i="2"/>
  <c r="Q655" i="2"/>
  <c r="P655" i="2"/>
  <c r="R654" i="2"/>
  <c r="Q654" i="2"/>
  <c r="P654" i="2"/>
  <c r="R653" i="2"/>
  <c r="Q653" i="2"/>
  <c r="P653" i="2"/>
  <c r="R652" i="2"/>
  <c r="Q652" i="2"/>
  <c r="P652" i="2"/>
  <c r="R651" i="2"/>
  <c r="Q651" i="2"/>
  <c r="P651" i="2"/>
  <c r="R650" i="2"/>
  <c r="Q650" i="2"/>
  <c r="P650" i="2"/>
  <c r="R649" i="2"/>
  <c r="Q649" i="2"/>
  <c r="P649" i="2"/>
  <c r="R648" i="2"/>
  <c r="Q648" i="2"/>
  <c r="P648" i="2"/>
  <c r="R647" i="2"/>
  <c r="Q647" i="2"/>
  <c r="P647" i="2"/>
  <c r="R646" i="2"/>
  <c r="Q646" i="2"/>
  <c r="P646" i="2"/>
  <c r="R645" i="2"/>
  <c r="Q645" i="2"/>
  <c r="P645" i="2"/>
  <c r="R644" i="2"/>
  <c r="Q644" i="2"/>
  <c r="P644" i="2"/>
  <c r="R643" i="2"/>
  <c r="Q643" i="2"/>
  <c r="P643" i="2"/>
  <c r="R642" i="2"/>
  <c r="Q642" i="2"/>
  <c r="P642" i="2"/>
  <c r="R641" i="2"/>
  <c r="Q641" i="2"/>
  <c r="P641" i="2"/>
  <c r="R640" i="2"/>
  <c r="Q640" i="2"/>
  <c r="P640" i="2"/>
  <c r="R639" i="2"/>
  <c r="Q639" i="2"/>
  <c r="P639" i="2"/>
  <c r="R638" i="2"/>
  <c r="Q638" i="2"/>
  <c r="P638" i="2"/>
  <c r="R637" i="2"/>
  <c r="Q637" i="2"/>
  <c r="P637" i="2"/>
  <c r="R636" i="2"/>
  <c r="Q636" i="2"/>
  <c r="P636" i="2"/>
  <c r="R635" i="2"/>
  <c r="Q635" i="2"/>
  <c r="P635" i="2"/>
  <c r="R634" i="2"/>
  <c r="Q634" i="2"/>
  <c r="P634" i="2"/>
  <c r="R633" i="2"/>
  <c r="Q633" i="2"/>
  <c r="P633" i="2"/>
  <c r="R632" i="2"/>
  <c r="Q632" i="2"/>
  <c r="P632" i="2"/>
  <c r="R631" i="2"/>
  <c r="Q631" i="2"/>
  <c r="P631" i="2"/>
  <c r="R630" i="2"/>
  <c r="Q630" i="2"/>
  <c r="P630" i="2"/>
  <c r="R629" i="2"/>
  <c r="Q629" i="2"/>
  <c r="P629" i="2"/>
  <c r="R628" i="2"/>
  <c r="Q628" i="2"/>
  <c r="P628" i="2"/>
  <c r="R627" i="2"/>
  <c r="Q627" i="2"/>
  <c r="P627" i="2"/>
  <c r="R626" i="2"/>
  <c r="Q626" i="2"/>
  <c r="P626" i="2"/>
  <c r="R625" i="2"/>
  <c r="Q625" i="2"/>
  <c r="P625" i="2"/>
  <c r="R624" i="2"/>
  <c r="Q624" i="2"/>
  <c r="P624" i="2"/>
  <c r="R623" i="2"/>
  <c r="Q623" i="2"/>
  <c r="P623" i="2"/>
  <c r="R622" i="2"/>
  <c r="Q622" i="2"/>
  <c r="P622" i="2"/>
  <c r="R621" i="2"/>
  <c r="Q621" i="2"/>
  <c r="P621" i="2"/>
  <c r="R620" i="2"/>
  <c r="Q620" i="2"/>
  <c r="P620" i="2"/>
  <c r="R619" i="2"/>
  <c r="Q619" i="2"/>
  <c r="P619" i="2"/>
  <c r="R618" i="2"/>
  <c r="Q618" i="2"/>
  <c r="P618" i="2"/>
  <c r="R617" i="2"/>
  <c r="Q617" i="2"/>
  <c r="P617" i="2"/>
  <c r="R616" i="2"/>
  <c r="Q616" i="2"/>
  <c r="P616" i="2"/>
  <c r="R615" i="2"/>
  <c r="Q615" i="2"/>
  <c r="P615" i="2"/>
  <c r="R614" i="2"/>
  <c r="Q614" i="2"/>
  <c r="P614" i="2"/>
  <c r="R613" i="2"/>
  <c r="Q613" i="2"/>
  <c r="P613" i="2"/>
  <c r="R612" i="2"/>
  <c r="Q612" i="2"/>
  <c r="P612" i="2"/>
  <c r="R611" i="2"/>
  <c r="Q611" i="2"/>
  <c r="P611" i="2"/>
  <c r="R610" i="2"/>
  <c r="Q610" i="2"/>
  <c r="P610" i="2"/>
  <c r="R609" i="2"/>
  <c r="Q609" i="2"/>
  <c r="P609" i="2"/>
  <c r="R608" i="2"/>
  <c r="Q608" i="2"/>
  <c r="P608" i="2"/>
  <c r="R607" i="2"/>
  <c r="Q607" i="2"/>
  <c r="P607" i="2"/>
  <c r="R606" i="2"/>
  <c r="Q606" i="2"/>
  <c r="P606" i="2"/>
  <c r="R605" i="2"/>
  <c r="Q605" i="2"/>
  <c r="P605" i="2"/>
  <c r="R604" i="2"/>
  <c r="Q604" i="2"/>
  <c r="P604" i="2"/>
  <c r="R603" i="2"/>
  <c r="Q603" i="2"/>
  <c r="P603" i="2"/>
  <c r="R602" i="2"/>
  <c r="Q602" i="2"/>
  <c r="P602" i="2"/>
  <c r="R601" i="2"/>
  <c r="Q601" i="2"/>
  <c r="P601" i="2"/>
  <c r="R600" i="2"/>
  <c r="Q600" i="2"/>
  <c r="P600" i="2"/>
  <c r="R599" i="2"/>
  <c r="Q599" i="2"/>
  <c r="P599" i="2"/>
  <c r="R598" i="2"/>
  <c r="Q598" i="2"/>
  <c r="P598" i="2"/>
  <c r="R597" i="2"/>
  <c r="Q597" i="2"/>
  <c r="P597" i="2"/>
  <c r="R596" i="2"/>
  <c r="Q596" i="2"/>
  <c r="P596" i="2"/>
  <c r="R595" i="2"/>
  <c r="Q595" i="2"/>
  <c r="P595" i="2"/>
  <c r="R594" i="2"/>
  <c r="Q594" i="2"/>
  <c r="P594" i="2"/>
  <c r="R593" i="2"/>
  <c r="Q593" i="2"/>
  <c r="P593" i="2"/>
  <c r="R592" i="2"/>
  <c r="Q592" i="2"/>
  <c r="P592" i="2"/>
  <c r="R591" i="2"/>
  <c r="Q591" i="2"/>
  <c r="P591" i="2"/>
  <c r="R590" i="2"/>
  <c r="Q590" i="2"/>
  <c r="P590" i="2"/>
  <c r="R589" i="2"/>
  <c r="Q589" i="2"/>
  <c r="P589" i="2"/>
  <c r="R588" i="2"/>
  <c r="Q588" i="2"/>
  <c r="P588" i="2"/>
  <c r="R587" i="2"/>
  <c r="Q587" i="2"/>
  <c r="P587" i="2"/>
  <c r="R586" i="2"/>
  <c r="Q586" i="2"/>
  <c r="P586" i="2"/>
  <c r="R585" i="2"/>
  <c r="Q585" i="2"/>
  <c r="P585" i="2"/>
  <c r="R584" i="2"/>
  <c r="Q584" i="2"/>
  <c r="P584" i="2"/>
  <c r="R583" i="2"/>
  <c r="Q583" i="2"/>
  <c r="P583" i="2"/>
  <c r="R582" i="2"/>
  <c r="Q582" i="2"/>
  <c r="P582" i="2"/>
  <c r="R581" i="2"/>
  <c r="Q581" i="2"/>
  <c r="P581" i="2"/>
  <c r="R580" i="2"/>
  <c r="Q580" i="2"/>
  <c r="P580" i="2"/>
  <c r="R579" i="2"/>
  <c r="Q579" i="2"/>
  <c r="P579" i="2"/>
  <c r="R578" i="2"/>
  <c r="Q578" i="2"/>
  <c r="P578" i="2"/>
  <c r="R577" i="2"/>
  <c r="Q577" i="2"/>
  <c r="P577" i="2"/>
  <c r="R576" i="2"/>
  <c r="Q576" i="2"/>
  <c r="P576" i="2"/>
  <c r="R575" i="2"/>
  <c r="Q575" i="2"/>
  <c r="P575" i="2"/>
  <c r="R574" i="2"/>
  <c r="Q574" i="2"/>
  <c r="P574" i="2"/>
  <c r="R573" i="2"/>
  <c r="Q573" i="2"/>
  <c r="P573" i="2"/>
  <c r="R572" i="2"/>
  <c r="Q572" i="2"/>
  <c r="P572" i="2"/>
  <c r="R571" i="2"/>
  <c r="Q571" i="2"/>
  <c r="P571" i="2"/>
  <c r="R570" i="2"/>
  <c r="Q570" i="2"/>
  <c r="P570" i="2"/>
  <c r="R569" i="2"/>
  <c r="Q569" i="2"/>
  <c r="P569" i="2"/>
  <c r="R568" i="2"/>
  <c r="Q568" i="2"/>
  <c r="P568" i="2"/>
  <c r="R567" i="2"/>
  <c r="Q567" i="2"/>
  <c r="P567" i="2"/>
  <c r="R566" i="2"/>
  <c r="Q566" i="2"/>
  <c r="P566" i="2"/>
  <c r="R565" i="2"/>
  <c r="Q565" i="2"/>
  <c r="P565" i="2"/>
  <c r="R564" i="2"/>
  <c r="Q564" i="2"/>
  <c r="P564" i="2"/>
  <c r="R563" i="2"/>
  <c r="Q563" i="2"/>
  <c r="P563" i="2"/>
  <c r="R562" i="2"/>
  <c r="Q562" i="2"/>
  <c r="P562" i="2"/>
  <c r="R561" i="2"/>
  <c r="Q561" i="2"/>
  <c r="P561" i="2"/>
  <c r="R560" i="2"/>
  <c r="Q560" i="2"/>
  <c r="P560" i="2"/>
  <c r="R559" i="2"/>
  <c r="Q559" i="2"/>
  <c r="P559" i="2"/>
  <c r="R558" i="2"/>
  <c r="Q558" i="2"/>
  <c r="P558" i="2"/>
  <c r="R557" i="2"/>
  <c r="Q557" i="2"/>
  <c r="P557" i="2"/>
  <c r="R556" i="2"/>
  <c r="Q556" i="2"/>
  <c r="P556" i="2"/>
  <c r="R555" i="2"/>
  <c r="Q555" i="2"/>
  <c r="P555" i="2"/>
  <c r="R554" i="2"/>
  <c r="Q554" i="2"/>
  <c r="P554" i="2"/>
  <c r="R553" i="2"/>
  <c r="Q553" i="2"/>
  <c r="P553" i="2"/>
  <c r="R552" i="2"/>
  <c r="Q552" i="2"/>
  <c r="P552" i="2"/>
  <c r="R551" i="2"/>
  <c r="Q551" i="2"/>
  <c r="P551" i="2"/>
  <c r="R550" i="2"/>
  <c r="Q550" i="2"/>
  <c r="P550" i="2"/>
  <c r="R549" i="2"/>
  <c r="Q549" i="2"/>
  <c r="P549" i="2"/>
  <c r="R548" i="2"/>
  <c r="Q548" i="2"/>
  <c r="P548" i="2"/>
  <c r="R547" i="2"/>
  <c r="Q547" i="2"/>
  <c r="P547" i="2"/>
  <c r="R546" i="2"/>
  <c r="Q546" i="2"/>
  <c r="P546" i="2"/>
  <c r="R545" i="2"/>
  <c r="Q545" i="2"/>
  <c r="P545" i="2"/>
  <c r="R544" i="2"/>
  <c r="Q544" i="2"/>
  <c r="P544" i="2"/>
  <c r="R543" i="2"/>
  <c r="Q543" i="2"/>
  <c r="P543" i="2"/>
  <c r="R542" i="2"/>
  <c r="Q542" i="2"/>
  <c r="P542" i="2"/>
  <c r="R541" i="2"/>
  <c r="Q541" i="2"/>
  <c r="P541" i="2"/>
  <c r="R540" i="2"/>
  <c r="Q540" i="2"/>
  <c r="P540" i="2"/>
  <c r="R539" i="2"/>
  <c r="Q539" i="2"/>
  <c r="P539" i="2"/>
  <c r="R538" i="2"/>
  <c r="Q538" i="2"/>
  <c r="P538" i="2"/>
  <c r="R537" i="2"/>
  <c r="Q537" i="2"/>
  <c r="P537" i="2"/>
  <c r="R536" i="2"/>
  <c r="Q536" i="2"/>
  <c r="P536" i="2"/>
  <c r="R535" i="2"/>
  <c r="Q535" i="2"/>
  <c r="P535" i="2"/>
  <c r="R534" i="2"/>
  <c r="Q534" i="2"/>
  <c r="P534" i="2"/>
  <c r="R533" i="2"/>
  <c r="Q533" i="2"/>
  <c r="P533" i="2"/>
  <c r="R532" i="2"/>
  <c r="Q532" i="2"/>
  <c r="P532" i="2"/>
  <c r="R531" i="2"/>
  <c r="Q531" i="2"/>
  <c r="P531" i="2"/>
  <c r="R530" i="2"/>
  <c r="Q530" i="2"/>
  <c r="P530" i="2"/>
  <c r="R529" i="2"/>
  <c r="Q529" i="2"/>
  <c r="P529" i="2"/>
  <c r="R528" i="2"/>
  <c r="Q528" i="2"/>
  <c r="P528" i="2"/>
  <c r="R527" i="2"/>
  <c r="Q527" i="2"/>
  <c r="P527" i="2"/>
  <c r="R526" i="2"/>
  <c r="Q526" i="2"/>
  <c r="P526" i="2"/>
  <c r="R525" i="2"/>
  <c r="Q525" i="2"/>
  <c r="P525" i="2"/>
  <c r="R524" i="2"/>
  <c r="Q524" i="2"/>
  <c r="P524" i="2"/>
  <c r="R523" i="2"/>
  <c r="Q523" i="2"/>
  <c r="P523" i="2"/>
  <c r="R522" i="2"/>
  <c r="Q522" i="2"/>
  <c r="P522" i="2"/>
  <c r="R521" i="2"/>
  <c r="Q521" i="2"/>
  <c r="P521" i="2"/>
  <c r="R520" i="2"/>
  <c r="Q520" i="2"/>
  <c r="P520" i="2"/>
  <c r="R519" i="2"/>
  <c r="Q519" i="2"/>
  <c r="P519" i="2"/>
  <c r="R518" i="2"/>
  <c r="Q518" i="2"/>
  <c r="P518" i="2"/>
  <c r="R517" i="2"/>
  <c r="Q517" i="2"/>
  <c r="P517" i="2"/>
  <c r="R516" i="2"/>
  <c r="Q516" i="2"/>
  <c r="P516" i="2"/>
  <c r="R515" i="2"/>
  <c r="Q515" i="2"/>
  <c r="P515" i="2"/>
  <c r="R514" i="2"/>
  <c r="Q514" i="2"/>
  <c r="P514" i="2"/>
  <c r="R513" i="2"/>
  <c r="Q513" i="2"/>
  <c r="P513" i="2"/>
  <c r="R512" i="2"/>
  <c r="Q512" i="2"/>
  <c r="P512" i="2"/>
  <c r="R511" i="2"/>
  <c r="Q511" i="2"/>
  <c r="P511" i="2"/>
  <c r="R510" i="2"/>
  <c r="Q510" i="2"/>
  <c r="P510" i="2"/>
  <c r="R509" i="2"/>
  <c r="Q509" i="2"/>
  <c r="P509" i="2"/>
  <c r="R508" i="2"/>
  <c r="Q508" i="2"/>
  <c r="P508" i="2"/>
  <c r="R507" i="2"/>
  <c r="Q507" i="2"/>
  <c r="P507" i="2"/>
  <c r="R506" i="2"/>
  <c r="Q506" i="2"/>
  <c r="P506" i="2"/>
  <c r="R505" i="2"/>
  <c r="Q505" i="2"/>
  <c r="P505" i="2"/>
  <c r="R504" i="2"/>
  <c r="Q504" i="2"/>
  <c r="P504" i="2"/>
  <c r="R503" i="2"/>
  <c r="Q503" i="2"/>
  <c r="P503" i="2"/>
  <c r="R502" i="2"/>
  <c r="Q502" i="2"/>
  <c r="P502" i="2"/>
  <c r="R501" i="2"/>
  <c r="Q501" i="2"/>
  <c r="P501" i="2"/>
  <c r="R500" i="2"/>
  <c r="Q500" i="2"/>
  <c r="P500" i="2"/>
  <c r="R499" i="2"/>
  <c r="Q499" i="2"/>
  <c r="P499" i="2"/>
  <c r="R498" i="2"/>
  <c r="Q498" i="2"/>
  <c r="P498" i="2"/>
  <c r="R497" i="2"/>
  <c r="Q497" i="2"/>
  <c r="P497" i="2"/>
  <c r="R496" i="2"/>
  <c r="Q496" i="2"/>
  <c r="P496" i="2"/>
  <c r="R495" i="2"/>
  <c r="Q495" i="2"/>
  <c r="P495" i="2"/>
  <c r="R494" i="2"/>
  <c r="Q494" i="2"/>
  <c r="P494" i="2"/>
  <c r="R493" i="2"/>
  <c r="Q493" i="2"/>
  <c r="P493" i="2"/>
  <c r="R492" i="2"/>
  <c r="Q492" i="2"/>
  <c r="P492" i="2"/>
  <c r="R491" i="2"/>
  <c r="Q491" i="2"/>
  <c r="P491" i="2"/>
  <c r="R490" i="2"/>
  <c r="Q490" i="2"/>
  <c r="P490" i="2"/>
  <c r="R489" i="2"/>
  <c r="Q489" i="2"/>
  <c r="P489" i="2"/>
  <c r="R488" i="2"/>
  <c r="Q488" i="2"/>
  <c r="P488" i="2"/>
  <c r="R487" i="2"/>
  <c r="Q487" i="2"/>
  <c r="P487" i="2"/>
  <c r="R486" i="2"/>
  <c r="Q486" i="2"/>
  <c r="P486" i="2"/>
  <c r="R485" i="2"/>
  <c r="Q485" i="2"/>
  <c r="P485" i="2"/>
  <c r="R484" i="2"/>
  <c r="Q484" i="2"/>
  <c r="P484" i="2"/>
  <c r="R483" i="2"/>
  <c r="Q483" i="2"/>
  <c r="P483" i="2"/>
  <c r="R482" i="2"/>
  <c r="Q482" i="2"/>
  <c r="P482" i="2"/>
  <c r="R481" i="2"/>
  <c r="Q481" i="2"/>
  <c r="P481" i="2"/>
  <c r="R480" i="2"/>
  <c r="Q480" i="2"/>
  <c r="P480" i="2"/>
  <c r="R479" i="2"/>
  <c r="Q479" i="2"/>
  <c r="P479" i="2"/>
  <c r="R478" i="2"/>
  <c r="Q478" i="2"/>
  <c r="P478" i="2"/>
  <c r="R477" i="2"/>
  <c r="Q477" i="2"/>
  <c r="P477" i="2"/>
  <c r="R476" i="2"/>
  <c r="Q476" i="2"/>
  <c r="P476" i="2"/>
  <c r="R475" i="2"/>
  <c r="Q475" i="2"/>
  <c r="P475" i="2"/>
  <c r="R474" i="2"/>
  <c r="Q474" i="2"/>
  <c r="P474" i="2"/>
  <c r="R473" i="2"/>
  <c r="Q473" i="2"/>
  <c r="P473" i="2"/>
  <c r="R472" i="2"/>
  <c r="Q472" i="2"/>
  <c r="P472" i="2"/>
  <c r="R471" i="2"/>
  <c r="Q471" i="2"/>
  <c r="P471" i="2"/>
  <c r="R470" i="2"/>
  <c r="Q470" i="2"/>
  <c r="P470" i="2"/>
  <c r="R469" i="2"/>
  <c r="Q469" i="2"/>
  <c r="P469" i="2"/>
  <c r="R468" i="2"/>
  <c r="Q468" i="2"/>
  <c r="P468" i="2"/>
  <c r="R467" i="2"/>
  <c r="Q467" i="2"/>
  <c r="P467" i="2"/>
  <c r="R466" i="2"/>
  <c r="Q466" i="2"/>
  <c r="P466" i="2"/>
  <c r="R465" i="2"/>
  <c r="Q465" i="2"/>
  <c r="P465" i="2"/>
  <c r="R464" i="2"/>
  <c r="Q464" i="2"/>
  <c r="P464" i="2"/>
  <c r="R463" i="2"/>
  <c r="Q463" i="2"/>
  <c r="P463" i="2"/>
  <c r="R462" i="2"/>
  <c r="Q462" i="2"/>
  <c r="P462" i="2"/>
  <c r="R461" i="2"/>
  <c r="Q461" i="2"/>
  <c r="P461" i="2"/>
  <c r="R460" i="2"/>
  <c r="Q460" i="2"/>
  <c r="P460" i="2"/>
  <c r="R459" i="2"/>
  <c r="Q459" i="2"/>
  <c r="P459" i="2"/>
  <c r="R458" i="2"/>
  <c r="Q458" i="2"/>
  <c r="P458" i="2"/>
  <c r="R457" i="2"/>
  <c r="Q457" i="2"/>
  <c r="P457" i="2"/>
  <c r="R456" i="2"/>
  <c r="Q456" i="2"/>
  <c r="P456" i="2"/>
  <c r="R455" i="2"/>
  <c r="Q455" i="2"/>
  <c r="P455" i="2"/>
  <c r="R454" i="2"/>
  <c r="Q454" i="2"/>
  <c r="P454" i="2"/>
  <c r="R453" i="2"/>
  <c r="Q453" i="2"/>
  <c r="P453" i="2"/>
  <c r="R452" i="2"/>
  <c r="Q452" i="2"/>
  <c r="P452" i="2"/>
  <c r="R451" i="2"/>
  <c r="Q451" i="2"/>
  <c r="P451" i="2"/>
  <c r="R450" i="2"/>
  <c r="Q450" i="2"/>
  <c r="P450" i="2"/>
  <c r="R449" i="2"/>
  <c r="Q449" i="2"/>
  <c r="P449" i="2"/>
  <c r="R448" i="2"/>
  <c r="Q448" i="2"/>
  <c r="P448" i="2"/>
  <c r="R447" i="2"/>
  <c r="Q447" i="2"/>
  <c r="P447" i="2"/>
  <c r="R446" i="2"/>
  <c r="Q446" i="2"/>
  <c r="P446" i="2"/>
  <c r="R445" i="2"/>
  <c r="Q445" i="2"/>
  <c r="P445" i="2"/>
  <c r="R444" i="2"/>
  <c r="Q444" i="2"/>
  <c r="P444" i="2"/>
  <c r="R443" i="2"/>
  <c r="Q443" i="2"/>
  <c r="P443" i="2"/>
  <c r="R442" i="2"/>
  <c r="Q442" i="2"/>
  <c r="P442" i="2"/>
  <c r="R441" i="2"/>
  <c r="Q441" i="2"/>
  <c r="P441" i="2"/>
  <c r="R440" i="2"/>
  <c r="Q440" i="2"/>
  <c r="P440" i="2"/>
  <c r="R439" i="2"/>
  <c r="Q439" i="2"/>
  <c r="P439" i="2"/>
  <c r="R438" i="2"/>
  <c r="Q438" i="2"/>
  <c r="P438" i="2"/>
  <c r="R437" i="2"/>
  <c r="Q437" i="2"/>
  <c r="P437" i="2"/>
  <c r="R436" i="2"/>
  <c r="Q436" i="2"/>
  <c r="P436" i="2"/>
  <c r="R435" i="2"/>
  <c r="Q435" i="2"/>
  <c r="P435" i="2"/>
  <c r="R434" i="2"/>
  <c r="Q434" i="2"/>
  <c r="P434" i="2"/>
  <c r="R433" i="2"/>
  <c r="Q433" i="2"/>
  <c r="P433" i="2"/>
  <c r="R432" i="2"/>
  <c r="Q432" i="2"/>
  <c r="P432" i="2"/>
  <c r="R431" i="2"/>
  <c r="Q431" i="2"/>
  <c r="P431" i="2"/>
  <c r="R430" i="2"/>
  <c r="Q430" i="2"/>
  <c r="P430" i="2"/>
  <c r="R429" i="2"/>
  <c r="Q429" i="2"/>
  <c r="P429" i="2"/>
  <c r="R428" i="2"/>
  <c r="Q428" i="2"/>
  <c r="P428" i="2"/>
  <c r="R427" i="2"/>
  <c r="Q427" i="2"/>
  <c r="P427" i="2"/>
  <c r="R426" i="2"/>
  <c r="Q426" i="2"/>
  <c r="P426" i="2"/>
  <c r="R425" i="2"/>
  <c r="Q425" i="2"/>
  <c r="P425" i="2"/>
  <c r="R424" i="2"/>
  <c r="Q424" i="2"/>
  <c r="P424" i="2"/>
  <c r="R423" i="2"/>
  <c r="Q423" i="2"/>
  <c r="P423" i="2"/>
  <c r="R422" i="2"/>
  <c r="Q422" i="2"/>
  <c r="P422" i="2"/>
  <c r="R421" i="2"/>
  <c r="Q421" i="2"/>
  <c r="P421" i="2"/>
  <c r="R420" i="2"/>
  <c r="Q420" i="2"/>
  <c r="P420" i="2"/>
  <c r="R419" i="2"/>
  <c r="Q419" i="2"/>
  <c r="P419" i="2"/>
  <c r="R418" i="2"/>
  <c r="Q418" i="2"/>
  <c r="P418" i="2"/>
  <c r="R417" i="2"/>
  <c r="Q417" i="2"/>
  <c r="P417" i="2"/>
  <c r="R416" i="2"/>
  <c r="Q416" i="2"/>
  <c r="P416" i="2"/>
  <c r="R415" i="2"/>
  <c r="Q415" i="2"/>
  <c r="P415" i="2"/>
  <c r="R414" i="2"/>
  <c r="Q414" i="2"/>
  <c r="P414" i="2"/>
  <c r="R413" i="2"/>
  <c r="Q413" i="2"/>
  <c r="P413" i="2"/>
  <c r="R412" i="2"/>
  <c r="Q412" i="2"/>
  <c r="P412" i="2"/>
  <c r="R411" i="2"/>
  <c r="Q411" i="2"/>
  <c r="P411" i="2"/>
  <c r="R410" i="2"/>
  <c r="Q410" i="2"/>
  <c r="P410" i="2"/>
  <c r="R409" i="2"/>
  <c r="Q409" i="2"/>
  <c r="P409" i="2"/>
  <c r="R408" i="2"/>
  <c r="Q408" i="2"/>
  <c r="P408" i="2"/>
  <c r="R407" i="2"/>
  <c r="Q407" i="2"/>
  <c r="P407" i="2"/>
  <c r="R406" i="2"/>
  <c r="Q406" i="2"/>
  <c r="P406" i="2"/>
  <c r="R405" i="2"/>
  <c r="Q405" i="2"/>
  <c r="P405" i="2"/>
  <c r="R404" i="2"/>
  <c r="Q404" i="2"/>
  <c r="P404" i="2"/>
  <c r="R403" i="2"/>
  <c r="Q403" i="2"/>
  <c r="P403" i="2"/>
  <c r="R402" i="2"/>
  <c r="Q402" i="2"/>
  <c r="P402" i="2"/>
  <c r="R401" i="2"/>
  <c r="Q401" i="2"/>
  <c r="P401" i="2"/>
  <c r="R400" i="2"/>
  <c r="Q400" i="2"/>
  <c r="P400" i="2"/>
  <c r="R399" i="2"/>
  <c r="Q399" i="2"/>
  <c r="P399" i="2"/>
  <c r="R398" i="2"/>
  <c r="Q398" i="2"/>
  <c r="P398" i="2"/>
  <c r="R397" i="2"/>
  <c r="Q397" i="2"/>
  <c r="P397" i="2"/>
  <c r="R396" i="2"/>
  <c r="Q396" i="2"/>
  <c r="P396" i="2"/>
  <c r="R395" i="2"/>
  <c r="Q395" i="2"/>
  <c r="P395" i="2"/>
  <c r="R394" i="2"/>
  <c r="Q394" i="2"/>
  <c r="P394" i="2"/>
  <c r="R393" i="2"/>
  <c r="Q393" i="2"/>
  <c r="P393" i="2"/>
  <c r="R392" i="2"/>
  <c r="Q392" i="2"/>
  <c r="P392" i="2"/>
  <c r="R391" i="2"/>
  <c r="Q391" i="2"/>
  <c r="P391" i="2"/>
  <c r="R390" i="2"/>
  <c r="Q390" i="2"/>
  <c r="P390" i="2"/>
  <c r="R389" i="2"/>
  <c r="Q389" i="2"/>
  <c r="P389" i="2"/>
  <c r="R388" i="2"/>
  <c r="Q388" i="2"/>
  <c r="P388" i="2"/>
  <c r="R387" i="2"/>
  <c r="Q387" i="2"/>
  <c r="P387" i="2"/>
  <c r="R386" i="2"/>
  <c r="Q386" i="2"/>
  <c r="P386" i="2"/>
  <c r="R385" i="2"/>
  <c r="Q385" i="2"/>
  <c r="P385" i="2"/>
  <c r="R384" i="2"/>
  <c r="Q384" i="2"/>
  <c r="P384" i="2"/>
  <c r="R383" i="2"/>
  <c r="Q383" i="2"/>
  <c r="P383" i="2"/>
  <c r="R382" i="2"/>
  <c r="Q382" i="2"/>
  <c r="P382" i="2"/>
  <c r="R381" i="2"/>
  <c r="Q381" i="2"/>
  <c r="P381" i="2"/>
  <c r="R380" i="2"/>
  <c r="Q380" i="2"/>
  <c r="P380" i="2"/>
  <c r="R379" i="2"/>
  <c r="Q379" i="2"/>
  <c r="P379" i="2"/>
  <c r="R378" i="2"/>
  <c r="Q378" i="2"/>
  <c r="P378" i="2"/>
  <c r="R377" i="2"/>
  <c r="Q377" i="2"/>
  <c r="P377" i="2"/>
  <c r="R376" i="2"/>
  <c r="Q376" i="2"/>
  <c r="P376" i="2"/>
  <c r="R375" i="2"/>
  <c r="Q375" i="2"/>
  <c r="P375" i="2"/>
  <c r="R374" i="2"/>
  <c r="Q374" i="2"/>
  <c r="P374" i="2"/>
  <c r="R373" i="2"/>
  <c r="Q373" i="2"/>
  <c r="P373" i="2"/>
  <c r="R372" i="2"/>
  <c r="Q372" i="2"/>
  <c r="P372" i="2"/>
  <c r="R371" i="2"/>
  <c r="Q371" i="2"/>
  <c r="P371" i="2"/>
  <c r="R370" i="2"/>
  <c r="Q370" i="2"/>
  <c r="P370" i="2"/>
  <c r="R369" i="2"/>
  <c r="Q369" i="2"/>
  <c r="P369" i="2"/>
  <c r="R368" i="2"/>
  <c r="Q368" i="2"/>
  <c r="P368" i="2"/>
  <c r="R367" i="2"/>
  <c r="Q367" i="2"/>
  <c r="P367" i="2"/>
  <c r="R366" i="2"/>
  <c r="Q366" i="2"/>
  <c r="P366" i="2"/>
  <c r="R365" i="2"/>
  <c r="Q365" i="2"/>
  <c r="P365" i="2"/>
  <c r="R364" i="2"/>
  <c r="Q364" i="2"/>
  <c r="P364" i="2"/>
  <c r="R363" i="2"/>
  <c r="Q363" i="2"/>
  <c r="P363" i="2"/>
  <c r="R362" i="2"/>
  <c r="Q362" i="2"/>
  <c r="P362" i="2"/>
  <c r="R361" i="2"/>
  <c r="Q361" i="2"/>
  <c r="P361" i="2"/>
  <c r="R360" i="2"/>
  <c r="Q360" i="2"/>
  <c r="P360" i="2"/>
  <c r="R359" i="2"/>
  <c r="Q359" i="2"/>
  <c r="P359" i="2"/>
  <c r="R358" i="2"/>
  <c r="Q358" i="2"/>
  <c r="P358" i="2"/>
  <c r="R357" i="2"/>
  <c r="Q357" i="2"/>
  <c r="P357" i="2"/>
  <c r="R356" i="2"/>
  <c r="Q356" i="2"/>
  <c r="P356" i="2"/>
  <c r="R355" i="2"/>
  <c r="Q355" i="2"/>
  <c r="P355" i="2"/>
  <c r="R354" i="2"/>
  <c r="Q354" i="2"/>
  <c r="P354" i="2"/>
  <c r="R353" i="2"/>
  <c r="Q353" i="2"/>
  <c r="P353" i="2"/>
  <c r="R352" i="2"/>
  <c r="Q352" i="2"/>
  <c r="P352" i="2"/>
  <c r="R351" i="2"/>
  <c r="Q351" i="2"/>
  <c r="P351" i="2"/>
  <c r="R350" i="2"/>
  <c r="Q350" i="2"/>
  <c r="P350" i="2"/>
  <c r="R349" i="2"/>
  <c r="Q349" i="2"/>
  <c r="P349" i="2"/>
  <c r="R348" i="2"/>
  <c r="Q348" i="2"/>
  <c r="P348" i="2"/>
  <c r="R347" i="2"/>
  <c r="Q347" i="2"/>
  <c r="P347" i="2"/>
  <c r="R346" i="2"/>
  <c r="Q346" i="2"/>
  <c r="P346" i="2"/>
  <c r="R345" i="2"/>
  <c r="Q345" i="2"/>
  <c r="P345" i="2"/>
  <c r="R344" i="2"/>
  <c r="Q344" i="2"/>
  <c r="P344" i="2"/>
  <c r="R343" i="2"/>
  <c r="Q343" i="2"/>
  <c r="P343" i="2"/>
  <c r="R342" i="2"/>
  <c r="Q342" i="2"/>
  <c r="P342" i="2"/>
  <c r="R341" i="2"/>
  <c r="Q341" i="2"/>
  <c r="P341" i="2"/>
  <c r="R340" i="2"/>
  <c r="Q340" i="2"/>
  <c r="P340" i="2"/>
  <c r="R339" i="2"/>
  <c r="Q339" i="2"/>
  <c r="P339" i="2"/>
  <c r="R338" i="2"/>
  <c r="Q338" i="2"/>
  <c r="P338" i="2"/>
  <c r="R337" i="2"/>
  <c r="Q337" i="2"/>
  <c r="P337" i="2"/>
  <c r="R336" i="2"/>
  <c r="Q336" i="2"/>
  <c r="P336" i="2"/>
  <c r="R335" i="2"/>
  <c r="Q335" i="2"/>
  <c r="P335" i="2"/>
  <c r="R334" i="2"/>
  <c r="Q334" i="2"/>
  <c r="P334" i="2"/>
  <c r="R333" i="2"/>
  <c r="Q333" i="2"/>
  <c r="P333" i="2"/>
  <c r="R332" i="2"/>
  <c r="Q332" i="2"/>
  <c r="P332" i="2"/>
  <c r="R331" i="2"/>
  <c r="Q331" i="2"/>
  <c r="P331" i="2"/>
  <c r="R330" i="2"/>
  <c r="Q330" i="2"/>
  <c r="P330" i="2"/>
  <c r="R329" i="2"/>
  <c r="Q329" i="2"/>
  <c r="P329" i="2"/>
  <c r="R328" i="2"/>
  <c r="Q328" i="2"/>
  <c r="P328" i="2"/>
  <c r="R327" i="2"/>
  <c r="Q327" i="2"/>
  <c r="P327" i="2"/>
  <c r="R326" i="2"/>
  <c r="Q326" i="2"/>
  <c r="P326" i="2"/>
  <c r="R325" i="2"/>
  <c r="Q325" i="2"/>
  <c r="P325" i="2"/>
  <c r="R324" i="2"/>
  <c r="Q324" i="2"/>
  <c r="P324" i="2"/>
  <c r="R323" i="2"/>
  <c r="Q323" i="2"/>
  <c r="P323" i="2"/>
  <c r="R322" i="2"/>
  <c r="Q322" i="2"/>
  <c r="P322" i="2"/>
  <c r="R321" i="2"/>
  <c r="Q321" i="2"/>
  <c r="P321" i="2"/>
  <c r="R320" i="2"/>
  <c r="Q320" i="2"/>
  <c r="P320" i="2"/>
  <c r="R319" i="2"/>
  <c r="Q319" i="2"/>
  <c r="P319" i="2"/>
  <c r="R318" i="2"/>
  <c r="Q318" i="2"/>
  <c r="P318" i="2"/>
  <c r="R317" i="2"/>
  <c r="Q317" i="2"/>
  <c r="P317" i="2"/>
  <c r="R316" i="2"/>
  <c r="Q316" i="2"/>
  <c r="P316" i="2"/>
  <c r="R315" i="2"/>
  <c r="Q315" i="2"/>
  <c r="P315" i="2"/>
  <c r="R314" i="2"/>
  <c r="Q314" i="2"/>
  <c r="P314" i="2"/>
  <c r="R313" i="2"/>
  <c r="Q313" i="2"/>
  <c r="P313" i="2"/>
  <c r="R312" i="2"/>
  <c r="Q312" i="2"/>
  <c r="P312" i="2"/>
  <c r="R311" i="2"/>
  <c r="Q311" i="2"/>
  <c r="P311" i="2"/>
  <c r="R310" i="2"/>
  <c r="Q310" i="2"/>
  <c r="P310" i="2"/>
  <c r="R309" i="2"/>
  <c r="Q309" i="2"/>
  <c r="P309" i="2"/>
  <c r="R308" i="2"/>
  <c r="Q308" i="2"/>
  <c r="P308" i="2"/>
  <c r="R307" i="2"/>
  <c r="Q307" i="2"/>
  <c r="P307" i="2"/>
  <c r="R306" i="2"/>
  <c r="Q306" i="2"/>
  <c r="P306" i="2"/>
  <c r="R305" i="2"/>
  <c r="Q305" i="2"/>
  <c r="P305" i="2"/>
  <c r="R304" i="2"/>
  <c r="Q304" i="2"/>
  <c r="P304" i="2"/>
  <c r="R303" i="2"/>
  <c r="Q303" i="2"/>
  <c r="P303" i="2"/>
  <c r="R302" i="2"/>
  <c r="Q302" i="2"/>
  <c r="P302" i="2"/>
  <c r="R301" i="2"/>
  <c r="Q301" i="2"/>
  <c r="P301" i="2"/>
  <c r="R300" i="2"/>
  <c r="Q300" i="2"/>
  <c r="P300" i="2"/>
  <c r="R299" i="2"/>
  <c r="Q299" i="2"/>
  <c r="P299" i="2"/>
  <c r="R298" i="2"/>
  <c r="Q298" i="2"/>
  <c r="P298" i="2"/>
  <c r="R297" i="2"/>
  <c r="Q297" i="2"/>
  <c r="P297" i="2"/>
  <c r="R296" i="2"/>
  <c r="Q296" i="2"/>
  <c r="P296" i="2"/>
  <c r="R295" i="2"/>
  <c r="Q295" i="2"/>
  <c r="P295" i="2"/>
  <c r="R294" i="2"/>
  <c r="Q294" i="2"/>
  <c r="P294" i="2"/>
  <c r="R293" i="2"/>
  <c r="Q293" i="2"/>
  <c r="P293" i="2"/>
  <c r="R292" i="2"/>
  <c r="Q292" i="2"/>
  <c r="P292" i="2"/>
  <c r="R291" i="2"/>
  <c r="Q291" i="2"/>
  <c r="P291" i="2"/>
  <c r="R290" i="2"/>
  <c r="Q290" i="2"/>
  <c r="P290" i="2"/>
  <c r="R289" i="2"/>
  <c r="Q289" i="2"/>
  <c r="P289" i="2"/>
  <c r="R288" i="2"/>
  <c r="Q288" i="2"/>
  <c r="P288" i="2"/>
  <c r="R287" i="2"/>
  <c r="Q287" i="2"/>
  <c r="P287" i="2"/>
  <c r="R286" i="2"/>
  <c r="Q286" i="2"/>
  <c r="P286" i="2"/>
  <c r="R285" i="2"/>
  <c r="Q285" i="2"/>
  <c r="P285" i="2"/>
  <c r="R284" i="2"/>
  <c r="Q284" i="2"/>
  <c r="P284" i="2"/>
  <c r="R283" i="2"/>
  <c r="Q283" i="2"/>
  <c r="P283" i="2"/>
  <c r="R282" i="2"/>
  <c r="Q282" i="2"/>
  <c r="P282" i="2"/>
  <c r="R281" i="2"/>
  <c r="Q281" i="2"/>
  <c r="P281" i="2"/>
  <c r="R280" i="2"/>
  <c r="Q280" i="2"/>
  <c r="P280" i="2"/>
  <c r="R279" i="2"/>
  <c r="Q279" i="2"/>
  <c r="P279" i="2"/>
  <c r="R278" i="2"/>
  <c r="Q278" i="2"/>
  <c r="P278" i="2"/>
  <c r="R277" i="2"/>
  <c r="Q277" i="2"/>
  <c r="P277" i="2"/>
  <c r="R276" i="2"/>
  <c r="Q276" i="2"/>
  <c r="P276" i="2"/>
  <c r="R275" i="2"/>
  <c r="Q275" i="2"/>
  <c r="P275" i="2"/>
  <c r="R274" i="2"/>
  <c r="Q274" i="2"/>
  <c r="P274" i="2"/>
  <c r="R273" i="2"/>
  <c r="Q273" i="2"/>
  <c r="P273" i="2"/>
  <c r="R272" i="2"/>
  <c r="Q272" i="2"/>
  <c r="P272" i="2"/>
  <c r="R271" i="2"/>
  <c r="Q271" i="2"/>
  <c r="P271" i="2"/>
  <c r="R270" i="2"/>
  <c r="Q270" i="2"/>
  <c r="P270" i="2"/>
  <c r="R269" i="2"/>
  <c r="Q269" i="2"/>
  <c r="P269" i="2"/>
  <c r="R268" i="2"/>
  <c r="Q268" i="2"/>
  <c r="P268" i="2"/>
  <c r="R267" i="2"/>
  <c r="Q267" i="2"/>
  <c r="P267" i="2"/>
  <c r="R266" i="2"/>
  <c r="Q266" i="2"/>
  <c r="P266" i="2"/>
  <c r="R265" i="2"/>
  <c r="Q265" i="2"/>
  <c r="P265" i="2"/>
  <c r="R264" i="2"/>
  <c r="Q264" i="2"/>
  <c r="P264" i="2"/>
  <c r="R263" i="2"/>
  <c r="Q263" i="2"/>
  <c r="P263" i="2"/>
  <c r="R262" i="2"/>
  <c r="Q262" i="2"/>
  <c r="P262" i="2"/>
  <c r="R261" i="2"/>
  <c r="Q261" i="2"/>
  <c r="P261" i="2"/>
  <c r="R260" i="2"/>
  <c r="Q260" i="2"/>
  <c r="P260" i="2"/>
  <c r="R259" i="2"/>
  <c r="Q259" i="2"/>
  <c r="P259" i="2"/>
  <c r="R258" i="2"/>
  <c r="Q258" i="2"/>
  <c r="P258" i="2"/>
  <c r="R257" i="2"/>
  <c r="Q257" i="2"/>
  <c r="P257" i="2"/>
  <c r="R256" i="2"/>
  <c r="Q256" i="2"/>
  <c r="P256" i="2"/>
  <c r="R255" i="2"/>
  <c r="Q255" i="2"/>
  <c r="P255" i="2"/>
  <c r="R254" i="2"/>
  <c r="Q254" i="2"/>
  <c r="P254" i="2"/>
  <c r="R253" i="2"/>
  <c r="Q253" i="2"/>
  <c r="P253" i="2"/>
  <c r="R252" i="2"/>
  <c r="Q252" i="2"/>
  <c r="P252" i="2"/>
  <c r="R251" i="2"/>
  <c r="Q251" i="2"/>
  <c r="P251" i="2"/>
  <c r="R250" i="2"/>
  <c r="Q250" i="2"/>
  <c r="P250" i="2"/>
  <c r="R249" i="2"/>
  <c r="Q249" i="2"/>
  <c r="P249" i="2"/>
  <c r="R248" i="2"/>
  <c r="Q248" i="2"/>
  <c r="P248" i="2"/>
  <c r="R247" i="2"/>
  <c r="Q247" i="2"/>
  <c r="P247" i="2"/>
  <c r="R246" i="2"/>
  <c r="Q246" i="2"/>
  <c r="P246" i="2"/>
  <c r="R245" i="2"/>
  <c r="Q245" i="2"/>
  <c r="P245" i="2"/>
  <c r="R244" i="2"/>
  <c r="Q244" i="2"/>
  <c r="P244" i="2"/>
  <c r="R243" i="2"/>
  <c r="Q243" i="2"/>
  <c r="P243" i="2"/>
  <c r="R242" i="2"/>
  <c r="Q242" i="2"/>
  <c r="P242" i="2"/>
  <c r="R241" i="2"/>
  <c r="Q241" i="2"/>
  <c r="P241" i="2"/>
  <c r="R240" i="2"/>
  <c r="Q240" i="2"/>
  <c r="P240" i="2"/>
  <c r="R239" i="2"/>
  <c r="Q239" i="2"/>
  <c r="P239" i="2"/>
  <c r="R238" i="2"/>
  <c r="Q238" i="2"/>
  <c r="P238" i="2"/>
  <c r="R237" i="2"/>
  <c r="Q237" i="2"/>
  <c r="P237" i="2"/>
  <c r="R236" i="2"/>
  <c r="Q236" i="2"/>
  <c r="P236" i="2"/>
  <c r="R235" i="2"/>
  <c r="Q235" i="2"/>
  <c r="P235" i="2"/>
  <c r="R234" i="2"/>
  <c r="Q234" i="2"/>
  <c r="P234" i="2"/>
  <c r="R233" i="2"/>
  <c r="Q233" i="2"/>
  <c r="P233" i="2"/>
  <c r="R232" i="2"/>
  <c r="Q232" i="2"/>
  <c r="P232" i="2"/>
  <c r="R231" i="2"/>
  <c r="Q231" i="2"/>
  <c r="P231" i="2"/>
  <c r="R230" i="2"/>
  <c r="Q230" i="2"/>
  <c r="P230" i="2"/>
  <c r="R229" i="2"/>
  <c r="Q229" i="2"/>
  <c r="P229" i="2"/>
  <c r="R228" i="2"/>
  <c r="Q228" i="2"/>
  <c r="P228" i="2"/>
  <c r="R227" i="2"/>
  <c r="Q227" i="2"/>
  <c r="P227" i="2"/>
  <c r="R226" i="2"/>
  <c r="Q226" i="2"/>
  <c r="P226" i="2"/>
  <c r="R225" i="2"/>
  <c r="Q225" i="2"/>
  <c r="P225" i="2"/>
  <c r="R224" i="2"/>
  <c r="Q224" i="2"/>
  <c r="P224" i="2"/>
  <c r="R223" i="2"/>
  <c r="Q223" i="2"/>
  <c r="P223" i="2"/>
  <c r="R222" i="2"/>
  <c r="Q222" i="2"/>
  <c r="P222" i="2"/>
  <c r="R221" i="2"/>
  <c r="Q221" i="2"/>
  <c r="P221" i="2"/>
  <c r="R220" i="2"/>
  <c r="Q220" i="2"/>
  <c r="P220" i="2"/>
  <c r="R219" i="2"/>
  <c r="Q219" i="2"/>
  <c r="P219" i="2"/>
  <c r="R218" i="2"/>
  <c r="Q218" i="2"/>
  <c r="P218" i="2"/>
  <c r="R217" i="2"/>
  <c r="Q217" i="2"/>
  <c r="P217" i="2"/>
  <c r="R216" i="2"/>
  <c r="Q216" i="2"/>
  <c r="P216" i="2"/>
  <c r="R215" i="2"/>
  <c r="Q215" i="2"/>
  <c r="P215" i="2"/>
  <c r="R214" i="2"/>
  <c r="Q214" i="2"/>
  <c r="P214" i="2"/>
  <c r="R213" i="2"/>
  <c r="Q213" i="2"/>
  <c r="P213" i="2"/>
  <c r="R212" i="2"/>
  <c r="Q212" i="2"/>
  <c r="P212" i="2"/>
  <c r="R211" i="2"/>
  <c r="Q211" i="2"/>
  <c r="P211" i="2"/>
  <c r="R210" i="2"/>
  <c r="Q210" i="2"/>
  <c r="P210" i="2"/>
  <c r="R209" i="2"/>
  <c r="Q209" i="2"/>
  <c r="P209" i="2"/>
  <c r="R208" i="2"/>
  <c r="Q208" i="2"/>
  <c r="P208" i="2"/>
  <c r="R207" i="2"/>
  <c r="Q207" i="2"/>
  <c r="P207" i="2"/>
  <c r="R206" i="2"/>
  <c r="Q206" i="2"/>
  <c r="P206" i="2"/>
  <c r="R205" i="2"/>
  <c r="Q205" i="2"/>
  <c r="P205" i="2"/>
  <c r="R204" i="2"/>
  <c r="Q204" i="2"/>
  <c r="P204" i="2"/>
  <c r="R203" i="2"/>
  <c r="Q203" i="2"/>
  <c r="P203" i="2"/>
  <c r="R202" i="2"/>
  <c r="Q202" i="2"/>
  <c r="P202" i="2"/>
  <c r="R201" i="2"/>
  <c r="Q201" i="2"/>
  <c r="P201" i="2"/>
  <c r="R200" i="2"/>
  <c r="Q200" i="2"/>
  <c r="P200" i="2"/>
  <c r="R199" i="2"/>
  <c r="Q199" i="2"/>
  <c r="P199" i="2"/>
  <c r="R198" i="2"/>
  <c r="Q198" i="2"/>
  <c r="P198" i="2"/>
  <c r="R197" i="2"/>
  <c r="Q197" i="2"/>
  <c r="P197" i="2"/>
  <c r="R196" i="2"/>
  <c r="Q196" i="2"/>
  <c r="P196" i="2"/>
  <c r="R195" i="2"/>
  <c r="Q195" i="2"/>
  <c r="P195" i="2"/>
  <c r="R194" i="2"/>
  <c r="Q194" i="2"/>
  <c r="P194" i="2"/>
  <c r="R193" i="2"/>
  <c r="Q193" i="2"/>
  <c r="P193" i="2"/>
  <c r="R192" i="2"/>
  <c r="Q192" i="2"/>
  <c r="P192" i="2"/>
  <c r="R191" i="2"/>
  <c r="Q191" i="2"/>
  <c r="P191" i="2"/>
  <c r="R190" i="2"/>
  <c r="Q190" i="2"/>
  <c r="P190" i="2"/>
  <c r="R189" i="2"/>
  <c r="Q189" i="2"/>
  <c r="P189" i="2"/>
  <c r="R188" i="2"/>
  <c r="Q188" i="2"/>
  <c r="P188" i="2"/>
  <c r="R187" i="2"/>
  <c r="Q187" i="2"/>
  <c r="P187" i="2"/>
  <c r="R186" i="2"/>
  <c r="Q186" i="2"/>
  <c r="P186" i="2"/>
  <c r="R185" i="2"/>
  <c r="Q185" i="2"/>
  <c r="P185" i="2"/>
  <c r="R184" i="2"/>
  <c r="Q184" i="2"/>
  <c r="P184" i="2"/>
  <c r="R183" i="2"/>
  <c r="Q183" i="2"/>
  <c r="P183" i="2"/>
  <c r="R182" i="2"/>
  <c r="Q182" i="2"/>
  <c r="P182" i="2"/>
  <c r="R181" i="2"/>
  <c r="Q181" i="2"/>
  <c r="P181" i="2"/>
  <c r="R180" i="2"/>
  <c r="Q180" i="2"/>
  <c r="P180" i="2"/>
  <c r="R179" i="2"/>
  <c r="Q179" i="2"/>
  <c r="P179" i="2"/>
  <c r="R178" i="2"/>
  <c r="Q178" i="2"/>
  <c r="P178" i="2"/>
  <c r="R177" i="2"/>
  <c r="Q177" i="2"/>
  <c r="P177" i="2"/>
  <c r="R176" i="2"/>
  <c r="Q176" i="2"/>
  <c r="P176" i="2"/>
  <c r="R175" i="2"/>
  <c r="Q175" i="2"/>
  <c r="P175" i="2"/>
  <c r="R174" i="2"/>
  <c r="Q174" i="2"/>
  <c r="P174" i="2"/>
  <c r="R173" i="2"/>
  <c r="Q173" i="2"/>
  <c r="P173" i="2"/>
  <c r="R172" i="2"/>
  <c r="Q172" i="2"/>
  <c r="P172" i="2"/>
  <c r="R171" i="2"/>
  <c r="Q171" i="2"/>
  <c r="P171" i="2"/>
  <c r="R170" i="2"/>
  <c r="Q170" i="2"/>
  <c r="P170" i="2"/>
  <c r="R169" i="2"/>
  <c r="Q169" i="2"/>
  <c r="P169" i="2"/>
  <c r="R168" i="2"/>
  <c r="Q168" i="2"/>
  <c r="P168" i="2"/>
  <c r="R167" i="2"/>
  <c r="Q167" i="2"/>
  <c r="P167" i="2"/>
  <c r="R166" i="2"/>
  <c r="Q166" i="2"/>
  <c r="P166" i="2"/>
  <c r="R165" i="2"/>
  <c r="Q165" i="2"/>
  <c r="P165" i="2"/>
  <c r="R164" i="2"/>
  <c r="Q164" i="2"/>
  <c r="P164" i="2"/>
  <c r="R163" i="2"/>
  <c r="Q163" i="2"/>
  <c r="P163" i="2"/>
  <c r="R162" i="2"/>
  <c r="Q162" i="2"/>
  <c r="P162" i="2"/>
  <c r="R161" i="2"/>
  <c r="Q161" i="2"/>
  <c r="P161" i="2"/>
  <c r="R160" i="2"/>
  <c r="Q160" i="2"/>
  <c r="P160" i="2"/>
  <c r="R159" i="2"/>
  <c r="Q159" i="2"/>
  <c r="P159" i="2"/>
  <c r="R158" i="2"/>
  <c r="Q158" i="2"/>
  <c r="P158" i="2"/>
  <c r="R157" i="2"/>
  <c r="Q157" i="2"/>
  <c r="P157" i="2"/>
  <c r="R156" i="2"/>
  <c r="Q156" i="2"/>
  <c r="P156" i="2"/>
  <c r="R155" i="2"/>
  <c r="Q155" i="2"/>
  <c r="P155" i="2"/>
  <c r="R154" i="2"/>
  <c r="Q154" i="2"/>
  <c r="P154" i="2"/>
  <c r="R153" i="2"/>
  <c r="Q153" i="2"/>
  <c r="P153" i="2"/>
  <c r="R152" i="2"/>
  <c r="Q152" i="2"/>
  <c r="P152" i="2"/>
  <c r="R151" i="2"/>
  <c r="Q151" i="2"/>
  <c r="P151" i="2"/>
  <c r="R150" i="2"/>
  <c r="Q150" i="2"/>
  <c r="P150" i="2"/>
  <c r="R149" i="2"/>
  <c r="Q149" i="2"/>
  <c r="P149" i="2"/>
  <c r="R148" i="2"/>
  <c r="Q148" i="2"/>
  <c r="P148" i="2"/>
  <c r="R147" i="2"/>
  <c r="Q147" i="2"/>
  <c r="P147" i="2"/>
  <c r="R146" i="2"/>
  <c r="Q146" i="2"/>
  <c r="P146" i="2"/>
  <c r="R145" i="2"/>
  <c r="Q145" i="2"/>
  <c r="P145" i="2"/>
  <c r="R144" i="2"/>
  <c r="Q144" i="2"/>
  <c r="P144" i="2"/>
  <c r="R143" i="2"/>
  <c r="Q143" i="2"/>
  <c r="P143" i="2"/>
  <c r="R142" i="2"/>
  <c r="Q142" i="2"/>
  <c r="P142" i="2"/>
  <c r="R141" i="2"/>
  <c r="Q141" i="2"/>
  <c r="P141" i="2"/>
  <c r="R140" i="2"/>
  <c r="Q140" i="2"/>
  <c r="P140" i="2"/>
  <c r="R139" i="2"/>
  <c r="Q139" i="2"/>
  <c r="P139" i="2"/>
  <c r="R138" i="2"/>
  <c r="Q138" i="2"/>
  <c r="P138" i="2"/>
  <c r="R137" i="2"/>
  <c r="Q137" i="2"/>
  <c r="P137" i="2"/>
  <c r="R136" i="2"/>
  <c r="Q136" i="2"/>
  <c r="P136" i="2"/>
  <c r="R135" i="2"/>
  <c r="Q135" i="2"/>
  <c r="P135" i="2"/>
  <c r="R134" i="2"/>
  <c r="Q134" i="2"/>
  <c r="P134" i="2"/>
  <c r="R133" i="2"/>
  <c r="Q133" i="2"/>
  <c r="P133" i="2"/>
  <c r="R132" i="2"/>
  <c r="Q132" i="2"/>
  <c r="P132" i="2"/>
  <c r="R131" i="2"/>
  <c r="Q131" i="2"/>
  <c r="P131" i="2"/>
  <c r="R130" i="2"/>
  <c r="Q130" i="2"/>
  <c r="P130" i="2"/>
  <c r="R129" i="2"/>
  <c r="Q129" i="2"/>
  <c r="P129" i="2"/>
  <c r="R128" i="2"/>
  <c r="Q128" i="2"/>
  <c r="P128" i="2"/>
  <c r="R127" i="2"/>
  <c r="Q127" i="2"/>
  <c r="P127" i="2"/>
  <c r="R126" i="2"/>
  <c r="Q126" i="2"/>
  <c r="P126" i="2"/>
  <c r="R125" i="2"/>
  <c r="Q125" i="2"/>
  <c r="P125" i="2"/>
  <c r="R124" i="2"/>
  <c r="Q124" i="2"/>
  <c r="P124" i="2"/>
  <c r="R123" i="2"/>
  <c r="Q123" i="2"/>
  <c r="P123" i="2"/>
  <c r="R122" i="2"/>
  <c r="Q122" i="2"/>
  <c r="P122" i="2"/>
  <c r="R121" i="2"/>
  <c r="Q121" i="2"/>
  <c r="P121" i="2"/>
  <c r="R120" i="2"/>
  <c r="Q120" i="2"/>
  <c r="P120" i="2"/>
  <c r="R119" i="2"/>
  <c r="Q119" i="2"/>
  <c r="P119" i="2"/>
  <c r="R118" i="2"/>
  <c r="Q118" i="2"/>
  <c r="P118" i="2"/>
  <c r="R117" i="2"/>
  <c r="Q117" i="2"/>
  <c r="P117" i="2"/>
  <c r="R116" i="2"/>
  <c r="Q116" i="2"/>
  <c r="P116" i="2"/>
  <c r="R115" i="2"/>
  <c r="Q115" i="2"/>
  <c r="P115" i="2"/>
  <c r="R114" i="2"/>
  <c r="Q114" i="2"/>
  <c r="P114" i="2"/>
  <c r="R113" i="2"/>
  <c r="Q113" i="2"/>
  <c r="P113" i="2"/>
  <c r="R112" i="2"/>
  <c r="Q112" i="2"/>
  <c r="P112" i="2"/>
  <c r="R111" i="2"/>
  <c r="Q111" i="2"/>
  <c r="P111" i="2"/>
  <c r="R110" i="2"/>
  <c r="Q110" i="2"/>
  <c r="P110" i="2"/>
  <c r="R109" i="2"/>
  <c r="Q109" i="2"/>
  <c r="P109" i="2"/>
  <c r="R108" i="2"/>
  <c r="Q108" i="2"/>
  <c r="P108" i="2"/>
  <c r="R107" i="2"/>
  <c r="Q107" i="2"/>
  <c r="P107" i="2"/>
  <c r="R106" i="2"/>
  <c r="Q106" i="2"/>
  <c r="P106" i="2"/>
  <c r="R105" i="2"/>
  <c r="Q105" i="2"/>
  <c r="P105" i="2"/>
  <c r="R104" i="2"/>
  <c r="Q104" i="2"/>
  <c r="P104" i="2"/>
  <c r="R103" i="2"/>
  <c r="Q103" i="2"/>
  <c r="P103" i="2"/>
  <c r="R102" i="2"/>
  <c r="Q102" i="2"/>
  <c r="P102" i="2"/>
  <c r="R101" i="2"/>
  <c r="Q101" i="2"/>
  <c r="P101" i="2"/>
  <c r="R100" i="2"/>
  <c r="Q100" i="2"/>
  <c r="P100" i="2"/>
  <c r="R99" i="2"/>
  <c r="Q99" i="2"/>
  <c r="P99" i="2"/>
  <c r="R98" i="2"/>
  <c r="Q98" i="2"/>
  <c r="P98" i="2"/>
  <c r="R97" i="2"/>
  <c r="Q97" i="2"/>
  <c r="P97" i="2"/>
  <c r="R96" i="2"/>
  <c r="Q96" i="2"/>
  <c r="P96" i="2"/>
  <c r="R95" i="2"/>
  <c r="Q95" i="2"/>
  <c r="P95" i="2"/>
  <c r="R94" i="2"/>
  <c r="Q94" i="2"/>
  <c r="P94" i="2"/>
  <c r="R93" i="2"/>
  <c r="Q93" i="2"/>
  <c r="P93" i="2"/>
  <c r="R92" i="2"/>
  <c r="Q92" i="2"/>
  <c r="P92" i="2"/>
  <c r="R91" i="2"/>
  <c r="Q91" i="2"/>
  <c r="P91" i="2"/>
  <c r="R90" i="2"/>
  <c r="Q90" i="2"/>
  <c r="P90" i="2"/>
  <c r="R89" i="2"/>
  <c r="Q89" i="2"/>
  <c r="P89" i="2"/>
  <c r="R88" i="2"/>
  <c r="Q88" i="2"/>
  <c r="P88" i="2"/>
  <c r="R87" i="2"/>
  <c r="Q87" i="2"/>
  <c r="P87" i="2"/>
  <c r="R86" i="2"/>
  <c r="Q86" i="2"/>
  <c r="P86" i="2"/>
  <c r="R85" i="2"/>
  <c r="Q85" i="2"/>
  <c r="P85" i="2"/>
  <c r="R84" i="2"/>
  <c r="Q84" i="2"/>
  <c r="P84" i="2"/>
  <c r="R83" i="2"/>
  <c r="Q83" i="2"/>
  <c r="P83" i="2"/>
  <c r="R82" i="2"/>
  <c r="Q82" i="2"/>
  <c r="P82" i="2"/>
  <c r="R81" i="2"/>
  <c r="Q81" i="2"/>
  <c r="P81" i="2"/>
  <c r="R80" i="2"/>
  <c r="Q80" i="2"/>
  <c r="P80" i="2"/>
  <c r="R79" i="2"/>
  <c r="Q79" i="2"/>
  <c r="P79" i="2"/>
  <c r="R78" i="2"/>
  <c r="Q78" i="2"/>
  <c r="P78" i="2"/>
  <c r="R77" i="2"/>
  <c r="Q77" i="2"/>
  <c r="P77" i="2"/>
  <c r="R76" i="2"/>
  <c r="Q76" i="2"/>
  <c r="P76" i="2"/>
  <c r="R75" i="2"/>
  <c r="Q75" i="2"/>
  <c r="P75" i="2"/>
  <c r="R74" i="2"/>
  <c r="Q74" i="2"/>
  <c r="P74" i="2"/>
  <c r="R73" i="2"/>
  <c r="Q73" i="2"/>
  <c r="P73" i="2"/>
  <c r="R72" i="2"/>
  <c r="Q72" i="2"/>
  <c r="P72" i="2"/>
  <c r="R71" i="2"/>
  <c r="Q71" i="2"/>
  <c r="P71" i="2"/>
  <c r="R70" i="2"/>
  <c r="Q70" i="2"/>
  <c r="P70" i="2"/>
  <c r="R69" i="2"/>
  <c r="Q69" i="2"/>
  <c r="P69" i="2"/>
  <c r="R68" i="2"/>
  <c r="Q68" i="2"/>
  <c r="P68" i="2"/>
  <c r="R67" i="2"/>
  <c r="Q67" i="2"/>
  <c r="P67" i="2"/>
  <c r="R66" i="2"/>
  <c r="Q66" i="2"/>
  <c r="P66" i="2"/>
  <c r="R65" i="2"/>
  <c r="Q65" i="2"/>
  <c r="P65" i="2"/>
  <c r="R64" i="2"/>
  <c r="Q64" i="2"/>
  <c r="P64" i="2"/>
  <c r="R63" i="2"/>
  <c r="Q63" i="2"/>
  <c r="P63" i="2"/>
  <c r="R62" i="2"/>
  <c r="Q62" i="2"/>
  <c r="P62" i="2"/>
  <c r="R61" i="2"/>
  <c r="Q61" i="2"/>
  <c r="P61" i="2"/>
  <c r="R60" i="2"/>
  <c r="Q60" i="2"/>
  <c r="P60" i="2"/>
  <c r="R59" i="2"/>
  <c r="Q59" i="2"/>
  <c r="P59" i="2"/>
  <c r="R58" i="2"/>
  <c r="Q58" i="2"/>
  <c r="P58" i="2"/>
  <c r="R57" i="2"/>
  <c r="Q57" i="2"/>
  <c r="P57" i="2"/>
  <c r="R56" i="2"/>
  <c r="Q56" i="2"/>
  <c r="P56" i="2"/>
  <c r="R55" i="2"/>
  <c r="Q55" i="2"/>
  <c r="P55" i="2"/>
  <c r="R54" i="2"/>
  <c r="Q54" i="2"/>
  <c r="P54" i="2"/>
  <c r="R53" i="2"/>
  <c r="Q53" i="2"/>
  <c r="P53" i="2"/>
  <c r="R52" i="2"/>
  <c r="Q52" i="2"/>
  <c r="P52" i="2"/>
  <c r="R51" i="2"/>
  <c r="Q51" i="2"/>
  <c r="P51" i="2"/>
  <c r="R50" i="2"/>
  <c r="Q50" i="2"/>
  <c r="P50" i="2"/>
  <c r="R49" i="2"/>
  <c r="Q49" i="2"/>
  <c r="P49" i="2"/>
  <c r="R48" i="2"/>
  <c r="Q48" i="2"/>
  <c r="P48" i="2"/>
  <c r="R47" i="2"/>
  <c r="Q47" i="2"/>
  <c r="P47" i="2"/>
  <c r="R46" i="2"/>
  <c r="Q46" i="2"/>
  <c r="P46" i="2"/>
  <c r="R45" i="2"/>
  <c r="Q45" i="2"/>
  <c r="P45" i="2"/>
  <c r="R44" i="2"/>
  <c r="Q44" i="2"/>
  <c r="P44" i="2"/>
  <c r="R43" i="2"/>
  <c r="Q43" i="2"/>
  <c r="P43" i="2"/>
  <c r="R42" i="2"/>
  <c r="Q42" i="2"/>
  <c r="P42" i="2"/>
  <c r="R41" i="2"/>
  <c r="Q41" i="2"/>
  <c r="P41" i="2"/>
  <c r="R40" i="2"/>
  <c r="Q40" i="2"/>
  <c r="P40" i="2"/>
  <c r="R39" i="2"/>
  <c r="Q39" i="2"/>
  <c r="P39" i="2"/>
  <c r="R38" i="2"/>
  <c r="Q38" i="2"/>
  <c r="P38" i="2"/>
  <c r="R37" i="2"/>
  <c r="Q37" i="2"/>
  <c r="P37" i="2"/>
  <c r="R36" i="2"/>
  <c r="Q36" i="2"/>
  <c r="P36" i="2"/>
  <c r="R35" i="2"/>
  <c r="Q35" i="2"/>
  <c r="P35" i="2"/>
  <c r="R34" i="2"/>
  <c r="Q34" i="2"/>
  <c r="P34" i="2"/>
  <c r="R33" i="2"/>
  <c r="Q33" i="2"/>
  <c r="P33" i="2"/>
  <c r="R32" i="2"/>
  <c r="Q32" i="2"/>
  <c r="P32" i="2"/>
  <c r="R31" i="2"/>
  <c r="Q31" i="2"/>
  <c r="P31" i="2"/>
  <c r="R30" i="2"/>
  <c r="Q30" i="2"/>
  <c r="P30" i="2"/>
  <c r="R29" i="2"/>
  <c r="Q29" i="2"/>
  <c r="P29" i="2"/>
  <c r="R28" i="2"/>
  <c r="Q28" i="2"/>
  <c r="P28" i="2"/>
  <c r="R27" i="2"/>
  <c r="Q27" i="2"/>
  <c r="P27" i="2"/>
  <c r="R26" i="2"/>
  <c r="Q26" i="2"/>
  <c r="P26" i="2"/>
  <c r="R25" i="2"/>
  <c r="Q25" i="2"/>
  <c r="P25" i="2"/>
  <c r="R24" i="2"/>
  <c r="Q24" i="2"/>
  <c r="P24" i="2"/>
  <c r="R23" i="2"/>
  <c r="Q23" i="2"/>
  <c r="P23" i="2"/>
  <c r="R22" i="2"/>
  <c r="Q22" i="2"/>
  <c r="P22" i="2"/>
  <c r="R21" i="2"/>
  <c r="Q21" i="2"/>
  <c r="P21" i="2"/>
  <c r="R20" i="2"/>
  <c r="Q20" i="2"/>
  <c r="P20" i="2"/>
  <c r="R19" i="2"/>
  <c r="Q19" i="2"/>
  <c r="P19" i="2"/>
  <c r="R18" i="2"/>
  <c r="Q18" i="2"/>
  <c r="P18" i="2"/>
  <c r="R17" i="2"/>
  <c r="Q17" i="2"/>
  <c r="P17" i="2"/>
  <c r="R16" i="2"/>
  <c r="Q16" i="2"/>
  <c r="P16" i="2"/>
  <c r="R15" i="2"/>
  <c r="Q15" i="2"/>
  <c r="P15" i="2"/>
  <c r="R14" i="2"/>
  <c r="Q14" i="2"/>
  <c r="P14" i="2"/>
  <c r="R13" i="2"/>
  <c r="Q13" i="2"/>
  <c r="P13" i="2"/>
  <c r="R12" i="2"/>
  <c r="Q12" i="2"/>
  <c r="P12" i="2"/>
  <c r="R11" i="2"/>
  <c r="Q11" i="2"/>
  <c r="P11" i="2"/>
  <c r="R10" i="2"/>
  <c r="Q10" i="2"/>
  <c r="P10" i="2"/>
  <c r="R9" i="2"/>
  <c r="Q9" i="2"/>
  <c r="P9" i="2"/>
  <c r="R8" i="2"/>
  <c r="Q8" i="2"/>
  <c r="P8" i="2"/>
  <c r="R7" i="2"/>
  <c r="Q7" i="2"/>
  <c r="P7" i="2"/>
  <c r="R6" i="2"/>
  <c r="Q6" i="2"/>
  <c r="P6" i="2"/>
  <c r="R5" i="2"/>
  <c r="Q5" i="2"/>
  <c r="P5" i="2"/>
  <c r="R4" i="2"/>
  <c r="Q4" i="2"/>
  <c r="P4" i="2"/>
  <c r="R3" i="2"/>
  <c r="Q3" i="2"/>
  <c r="P3" i="2"/>
  <c r="R2" i="2"/>
  <c r="Q2" i="2"/>
  <c r="P2" i="2"/>
</calcChain>
</file>

<file path=xl/sharedStrings.xml><?xml version="1.0" encoding="utf-8"?>
<sst xmlns="http://schemas.openxmlformats.org/spreadsheetml/2006/main" count="12069" uniqueCount="294">
  <si>
    <t>month</t>
  </si>
  <si>
    <t>warehouse</t>
  </si>
  <si>
    <t>sku</t>
  </si>
  <si>
    <t>item_name</t>
  </si>
  <si>
    <t>category</t>
  </si>
  <si>
    <t>unit</t>
  </si>
  <si>
    <t>opening_stock</t>
  </si>
  <si>
    <t>received_qty</t>
  </si>
  <si>
    <t>issued_qty</t>
  </si>
  <si>
    <t>closing_stock</t>
  </si>
  <si>
    <t>reorder_level</t>
  </si>
  <si>
    <t>needs_reorder</t>
  </si>
  <si>
    <t>unit_cost</t>
  </si>
  <si>
    <t>stock_value</t>
  </si>
  <si>
    <t>supplier</t>
  </si>
  <si>
    <t>stock_check</t>
  </si>
  <si>
    <t>recorder_check</t>
  </si>
  <si>
    <t>value_check</t>
  </si>
  <si>
    <t>recoder_key_check</t>
  </si>
  <si>
    <t>WH-Chennai</t>
  </si>
  <si>
    <t>SKU-1001</t>
  </si>
  <si>
    <t>A4 Paper Ream</t>
  </si>
  <si>
    <t>Stationery</t>
  </si>
  <si>
    <t>pcs</t>
  </si>
  <si>
    <t>Lotus Agencies</t>
  </si>
  <si>
    <t>SKU-1002</t>
  </si>
  <si>
    <t>A4 Paper Ream (Bulk)</t>
  </si>
  <si>
    <t>Prime Packaging Works</t>
  </si>
  <si>
    <t>SKU-1003</t>
  </si>
  <si>
    <t>Ball Pen Box</t>
  </si>
  <si>
    <t>SKU-1004</t>
  </si>
  <si>
    <t>Ball Pen Box (Bulk)</t>
  </si>
  <si>
    <t>Northstar Enterprises</t>
  </si>
  <si>
    <t>SKU-1005</t>
  </si>
  <si>
    <t>Stapler</t>
  </si>
  <si>
    <t>SKU-1006</t>
  </si>
  <si>
    <t>Stapler (Bulk)</t>
  </si>
  <si>
    <t>Metro Wholesale</t>
  </si>
  <si>
    <t>SKU-1007</t>
  </si>
  <si>
    <t>Box File</t>
  </si>
  <si>
    <t>SKU-1008</t>
  </si>
  <si>
    <t>Box File (Bulk)</t>
  </si>
  <si>
    <t>SKU-1009</t>
  </si>
  <si>
    <t>Whiteboard Marker Set</t>
  </si>
  <si>
    <t>Unity Traders</t>
  </si>
  <si>
    <t>SKU-1010</t>
  </si>
  <si>
    <t>Whiteboard Marker Set (Bulk)</t>
  </si>
  <si>
    <t>Greenleaf Supplies</t>
  </si>
  <si>
    <t>SKU-1011</t>
  </si>
  <si>
    <t>Sticky Notes Pack</t>
  </si>
  <si>
    <t>SKU-1012</t>
  </si>
  <si>
    <t>Sticky Notes Pack (Bulk)</t>
  </si>
  <si>
    <t>SKU-1013</t>
  </si>
  <si>
    <t>Notebook 200 pages</t>
  </si>
  <si>
    <t>SKU-1014</t>
  </si>
  <si>
    <t>Notebook 200 pages (Bulk)</t>
  </si>
  <si>
    <t>SKU-1015</t>
  </si>
  <si>
    <t>Calculator</t>
  </si>
  <si>
    <t>SKU-1016</t>
  </si>
  <si>
    <t>Calculator (Bulk)</t>
  </si>
  <si>
    <t>Sunrise Distributors</t>
  </si>
  <si>
    <t>SKU-1017</t>
  </si>
  <si>
    <t>Glue Stick</t>
  </si>
  <si>
    <t>SKU-1018</t>
  </si>
  <si>
    <t>Glue Stick (Bulk)</t>
  </si>
  <si>
    <t>SKU-1019</t>
  </si>
  <si>
    <t>Envelope Pack</t>
  </si>
  <si>
    <t>SKU-1020</t>
  </si>
  <si>
    <t>Envelope Pack (Bulk)</t>
  </si>
  <si>
    <t>SKU-1021</t>
  </si>
  <si>
    <t>LED Bulb 9W</t>
  </si>
  <si>
    <t>Electrical</t>
  </si>
  <si>
    <t>SKU-1022</t>
  </si>
  <si>
    <t>LED Bulb 9W (Bulk)</t>
  </si>
  <si>
    <t>SKU-1023</t>
  </si>
  <si>
    <t>LED Tube Light 20W</t>
  </si>
  <si>
    <t>SKU-1024</t>
  </si>
  <si>
    <t>LED Tube Light 20W (Bulk)</t>
  </si>
  <si>
    <t>SKU-1025</t>
  </si>
  <si>
    <t>Extension Board</t>
  </si>
  <si>
    <t>SKU-1026</t>
  </si>
  <si>
    <t>Extension Board (Bulk)</t>
  </si>
  <si>
    <t>SKU-1027</t>
  </si>
  <si>
    <t>Ceiling Fan</t>
  </si>
  <si>
    <t>SKU-1028</t>
  </si>
  <si>
    <t>Ceiling Fan (Bulk)</t>
  </si>
  <si>
    <t>SKU-1029</t>
  </si>
  <si>
    <t>Modular Switch</t>
  </si>
  <si>
    <t>SKU-1030</t>
  </si>
  <si>
    <t>Modular Switch (Bulk)</t>
  </si>
  <si>
    <t>SKU-1031</t>
  </si>
  <si>
    <t>Copper Wire 90m</t>
  </si>
  <si>
    <t>SKU-1033</t>
  </si>
  <si>
    <t>MCB 32A</t>
  </si>
  <si>
    <t>SKU-1034</t>
  </si>
  <si>
    <t>MCB 32A (Bulk)</t>
  </si>
  <si>
    <t>SKU-1035</t>
  </si>
  <si>
    <t>Emergency Light</t>
  </si>
  <si>
    <t>Apex Trading Co.</t>
  </si>
  <si>
    <t>SKU-1036</t>
  </si>
  <si>
    <t>Emergency Light (Bulk)</t>
  </si>
  <si>
    <t>SKU-1037</t>
  </si>
  <si>
    <t>Wall Socket</t>
  </si>
  <si>
    <t>SKU-1039</t>
  </si>
  <si>
    <t>Table Lamp</t>
  </si>
  <si>
    <t>SKU-1040</t>
  </si>
  <si>
    <t>Table Lamp (Bulk)</t>
  </si>
  <si>
    <t>SKU-1041</t>
  </si>
  <si>
    <t>Basmati Rice</t>
  </si>
  <si>
    <t>Grocery</t>
  </si>
  <si>
    <t>kg</t>
  </si>
  <si>
    <t>SKU-1042</t>
  </si>
  <si>
    <t>Basmati Rice (Bulk)</t>
  </si>
  <si>
    <t>SKU-1043</t>
  </si>
  <si>
    <t>Toor Dal</t>
  </si>
  <si>
    <t>SKU-1044</t>
  </si>
  <si>
    <t>Toor Dal (Bulk)</t>
  </si>
  <si>
    <t>SKU-1045</t>
  </si>
  <si>
    <t>Sugar</t>
  </si>
  <si>
    <t>SKU-1046</t>
  </si>
  <si>
    <t>Sugar (Bulk)</t>
  </si>
  <si>
    <t>SKU-1047</t>
  </si>
  <si>
    <t>Wheat Atta</t>
  </si>
  <si>
    <t>SKU-1048</t>
  </si>
  <si>
    <t>Wheat Atta (Bulk)</t>
  </si>
  <si>
    <t>SKU-1049</t>
  </si>
  <si>
    <t>Sunflower Oil (L)</t>
  </si>
  <si>
    <t>SKU-1050</t>
  </si>
  <si>
    <t>Sunflower Oil (L) (Bulk)</t>
  </si>
  <si>
    <t>SKU-1051</t>
  </si>
  <si>
    <t>Tea Leaves</t>
  </si>
  <si>
    <t>SKU-1052</t>
  </si>
  <si>
    <t>Tea Leaves (Bulk)</t>
  </si>
  <si>
    <t>SKU-1053</t>
  </si>
  <si>
    <t>Salt</t>
  </si>
  <si>
    <t>SKU-1054</t>
  </si>
  <si>
    <t>Salt (Bulk)</t>
  </si>
  <si>
    <t>SKU-1055</t>
  </si>
  <si>
    <t>Poha</t>
  </si>
  <si>
    <t>SKU-1056</t>
  </si>
  <si>
    <t>Poha (Bulk)</t>
  </si>
  <si>
    <t>SKU-1057</t>
  </si>
  <si>
    <t>Chana Dal</t>
  </si>
  <si>
    <t>SKU-1058</t>
  </si>
  <si>
    <t>Chana Dal (Bulk)</t>
  </si>
  <si>
    <t>SKU-1059</t>
  </si>
  <si>
    <t>Jaggery</t>
  </si>
  <si>
    <t>SKU-1060</t>
  </si>
  <si>
    <t>Jaggery (Bulk)</t>
  </si>
  <si>
    <t>SKU-1061</t>
  </si>
  <si>
    <t>Hammer</t>
  </si>
  <si>
    <t>Hardware</t>
  </si>
  <si>
    <t>SKU-1062</t>
  </si>
  <si>
    <t>Hammer (Bulk)</t>
  </si>
  <si>
    <t>SKU-1063</t>
  </si>
  <si>
    <t>Screwdriver Set</t>
  </si>
  <si>
    <t>SKU-1064</t>
  </si>
  <si>
    <t>Screwdriver Set (Bulk)</t>
  </si>
  <si>
    <t>SKU-1065</t>
  </si>
  <si>
    <t>Wall Plug Pack</t>
  </si>
  <si>
    <t>SKU-1066</t>
  </si>
  <si>
    <t>Wall Plug Pack (Bulk)</t>
  </si>
  <si>
    <t>SKU-1067</t>
  </si>
  <si>
    <t>Padlock</t>
  </si>
  <si>
    <t>SKU-1068</t>
  </si>
  <si>
    <t>Padlock (Bulk)</t>
  </si>
  <si>
    <t>SKU-1069</t>
  </si>
  <si>
    <t>Measuring Tape 5m</t>
  </si>
  <si>
    <t>SKU-1071</t>
  </si>
  <si>
    <t>Spanner Set</t>
  </si>
  <si>
    <t>SKU-1072</t>
  </si>
  <si>
    <t>Spanner Set (Bulk)</t>
  </si>
  <si>
    <t>SKU-1073</t>
  </si>
  <si>
    <t>Drill Bit Set</t>
  </si>
  <si>
    <t>SKU-1074</t>
  </si>
  <si>
    <t>Drill Bit Set (Bulk)</t>
  </si>
  <si>
    <t>SKU-1075</t>
  </si>
  <si>
    <t>Wood Screws Pack</t>
  </si>
  <si>
    <t>SKU-1076</t>
  </si>
  <si>
    <t>Wood Screws Pack (Bulk)</t>
  </si>
  <si>
    <t>SKU-1077</t>
  </si>
  <si>
    <t>Door Hinge</t>
  </si>
  <si>
    <t>SKU-1078</t>
  </si>
  <si>
    <t>Door Hinge (Bulk)</t>
  </si>
  <si>
    <t>SKU-1080</t>
  </si>
  <si>
    <t>Paint Brush (Bulk)</t>
  </si>
  <si>
    <t>SKU-1081</t>
  </si>
  <si>
    <t>Floor Cleaner 1L</t>
  </si>
  <si>
    <t>Cleaning</t>
  </si>
  <si>
    <t>SKU-1082</t>
  </si>
  <si>
    <t>Floor Cleaner 1L (Bulk)</t>
  </si>
  <si>
    <t>SKU-1083</t>
  </si>
  <si>
    <t>Dishwash Liquid 500ml</t>
  </si>
  <si>
    <t>SKU-1084</t>
  </si>
  <si>
    <t>Dishwash Liquid 500ml (Bulk)</t>
  </si>
  <si>
    <t>SKU-1085</t>
  </si>
  <si>
    <t>Phenyl 1L</t>
  </si>
  <si>
    <t>SKU-1087</t>
  </si>
  <si>
    <t>Broom</t>
  </si>
  <si>
    <t>SKU-1088</t>
  </si>
  <si>
    <t>Broom (Bulk)</t>
  </si>
  <si>
    <t>SKU-1089</t>
  </si>
  <si>
    <t>Mop with Bucket</t>
  </si>
  <si>
    <t>SKU-1090</t>
  </si>
  <si>
    <t>Mop with Bucket (Bulk)</t>
  </si>
  <si>
    <t>SKU-1091</t>
  </si>
  <si>
    <t>Garbage Bags Roll</t>
  </si>
  <si>
    <t>SKU-1093</t>
  </si>
  <si>
    <t>Hand Wash 250ml</t>
  </si>
  <si>
    <t>SKU-1094</t>
  </si>
  <si>
    <t>Hand Wash 250ml (Bulk)</t>
  </si>
  <si>
    <t>SKU-1096</t>
  </si>
  <si>
    <t>Glass Cleaner (Bulk)</t>
  </si>
  <si>
    <t>SKU-1099</t>
  </si>
  <si>
    <t>Dustbin 20L</t>
  </si>
  <si>
    <t>SKU-1100</t>
  </si>
  <si>
    <t>Dustbin 20L (Bulk)</t>
  </si>
  <si>
    <t>SKU-1101</t>
  </si>
  <si>
    <t>Corrugated Box Small</t>
  </si>
  <si>
    <t>Packaging</t>
  </si>
  <si>
    <t>SKU-1102</t>
  </si>
  <si>
    <t>Corrugated Box Small (Bulk)</t>
  </si>
  <si>
    <t>SKU-1103</t>
  </si>
  <si>
    <t>Corrugated Box Large</t>
  </si>
  <si>
    <t>SKU-1104</t>
  </si>
  <si>
    <t>Corrugated Box Large (Bulk)</t>
  </si>
  <si>
    <t>SKU-1105</t>
  </si>
  <si>
    <t>Bubble Wrap Roll</t>
  </si>
  <si>
    <t>SKU-1107</t>
  </si>
  <si>
    <t>Packing Tape</t>
  </si>
  <si>
    <t>SKU-1108</t>
  </si>
  <si>
    <t>Packing Tape (Bulk)</t>
  </si>
  <si>
    <t>SKU-1109</t>
  </si>
  <si>
    <t>Courier Bag Pack</t>
  </si>
  <si>
    <t>SKU-1112</t>
  </si>
  <si>
    <t>Stretch Film Roll (Bulk)</t>
  </si>
  <si>
    <t>SKU-1116</t>
  </si>
  <si>
    <t>Label Sticker Roll (Bulk)</t>
  </si>
  <si>
    <t>SKU-1118</t>
  </si>
  <si>
    <t>Thermocol Sheet (Bulk)</t>
  </si>
  <si>
    <t>SKU-1119</t>
  </si>
  <si>
    <t>Twine Roll</t>
  </si>
  <si>
    <t>SKU-1120</t>
  </si>
  <si>
    <t>Twine Roll (Bulk)</t>
  </si>
  <si>
    <t>WH-Delhi</t>
  </si>
  <si>
    <t>SKU-1032</t>
  </si>
  <si>
    <t>Copper Wire 90m (Bulk)</t>
  </si>
  <si>
    <t>SKU-1038</t>
  </si>
  <si>
    <t>Wall Socket (Bulk)</t>
  </si>
  <si>
    <t>SKU-1070</t>
  </si>
  <si>
    <t>Measuring Tape 5m (Bulk)</t>
  </si>
  <si>
    <t>SKU-1079</t>
  </si>
  <si>
    <t>Paint Brush</t>
  </si>
  <si>
    <t>SKU-1086</t>
  </si>
  <si>
    <t>Phenyl 1L (Bulk)</t>
  </si>
  <si>
    <t>SKU-1092</t>
  </si>
  <si>
    <t>Garbage Bags Roll (Bulk)</t>
  </si>
  <si>
    <t>SKU-1110</t>
  </si>
  <si>
    <t>Courier Bag Pack (Bulk)</t>
  </si>
  <si>
    <t>SKU-1111</t>
  </si>
  <si>
    <t>Stretch Film Roll</t>
  </si>
  <si>
    <t>SKU-1113</t>
  </si>
  <si>
    <t>Kraft Paper Roll</t>
  </si>
  <si>
    <t>SKU-1117</t>
  </si>
  <si>
    <t>Thermocol Sheet</t>
  </si>
  <si>
    <t>WH-Kolkata</t>
  </si>
  <si>
    <t>SKU-1095</t>
  </si>
  <si>
    <t>Glass Cleaner</t>
  </si>
  <si>
    <t>SKU-1097</t>
  </si>
  <si>
    <t>Scrub Pad Pack</t>
  </si>
  <si>
    <t>SKU-1098</t>
  </si>
  <si>
    <t>Scrub Pad Pack (Bulk)</t>
  </si>
  <si>
    <t>SKU-1106</t>
  </si>
  <si>
    <t>Bubble Wrap Roll (Bulk)</t>
  </si>
  <si>
    <t>SKU-1115</t>
  </si>
  <si>
    <t>Label Sticker Roll</t>
  </si>
  <si>
    <t>WH-Mumbai</t>
  </si>
  <si>
    <t>SKU-1114</t>
  </si>
  <si>
    <t>Kraft Paper Roll (Bulk)</t>
  </si>
  <si>
    <t>WH-Pune</t>
  </si>
  <si>
    <t>Inventory &amp; Supply Chain Analysis</t>
  </si>
  <si>
    <t>KPI</t>
  </si>
  <si>
    <t>VALUE</t>
  </si>
  <si>
    <t>TOTAL INVENTORY VALUE</t>
  </si>
  <si>
    <t>TOTAL CLOSING STOCK UNITS</t>
  </si>
  <si>
    <t>TOTAL UNITIS ISSUED</t>
  </si>
  <si>
    <t>TOTAL UNITIS RECEIVED</t>
  </si>
  <si>
    <t>TOTAL INVENTORY RECORDS</t>
  </si>
  <si>
    <t>Sum of stock_value</t>
  </si>
  <si>
    <t>Grand Total</t>
  </si>
  <si>
    <t>Count of sku</t>
  </si>
  <si>
    <t>FALSE</t>
  </si>
  <si>
    <t>TRUE</t>
  </si>
  <si>
    <t>INVENTORY &amp; SUPPLY CHAIN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</si>
</sst>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-4009]\ #,##0.0"/>
  </numFmts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scheme val="minor"/>
    </font>
    <font>
      <sz val="11"/>
      <color rgb="FF000000"/>
      <name val="Calibri"/>
      <family val="2"/>
      <scheme val="minor"/>
    </font>
    <font>
      <b/>
      <sz val="20"/>
      <color rgb="FF000000"/>
      <name val="Calibri"/>
      <family val="2"/>
      <scheme val="minor"/>
    </font>
    <font>
      <b/>
      <sz val="18"/>
      <color theme="1"/>
      <name val="Calibri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000000"/>
      <name val="Calibri"/>
      <scheme val="minor"/>
    </font>
    <font>
      <b/>
      <sz val="16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000000"/>
      <name val="-Webkit-Standard"/>
      <charset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14" fontId="0" fillId="0" borderId="0" xfId="0" applyNumberFormat="1"/>
    <xf numFmtId="0" fontId="18" fillId="0" borderId="0" xfId="0" applyFont="1"/>
    <xf numFmtId="0" fontId="0" fillId="0" borderId="0" xfId="0" applyNumberForma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0" fillId="0" borderId="0" xfId="0" pivotButton="1"/>
    <xf numFmtId="0" fontId="23" fillId="34" borderId="0" xfId="0" applyFont="1" applyFill="1"/>
    <xf numFmtId="0" fontId="0" fillId="34" borderId="0" xfId="0" applyFill="1"/>
    <xf numFmtId="164" fontId="23" fillId="34" borderId="0" xfId="0" applyNumberFormat="1" applyFont="1" applyFill="1" applyAlignment="1">
      <alignment horizontal="center"/>
    </xf>
    <xf numFmtId="0" fontId="23" fillId="34" borderId="0" xfId="0" applyFont="1" applyFill="1" applyAlignment="1">
      <alignment horizontal="center"/>
    </xf>
    <xf numFmtId="0" fontId="25" fillId="0" borderId="0" xfId="0" applyFont="1"/>
    <xf numFmtId="0" fontId="23" fillId="0" borderId="0" xfId="0" applyFont="1"/>
    <xf numFmtId="0" fontId="26" fillId="0" borderId="0" xfId="0" applyFont="1"/>
    <xf numFmtId="0" fontId="27" fillId="0" borderId="0" xfId="0" applyFont="1"/>
    <xf numFmtId="0" fontId="28" fillId="0" borderId="0" xfId="0" applyFont="1"/>
    <xf numFmtId="0" fontId="29" fillId="0" borderId="0" xfId="0" applyFont="1"/>
    <xf numFmtId="0" fontId="30" fillId="0" borderId="0" xfId="0" applyFont="1"/>
    <xf numFmtId="0" fontId="31" fillId="0" borderId="0" xfId="0" applyFont="1"/>
    <xf numFmtId="0" fontId="25" fillId="0" borderId="0" xfId="0" applyFont="1" applyAlignment="1">
      <alignment horizontal="left" vertical="top" wrapText="1"/>
    </xf>
    <xf numFmtId="0" fontId="24" fillId="33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[inventory_data.xlsx]inventory value by warehouse!PivotTable1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INVENTORY VALUE BY WAREHOUSE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'inventory value by warehouse'!$B$3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'inventory value by warehouse'!$A$4:$A$9</c:f>
              <c:strCache>
                <c:ptCount val="5"/>
                <c:pt idx="0">
                  <c:v>WH-Kolkata</c:v>
                </c:pt>
                <c:pt idx="1">
                  <c:v>WH-Mumbai</c:v>
                </c:pt>
                <c:pt idx="2">
                  <c:v>WH-Chennai</c:v>
                </c:pt>
                <c:pt idx="3">
                  <c:v>WH-Pune</c:v>
                </c:pt>
                <c:pt idx="4">
                  <c:v>WH-Delhi</c:v>
                </c:pt>
              </c:strCache>
            </c:strRef>
          </c:cat>
          <c:val>
            <c:numRef>
              <c:f>'inventory value by warehouse'!$B$4:$B$9</c:f>
              <c:numCache>
                <c:formatCode>General</c:formatCode>
                <c:ptCount val="5"/>
                <c:pt idx="0">
                  <c:v>33711648.749999985</c:v>
                </c:pt>
                <c:pt idx="1">
                  <c:v>33282114.690000005</c:v>
                </c:pt>
                <c:pt idx="2">
                  <c:v>32312068.480000008</c:v>
                </c:pt>
                <c:pt idx="3">
                  <c:v>31925297.890000015</c:v>
                </c:pt>
                <c:pt idx="4">
                  <c:v>30955575.070000008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3A-4241-A74E-5E8E1BA336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98528007"/>
        <c:axId val="998530055"/>
      </c:barChart>
      <c:catAx>
        <c:axId val="998528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8530055"/>
        <c:crosses val="autoZero"/>
        <c:auto val="1"/>
        <c:lblAlgn val="ctr"/>
        <c:lblOffset val="100"/>
        <c:noMultiLvlLbl val="0"/>
      </c:catAx>
      <c:valAx>
        <c:axId val="998530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₹-4009]\ 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852800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[inventory_data.xlsx]inventory value by category!PivotTable2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INVENTORY VALUE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'inventory value by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'inventory value by category'!$A$4:$A$10</c:f>
              <c:strCache>
                <c:ptCount val="6"/>
                <c:pt idx="0">
                  <c:v>Electrical</c:v>
                </c:pt>
                <c:pt idx="1">
                  <c:v>Hardware</c:v>
                </c:pt>
                <c:pt idx="2">
                  <c:v>Cleaning</c:v>
                </c:pt>
                <c:pt idx="3">
                  <c:v>Stationery</c:v>
                </c:pt>
                <c:pt idx="4">
                  <c:v>Packaging</c:v>
                </c:pt>
                <c:pt idx="5">
                  <c:v>Grocery</c:v>
                </c:pt>
              </c:strCache>
            </c:strRef>
          </c:cat>
          <c:val>
            <c:numRef>
              <c:f>'inventory value by category'!$B$4:$B$10</c:f>
              <c:numCache>
                <c:formatCode>General</c:formatCode>
                <c:ptCount val="6"/>
                <c:pt idx="0">
                  <c:v>66942028.079999998</c:v>
                </c:pt>
                <c:pt idx="1">
                  <c:v>28949775.460000008</c:v>
                </c:pt>
                <c:pt idx="2">
                  <c:v>19167362.449999996</c:v>
                </c:pt>
                <c:pt idx="3">
                  <c:v>16852386.149999991</c:v>
                </c:pt>
                <c:pt idx="4">
                  <c:v>16000110.679999989</c:v>
                </c:pt>
                <c:pt idx="5">
                  <c:v>14275042.059999997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F7-4D35-B3D2-700A779BBA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84901383"/>
        <c:axId val="884903431"/>
      </c:barChart>
      <c:catAx>
        <c:axId val="884901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4903431"/>
        <c:crosses val="autoZero"/>
        <c:auto val="1"/>
        <c:lblAlgn val="ctr"/>
        <c:lblOffset val="100"/>
        <c:noMultiLvlLbl val="0"/>
      </c:catAx>
      <c:valAx>
        <c:axId val="884903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₹-4009]\ 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4901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[inventory_data.xlsx]record status!PivotTable3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REORDER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'record status'!$B$3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35F-420A-B93F-A8C96AA3C80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35F-420A-B93F-A8C96AA3C80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'record status'!$A$4:$A$6</c:f>
              <c:strCache>
                <c:ptCount val="2"/>
                <c:pt idx="0">
                  <c:v>FALSE</c:v>
                </c:pt>
                <c:pt idx="1">
                  <c:v>TRUE</c:v>
                </c:pt>
              </c:strCache>
            </c:strRef>
          </c:cat>
          <c:val>
            <c:numRef>
              <c:f>'record status'!$B$4:$B$6</c:f>
              <c:numCache>
                <c:formatCode>General</c:formatCode>
                <c:ptCount val="2"/>
                <c:pt idx="0">
                  <c:v>733</c:v>
                </c:pt>
                <c:pt idx="1">
                  <c:v>267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35F-420A-B93F-A8C96AA3C8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[inventory_data.xlsx]inventory month value!PivotTable4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INVENTORY VALUE BY MONTH</a:t>
            </a:r>
          </a:p>
        </c:rich>
      </c:tx>
      <c:layout>
        <c:manualLayout>
          <c:xMode val="edge"/>
          <c:yMode val="edge"/>
          <c:x val="0.31105409300370246"/>
          <c:y val="3.08410424187725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'inventory month value'!$B$3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'inventory month value'!$A$4:$A$6</c:f>
              <c:strCache>
                <c:ptCount val="2"/>
                <c:pt idx="0">
                  <c:v>01/02/2026</c:v>
                </c:pt>
                <c:pt idx="1">
                  <c:v>01/03/2026</c:v>
                </c:pt>
              </c:strCache>
            </c:strRef>
          </c:cat>
          <c:val>
            <c:numRef>
              <c:f>'inventory month value'!$B$4:$B$6</c:f>
              <c:numCache>
                <c:formatCode>General</c:formatCode>
                <c:ptCount val="2"/>
                <c:pt idx="0">
                  <c:v>74861784.870000094</c:v>
                </c:pt>
                <c:pt idx="1">
                  <c:v>87324920.00999999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9B-4EC4-8098-C2E523E848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1107406344"/>
        <c:axId val="988708871"/>
      </c:barChart>
      <c:valAx>
        <c:axId val="988708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7406344"/>
        <c:crosses val="autoZero"/>
        <c:crossBetween val="between"/>
      </c:valAx>
      <c:catAx>
        <c:axId val="11074063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870887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514350</xdr:colOff>
      <xdr:row>5</xdr:row>
      <xdr:rowOff>0</xdr:rowOff>
    </xdr:from>
    <xdr:to>
      <xdr:col>4</xdr:col>
      <xdr:colOff>285750</xdr:colOff>
      <xdr:row>19</xdr:row>
      <xdr:rowOff>171450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92054F6D-3463-4D96-B2DD-1B9C756C54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733425</xdr:colOff>
      <xdr:row>5</xdr:row>
      <xdr:rowOff>0</xdr:rowOff>
    </xdr:from>
    <xdr:to>
      <xdr:col>8</xdr:col>
      <xdr:colOff>1457325</xdr:colOff>
      <xdr:row>19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7C85C35-9EA7-45B6-8389-A4069725AA70}"/>
            </a:ext>
            <a:ext uri="{147F2762-F138-4A5C-976F-8EAC2B608ADB}">
              <a16:predDERef xmlns:a16="http://schemas.microsoft.com/office/drawing/2014/main" pred="{92054F6D-3463-4D96-B2DD-1B9C756C54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514350</xdr:colOff>
      <xdr:row>20</xdr:row>
      <xdr:rowOff>180975</xdr:rowOff>
    </xdr:from>
    <xdr:to>
      <xdr:col>4</xdr:col>
      <xdr:colOff>323850</xdr:colOff>
      <xdr:row>34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32F0C4D-C887-4C48-A5EC-78E9753F5B75}"/>
            </a:ext>
            <a:ext uri="{147F2762-F138-4A5C-976F-8EAC2B608ADB}">
              <a16:predDERef xmlns:a16="http://schemas.microsoft.com/office/drawing/2014/main" pred="{87C85C35-9EA7-45B6-8389-A4069725AA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752475</xdr:colOff>
      <xdr:row>20</xdr:row>
      <xdr:rowOff>180975</xdr:rowOff>
    </xdr:from>
    <xdr:to>
      <xdr:col>8</xdr:col>
      <xdr:colOff>1466850</xdr:colOff>
      <xdr:row>34</xdr:row>
      <xdr:rowOff>152400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03C25AC-70B9-4EB3-8086-9CA2C5E7BC54}"/>
            </a:ext>
            <a:ext uri="{147F2762-F138-4A5C-976F-8EAC2B608ADB}">
              <a16:predDERef xmlns:a16="http://schemas.microsoft.com/office/drawing/2014/main" pred="{E32F0C4D-C887-4C48-A5EC-78E9753F5B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21.52937488426" createdVersion="8" refreshedVersion="8" minRefreshableVersion="3" recordCount="1000" xr:uid="{15D17142-6E69-4B7F-8793-574EFA04A866}">
  <cacheSource type="worksheet">
    <worksheetSource name="Table1"/>
  </cacheSource>
  <cacheFields count="18">
    <cacheField name="month" numFmtId="14">
      <sharedItems containsSemiMixedTypes="0" containsNonDate="0" containsDate="1" containsString="0" minDate="2026-02-01T00:00:00" maxDate="2026-03-02T00:00:00" count="2">
        <d v="2026-02-01T00:00:00"/>
        <d v="2026-03-01T00:00:00"/>
      </sharedItems>
    </cacheField>
    <cacheField name="warehouse" numFmtId="0">
      <sharedItems count="5">
        <s v="WH-Chennai"/>
        <s v="WH-Delhi"/>
        <s v="WH-Kolkata"/>
        <s v="WH-Mumbai"/>
        <s v="WH-Pune"/>
      </sharedItems>
    </cacheField>
    <cacheField name="sku" numFmtId="0">
      <sharedItems/>
    </cacheField>
    <cacheField name="item_name" numFmtId="0">
      <sharedItems/>
    </cacheField>
    <cacheField name="category" numFmtId="0">
      <sharedItems count="6">
        <s v="Stationery"/>
        <s v="Electrical"/>
        <s v="Grocery"/>
        <s v="Hardware"/>
        <s v="Cleaning"/>
        <s v="Packaging"/>
      </sharedItems>
    </cacheField>
    <cacheField name="unit" numFmtId="0">
      <sharedItems/>
    </cacheField>
    <cacheField name="opening_stock" numFmtId="0">
      <sharedItems containsSemiMixedTypes="0" containsString="0" containsNumber="1" containsInteger="1" minValue="0" maxValue="1127"/>
    </cacheField>
    <cacheField name="received_qty" numFmtId="0">
      <sharedItems containsSemiMixedTypes="0" containsString="0" containsNumber="1" containsInteger="1" minValue="0" maxValue="742"/>
    </cacheField>
    <cacheField name="issued_qty" numFmtId="0">
      <sharedItems containsSemiMixedTypes="0" containsString="0" containsNumber="1" containsInteger="1" minValue="7" maxValue="376"/>
    </cacheField>
    <cacheField name="closing_stock" numFmtId="0">
      <sharedItems containsSemiMixedTypes="0" containsString="0" containsNumber="1" containsInteger="1" minValue="0" maxValue="1301"/>
    </cacheField>
    <cacheField name="reorder_level" numFmtId="0">
      <sharedItems containsSemiMixedTypes="0" containsString="0" containsNumber="1" containsInteger="1" minValue="15" maxValue="315"/>
    </cacheField>
    <cacheField name="needs_reorder" numFmtId="0">
      <sharedItems count="2">
        <b v="0"/>
        <b v="1"/>
      </sharedItems>
    </cacheField>
    <cacheField name="unit_cost" numFmtId="0">
      <sharedItems containsSemiMixedTypes="0" containsString="0" containsNumber="1" minValue="16.52" maxValue="9460.17"/>
    </cacheField>
    <cacheField name="stock_value" numFmtId="0">
      <sharedItems containsSemiMixedTypes="0" containsString="0" containsNumber="1" minValue="0" maxValue="5716330.0199999996"/>
    </cacheField>
    <cacheField name="supplier" numFmtId="0">
      <sharedItems/>
    </cacheField>
    <cacheField name="stock_check" numFmtId="0">
      <sharedItems/>
    </cacheField>
    <cacheField name="recorder_check" numFmtId="0">
      <sharedItems/>
    </cacheField>
    <cacheField name="value_check" numFmtId="0">
      <sharedItems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x v="0"/>
    <s v="SKU-1001"/>
    <s v="A4 Paper Ream"/>
    <x v="0"/>
    <s v="pcs"/>
    <n v="320"/>
    <n v="0"/>
    <n v="152"/>
    <n v="168"/>
    <n v="123"/>
    <x v="0"/>
    <n v="276.76"/>
    <n v="46495.88"/>
    <s v="Lotus Agencies"/>
    <s v="OK"/>
    <s v="OK"/>
    <s v="OK"/>
  </r>
  <r>
    <x v="0"/>
    <x v="0"/>
    <s v="SKU-1002"/>
    <s v="A4 Paper Ream (Bulk)"/>
    <x v="0"/>
    <s v="pcs"/>
    <n v="83"/>
    <n v="0"/>
    <n v="36"/>
    <n v="47"/>
    <n v="53"/>
    <x v="1"/>
    <n v="1274.6300000000001"/>
    <n v="59907.46"/>
    <s v="Prime Packaging Works"/>
    <s v="OK"/>
    <s v="OK"/>
    <s v="OK"/>
  </r>
  <r>
    <x v="0"/>
    <x v="0"/>
    <s v="SKU-1003"/>
    <s v="Ball Pen Box"/>
    <x v="0"/>
    <s v="pcs"/>
    <n v="394"/>
    <n v="486"/>
    <n v="208"/>
    <n v="672"/>
    <n v="176"/>
    <x v="0"/>
    <n v="98.38"/>
    <n v="66110.37"/>
    <s v="Lotus Agencies"/>
    <s v="OK"/>
    <s v="OK"/>
    <s v="OK"/>
  </r>
  <r>
    <x v="0"/>
    <x v="0"/>
    <s v="SKU-1004"/>
    <s v="Ball Pen Box (Bulk)"/>
    <x v="0"/>
    <s v="pcs"/>
    <n v="146"/>
    <n v="148"/>
    <n v="22"/>
    <n v="272"/>
    <n v="96"/>
    <x v="0"/>
    <n v="412.63"/>
    <n v="112236.34"/>
    <s v="Northstar Enterprises"/>
    <s v="OK"/>
    <s v="OK"/>
    <s v="OK"/>
  </r>
  <r>
    <x v="0"/>
    <x v="0"/>
    <s v="SKU-1005"/>
    <s v="Stapler"/>
    <x v="0"/>
    <s v="pcs"/>
    <n v="160"/>
    <n v="322"/>
    <n v="122"/>
    <n v="360"/>
    <n v="136"/>
    <x v="0"/>
    <n v="128.44"/>
    <n v="46238.8"/>
    <s v="Lotus Agencies"/>
    <s v="OK"/>
    <s v="OK"/>
    <s v="OK"/>
  </r>
  <r>
    <x v="0"/>
    <x v="0"/>
    <s v="SKU-1006"/>
    <s v="Stapler (Bulk)"/>
    <x v="0"/>
    <s v="pcs"/>
    <n v="512"/>
    <n v="585"/>
    <n v="209"/>
    <n v="888"/>
    <n v="159"/>
    <x v="0"/>
    <n v="523.72"/>
    <n v="465065.6"/>
    <s v="Metro Wholesale"/>
    <s v="OK"/>
    <s v="OK"/>
    <s v="OK"/>
  </r>
  <r>
    <x v="0"/>
    <x v="0"/>
    <s v="SKU-1007"/>
    <s v="Box File"/>
    <x v="0"/>
    <s v="pcs"/>
    <n v="193"/>
    <n v="384"/>
    <n v="131"/>
    <n v="446"/>
    <n v="135"/>
    <x v="0"/>
    <n v="67.930000000000007"/>
    <n v="30297"/>
    <s v="Lotus Agencies"/>
    <s v="OK"/>
    <s v="OK"/>
    <s v="OK"/>
  </r>
  <r>
    <x v="0"/>
    <x v="0"/>
    <s v="SKU-1008"/>
    <s v="Box File (Bulk)"/>
    <x v="0"/>
    <s v="pcs"/>
    <n v="269"/>
    <n v="0"/>
    <n v="234"/>
    <n v="35"/>
    <n v="175"/>
    <x v="1"/>
    <n v="365.55"/>
    <n v="12794.27"/>
    <s v="Lotus Agencies"/>
    <s v="OK"/>
    <s v="OK"/>
    <s v="OK"/>
  </r>
  <r>
    <x v="0"/>
    <x v="0"/>
    <s v="SKU-1009"/>
    <s v="Whiteboard Marker Set"/>
    <x v="0"/>
    <s v="pcs"/>
    <n v="203"/>
    <n v="0"/>
    <n v="76"/>
    <n v="127"/>
    <n v="120"/>
    <x v="0"/>
    <n v="152.84"/>
    <n v="19410.759999999998"/>
    <s v="Unity Traders"/>
    <s v="OK"/>
    <s v="OK"/>
    <s v="OK"/>
  </r>
  <r>
    <x v="0"/>
    <x v="0"/>
    <s v="SKU-1010"/>
    <s v="Whiteboard Marker Set (Bulk)"/>
    <x v="0"/>
    <s v="pcs"/>
    <n v="20"/>
    <n v="51"/>
    <n v="15"/>
    <n v="56"/>
    <n v="25"/>
    <x v="0"/>
    <n v="768.39"/>
    <n v="43030.12"/>
    <s v="Greenleaf Supplies"/>
    <s v="OK"/>
    <s v="OK"/>
    <s v="OK"/>
  </r>
  <r>
    <x v="0"/>
    <x v="0"/>
    <s v="SKU-1011"/>
    <s v="Sticky Notes Pack"/>
    <x v="0"/>
    <s v="pcs"/>
    <n v="274"/>
    <n v="247"/>
    <n v="115"/>
    <n v="406"/>
    <n v="153"/>
    <x v="0"/>
    <n v="61.75"/>
    <n v="25070.84"/>
    <s v="Unity Traders"/>
    <s v="OK"/>
    <s v="OK"/>
    <s v="OK"/>
  </r>
  <r>
    <x v="0"/>
    <x v="0"/>
    <s v="SKU-1012"/>
    <s v="Sticky Notes Pack (Bulk)"/>
    <x v="0"/>
    <s v="pcs"/>
    <n v="137"/>
    <n v="398"/>
    <n v="77"/>
    <n v="458"/>
    <n v="156"/>
    <x v="0"/>
    <n v="260.63"/>
    <n v="119369.51"/>
    <s v="Lotus Agencies"/>
    <s v="OK"/>
    <s v="OK"/>
    <s v="OK"/>
  </r>
  <r>
    <x v="0"/>
    <x v="0"/>
    <s v="SKU-1013"/>
    <s v="Notebook 200 pages"/>
    <x v="0"/>
    <s v="pcs"/>
    <n v="339"/>
    <n v="378"/>
    <n v="199"/>
    <n v="518"/>
    <n v="159"/>
    <x v="0"/>
    <n v="54.71"/>
    <n v="28337.64"/>
    <s v="Greenleaf Supplies"/>
    <s v="OK"/>
    <s v="OK"/>
    <s v="OK"/>
  </r>
  <r>
    <x v="0"/>
    <x v="0"/>
    <s v="SKU-1014"/>
    <s v="Notebook 200 pages (Bulk)"/>
    <x v="0"/>
    <s v="pcs"/>
    <n v="308"/>
    <n v="0"/>
    <n v="143"/>
    <n v="165"/>
    <n v="135"/>
    <x v="0"/>
    <n v="244.44"/>
    <n v="40332.28"/>
    <s v="Unity Traders"/>
    <s v="OK"/>
    <s v="OK"/>
    <s v="OK"/>
  </r>
  <r>
    <x v="0"/>
    <x v="0"/>
    <s v="SKU-1015"/>
    <s v="Calculator"/>
    <x v="0"/>
    <s v="pcs"/>
    <n v="239"/>
    <n v="0"/>
    <n v="192"/>
    <n v="47"/>
    <n v="157"/>
    <x v="1"/>
    <n v="415.86"/>
    <n v="19545.37"/>
    <s v="Lotus Agencies"/>
    <s v="OK"/>
    <s v="OK"/>
    <s v="OK"/>
  </r>
  <r>
    <x v="0"/>
    <x v="0"/>
    <s v="SKU-1016"/>
    <s v="Calculator (Bulk)"/>
    <x v="0"/>
    <s v="pcs"/>
    <n v="112"/>
    <n v="0"/>
    <n v="38"/>
    <n v="74"/>
    <n v="48"/>
    <x v="0"/>
    <n v="2178.5500000000002"/>
    <n v="161212.44"/>
    <s v="Sunrise Distributors"/>
    <s v="OK"/>
    <s v="OK"/>
    <s v="OK"/>
  </r>
  <r>
    <x v="0"/>
    <x v="0"/>
    <s v="SKU-1017"/>
    <s v="Glue Stick"/>
    <x v="0"/>
    <s v="pcs"/>
    <n v="104"/>
    <n v="0"/>
    <n v="51"/>
    <n v="53"/>
    <n v="50"/>
    <x v="0"/>
    <n v="26.12"/>
    <n v="1384.52"/>
    <s v="Unity Traders"/>
    <s v="OK"/>
    <s v="OK"/>
    <s v="OK"/>
  </r>
  <r>
    <x v="0"/>
    <x v="0"/>
    <s v="SKU-1018"/>
    <s v="Glue Stick (Bulk)"/>
    <x v="0"/>
    <s v="pcs"/>
    <n v="337"/>
    <n v="0"/>
    <n v="232"/>
    <n v="105"/>
    <n v="251"/>
    <x v="1"/>
    <n v="105.81"/>
    <n v="11110.27"/>
    <s v="Greenleaf Supplies"/>
    <s v="OK"/>
    <s v="OK"/>
    <s v="OK"/>
  </r>
  <r>
    <x v="0"/>
    <x v="0"/>
    <s v="SKU-1019"/>
    <s v="Envelope Pack"/>
    <x v="0"/>
    <s v="pcs"/>
    <n v="74"/>
    <n v="150"/>
    <n v="40"/>
    <n v="184"/>
    <n v="52"/>
    <x v="0"/>
    <n v="72.23"/>
    <n v="13289.65"/>
    <s v="Unity Traders"/>
    <s v="OK"/>
    <s v="OK"/>
    <s v="OK"/>
  </r>
  <r>
    <x v="0"/>
    <x v="0"/>
    <s v="SKU-1020"/>
    <s v="Envelope Pack (Bulk)"/>
    <x v="0"/>
    <s v="pcs"/>
    <n v="367"/>
    <n v="0"/>
    <n v="103"/>
    <n v="264"/>
    <n v="123"/>
    <x v="0"/>
    <n v="371.93"/>
    <n v="98188.79"/>
    <s v="Prime Packaging Works"/>
    <s v="OK"/>
    <s v="OK"/>
    <s v="OK"/>
  </r>
  <r>
    <x v="0"/>
    <x v="0"/>
    <s v="SKU-1021"/>
    <s v="LED Bulb 9W"/>
    <x v="1"/>
    <s v="pcs"/>
    <n v="432"/>
    <n v="519"/>
    <n v="123"/>
    <n v="828"/>
    <n v="140"/>
    <x v="0"/>
    <n v="94.83"/>
    <n v="78516.5"/>
    <s v="Prime Packaging Works"/>
    <s v="OK"/>
    <s v="OK"/>
    <s v="OK"/>
  </r>
  <r>
    <x v="0"/>
    <x v="0"/>
    <s v="SKU-1022"/>
    <s v="LED Bulb 9W (Bulk)"/>
    <x v="1"/>
    <s v="pcs"/>
    <n v="375"/>
    <n v="0"/>
    <n v="174"/>
    <n v="201"/>
    <n v="233"/>
    <x v="1"/>
    <n v="431.8"/>
    <n v="86791.19"/>
    <s v="Sunrise Distributors"/>
    <s v="OK"/>
    <s v="OK"/>
    <s v="OK"/>
  </r>
  <r>
    <x v="0"/>
    <x v="0"/>
    <s v="SKU-1023"/>
    <s v="LED Tube Light 20W"/>
    <x v="1"/>
    <s v="pcs"/>
    <n v="152"/>
    <n v="0"/>
    <n v="57"/>
    <n v="95"/>
    <n v="44"/>
    <x v="0"/>
    <n v="238.93"/>
    <n v="22698.45"/>
    <s v="Metro Wholesale"/>
    <s v="OK"/>
    <s v="OK"/>
    <s v="OK"/>
  </r>
  <r>
    <x v="0"/>
    <x v="0"/>
    <s v="SKU-1024"/>
    <s v="LED Tube Light 20W (Bulk)"/>
    <x v="1"/>
    <s v="pcs"/>
    <n v="210"/>
    <n v="378"/>
    <n v="185"/>
    <n v="403"/>
    <n v="198"/>
    <x v="0"/>
    <n v="1132.58"/>
    <n v="456430.39"/>
    <s v="Metro Wholesale"/>
    <s v="OK"/>
    <s v="OK"/>
    <s v="OK"/>
  </r>
  <r>
    <x v="0"/>
    <x v="0"/>
    <s v="SKU-1025"/>
    <s v="Extension Board"/>
    <x v="1"/>
    <s v="pcs"/>
    <n v="55"/>
    <n v="0"/>
    <n v="16"/>
    <n v="39"/>
    <n v="23"/>
    <x v="0"/>
    <n v="365.09"/>
    <n v="14238.57"/>
    <s v="Greenleaf Supplies"/>
    <s v="OK"/>
    <s v="OK"/>
    <s v="OK"/>
  </r>
  <r>
    <x v="0"/>
    <x v="0"/>
    <s v="SKU-1026"/>
    <s v="Extension Board (Bulk)"/>
    <x v="1"/>
    <s v="pcs"/>
    <n v="553"/>
    <n v="0"/>
    <n v="215"/>
    <n v="338"/>
    <n v="193"/>
    <x v="0"/>
    <n v="1785.17"/>
    <n v="603387"/>
    <s v="Northstar Enterprises"/>
    <s v="OK"/>
    <s v="OK"/>
    <s v="OK"/>
  </r>
  <r>
    <x v="0"/>
    <x v="0"/>
    <s v="SKU-1027"/>
    <s v="Ceiling Fan"/>
    <x v="1"/>
    <s v="pcs"/>
    <n v="362"/>
    <n v="496"/>
    <n v="150"/>
    <n v="708"/>
    <n v="169"/>
    <x v="0"/>
    <n v="1831.69"/>
    <n v="1296836.77"/>
    <s v="Metro Wholesale"/>
    <s v="OK"/>
    <s v="OK"/>
    <s v="OK"/>
  </r>
  <r>
    <x v="0"/>
    <x v="0"/>
    <s v="SKU-1028"/>
    <s v="Ceiling Fan (Bulk)"/>
    <x v="1"/>
    <s v="pcs"/>
    <n v="315"/>
    <n v="0"/>
    <n v="91"/>
    <n v="224"/>
    <n v="148"/>
    <x v="0"/>
    <n v="8178.76"/>
    <n v="1832041.61"/>
    <s v="Greenleaf Supplies"/>
    <s v="OK"/>
    <s v="OK"/>
    <s v="OK"/>
  </r>
  <r>
    <x v="0"/>
    <x v="0"/>
    <s v="SKU-1029"/>
    <s v="Modular Switch"/>
    <x v="1"/>
    <s v="pcs"/>
    <n v="352"/>
    <n v="0"/>
    <n v="107"/>
    <n v="245"/>
    <n v="174"/>
    <x v="0"/>
    <n v="49.03"/>
    <n v="12011.94"/>
    <s v="Sunrise Distributors"/>
    <s v="OK"/>
    <s v="OK"/>
    <s v="OK"/>
  </r>
  <r>
    <x v="0"/>
    <x v="0"/>
    <s v="SKU-1030"/>
    <s v="Modular Switch (Bulk)"/>
    <x v="1"/>
    <s v="pcs"/>
    <n v="133"/>
    <n v="0"/>
    <n v="54"/>
    <n v="79"/>
    <n v="54"/>
    <x v="0"/>
    <n v="192.8"/>
    <n v="15231.37"/>
    <s v="Northstar Enterprises"/>
    <s v="OK"/>
    <s v="OK"/>
    <s v="OK"/>
  </r>
  <r>
    <x v="0"/>
    <x v="0"/>
    <s v="SKU-1031"/>
    <s v="Copper Wire 90m"/>
    <x v="1"/>
    <s v="pcs"/>
    <n v="50"/>
    <n v="106"/>
    <n v="44"/>
    <n v="112"/>
    <n v="43"/>
    <x v="0"/>
    <n v="1633.67"/>
    <n v="182970.62"/>
    <s v="Northstar Enterprises"/>
    <s v="OK"/>
    <s v="OK"/>
    <s v="OK"/>
  </r>
  <r>
    <x v="0"/>
    <x v="0"/>
    <s v="SKU-1033"/>
    <s v="MCB 32A"/>
    <x v="1"/>
    <s v="pcs"/>
    <n v="200"/>
    <n v="291"/>
    <n v="84"/>
    <n v="407"/>
    <n v="137"/>
    <x v="0"/>
    <n v="270.76"/>
    <n v="110200.01"/>
    <s v="Lotus Agencies"/>
    <s v="OK"/>
    <s v="OK"/>
    <s v="OK"/>
  </r>
  <r>
    <x v="0"/>
    <x v="0"/>
    <s v="SKU-1034"/>
    <s v="MCB 32A (Bulk)"/>
    <x v="1"/>
    <s v="pcs"/>
    <n v="377"/>
    <n v="0"/>
    <n v="132"/>
    <n v="245"/>
    <n v="177"/>
    <x v="0"/>
    <n v="1297.4000000000001"/>
    <n v="317862.88"/>
    <s v="Northstar Enterprises"/>
    <s v="OK"/>
    <s v="OK"/>
    <s v="OK"/>
  </r>
  <r>
    <x v="0"/>
    <x v="0"/>
    <s v="SKU-1035"/>
    <s v="Emergency Light"/>
    <x v="1"/>
    <s v="pcs"/>
    <n v="409"/>
    <n v="0"/>
    <n v="152"/>
    <n v="257"/>
    <n v="218"/>
    <x v="0"/>
    <n v="760.71"/>
    <n v="195503.39"/>
    <s v="Apex Trading Co."/>
    <s v="OK"/>
    <s v="OK"/>
    <s v="OK"/>
  </r>
  <r>
    <x v="0"/>
    <x v="0"/>
    <s v="SKU-1036"/>
    <s v="Emergency Light (Bulk)"/>
    <x v="1"/>
    <s v="pcs"/>
    <n v="234"/>
    <n v="0"/>
    <n v="97"/>
    <n v="137"/>
    <n v="120"/>
    <x v="0"/>
    <n v="3483.02"/>
    <n v="477173.32"/>
    <s v="Greenleaf Supplies"/>
    <s v="OK"/>
    <s v="OK"/>
    <s v="OK"/>
  </r>
  <r>
    <x v="0"/>
    <x v="0"/>
    <s v="SKU-1037"/>
    <s v="Wall Socket"/>
    <x v="1"/>
    <s v="pcs"/>
    <n v="245"/>
    <n v="0"/>
    <n v="158"/>
    <n v="87"/>
    <n v="156"/>
    <x v="1"/>
    <n v="57.69"/>
    <n v="5019.1499999999996"/>
    <s v="Northstar Enterprises"/>
    <s v="OK"/>
    <s v="OK"/>
    <s v="OK"/>
  </r>
  <r>
    <x v="0"/>
    <x v="0"/>
    <s v="SKU-1039"/>
    <s v="Table Lamp"/>
    <x v="1"/>
    <s v="pcs"/>
    <n v="265"/>
    <n v="0"/>
    <n v="179"/>
    <n v="86"/>
    <n v="201"/>
    <x v="1"/>
    <n v="480.93"/>
    <n v="41360.22"/>
    <s v="Apex Trading Co."/>
    <s v="OK"/>
    <s v="OK"/>
    <s v="OK"/>
  </r>
  <r>
    <x v="0"/>
    <x v="0"/>
    <s v="SKU-1040"/>
    <s v="Table Lamp (Bulk)"/>
    <x v="1"/>
    <s v="pcs"/>
    <n v="450"/>
    <n v="0"/>
    <n v="173"/>
    <n v="277"/>
    <n v="201"/>
    <x v="0"/>
    <n v="2392.23"/>
    <n v="662646.56999999995"/>
    <s v="Northstar Enterprises"/>
    <s v="OK"/>
    <s v="OK"/>
    <s v="OK"/>
  </r>
  <r>
    <x v="0"/>
    <x v="0"/>
    <s v="SKU-1041"/>
    <s v="Basmati Rice"/>
    <x v="2"/>
    <s v="kg"/>
    <n v="125"/>
    <n v="0"/>
    <n v="125"/>
    <n v="0"/>
    <n v="99"/>
    <x v="1"/>
    <n v="93.71"/>
    <n v="0"/>
    <s v="Lotus Agencies"/>
    <s v="OK"/>
    <s v="OK"/>
    <s v="OK"/>
  </r>
  <r>
    <x v="0"/>
    <x v="0"/>
    <s v="SKU-1042"/>
    <s v="Basmati Rice (Bulk)"/>
    <x v="2"/>
    <s v="kg"/>
    <n v="95"/>
    <n v="248"/>
    <n v="87"/>
    <n v="256"/>
    <n v="79"/>
    <x v="0"/>
    <n v="477.37"/>
    <n v="122206.98"/>
    <s v="Apex Trading Co."/>
    <s v="OK"/>
    <s v="OK"/>
    <s v="OK"/>
  </r>
  <r>
    <x v="0"/>
    <x v="0"/>
    <s v="SKU-1043"/>
    <s v="Toor Dal"/>
    <x v="2"/>
    <s v="kg"/>
    <n v="540"/>
    <n v="499"/>
    <n v="151"/>
    <n v="888"/>
    <n v="224"/>
    <x v="0"/>
    <n v="153.99"/>
    <n v="136741.37"/>
    <s v="Prime Packaging Works"/>
    <s v="OK"/>
    <s v="OK"/>
    <s v="OK"/>
  </r>
  <r>
    <x v="0"/>
    <x v="0"/>
    <s v="SKU-1044"/>
    <s v="Toor Dal (Bulk)"/>
    <x v="2"/>
    <s v="kg"/>
    <n v="165"/>
    <n v="389"/>
    <n v="187"/>
    <n v="367"/>
    <n v="151"/>
    <x v="0"/>
    <n v="677.01"/>
    <n v="248461.73"/>
    <s v="Unity Traders"/>
    <s v="OK"/>
    <s v="OK"/>
    <s v="OK"/>
  </r>
  <r>
    <x v="0"/>
    <x v="0"/>
    <s v="SKU-1045"/>
    <s v="Sugar"/>
    <x v="2"/>
    <s v="kg"/>
    <n v="315"/>
    <n v="318"/>
    <n v="108"/>
    <n v="525"/>
    <n v="139"/>
    <x v="0"/>
    <n v="41.2"/>
    <n v="21628.48"/>
    <s v="Northstar Enterprises"/>
    <s v="OK"/>
    <s v="OK"/>
    <s v="OK"/>
  </r>
  <r>
    <x v="0"/>
    <x v="0"/>
    <s v="SKU-1046"/>
    <s v="Sugar (Bulk)"/>
    <x v="2"/>
    <s v="kg"/>
    <n v="267"/>
    <n v="444"/>
    <n v="111"/>
    <n v="600"/>
    <n v="167"/>
    <x v="0"/>
    <n v="185.85"/>
    <n v="111512.1"/>
    <s v="Northstar Enterprises"/>
    <s v="OK"/>
    <s v="OK"/>
    <s v="OK"/>
  </r>
  <r>
    <x v="0"/>
    <x v="0"/>
    <s v="SKU-1047"/>
    <s v="Wheat Atta"/>
    <x v="2"/>
    <s v="kg"/>
    <n v="202"/>
    <n v="0"/>
    <n v="77"/>
    <n v="125"/>
    <n v="89"/>
    <x v="0"/>
    <n v="40.72"/>
    <n v="5089.8500000000004"/>
    <s v="Greenleaf Supplies"/>
    <s v="OK"/>
    <s v="OK"/>
    <s v="OK"/>
  </r>
  <r>
    <x v="0"/>
    <x v="0"/>
    <s v="SKU-1048"/>
    <s v="Wheat Atta (Bulk)"/>
    <x v="2"/>
    <s v="kg"/>
    <n v="130"/>
    <n v="0"/>
    <n v="90"/>
    <n v="40"/>
    <n v="106"/>
    <x v="1"/>
    <n v="190.36"/>
    <n v="7614.56"/>
    <s v="Lotus Agencies"/>
    <s v="OK"/>
    <s v="OK"/>
    <s v="OK"/>
  </r>
  <r>
    <x v="0"/>
    <x v="0"/>
    <s v="SKU-1049"/>
    <s v="Sunflower Oil (L)"/>
    <x v="2"/>
    <s v="kg"/>
    <n v="347"/>
    <n v="0"/>
    <n v="179"/>
    <n v="168"/>
    <n v="215"/>
    <x v="1"/>
    <n v="129.99"/>
    <n v="21838.65"/>
    <s v="Greenleaf Supplies"/>
    <s v="OK"/>
    <s v="OK"/>
    <s v="OK"/>
  </r>
  <r>
    <x v="0"/>
    <x v="0"/>
    <s v="SKU-1050"/>
    <s v="Sunflower Oil (L) (Bulk)"/>
    <x v="2"/>
    <s v="kg"/>
    <n v="146"/>
    <n v="0"/>
    <n v="60"/>
    <n v="86"/>
    <n v="120"/>
    <x v="1"/>
    <n v="622.80999999999995"/>
    <n v="53561.91"/>
    <s v="Unity Traders"/>
    <s v="OK"/>
    <s v="OK"/>
    <s v="OK"/>
  </r>
  <r>
    <x v="0"/>
    <x v="0"/>
    <s v="SKU-1051"/>
    <s v="Tea Leaves"/>
    <x v="2"/>
    <s v="kg"/>
    <n v="453"/>
    <n v="0"/>
    <n v="263"/>
    <n v="190"/>
    <n v="274"/>
    <x v="1"/>
    <n v="412.71"/>
    <n v="78415.429999999993"/>
    <s v="Northstar Enterprises"/>
    <s v="OK"/>
    <s v="OK"/>
    <s v="OK"/>
  </r>
  <r>
    <x v="0"/>
    <x v="0"/>
    <s v="SKU-1052"/>
    <s v="Tea Leaves (Bulk)"/>
    <x v="2"/>
    <s v="kg"/>
    <n v="134"/>
    <n v="0"/>
    <n v="59"/>
    <n v="75"/>
    <n v="56"/>
    <x v="0"/>
    <n v="1980.46"/>
    <n v="148534.35"/>
    <s v="Lotus Agencies"/>
    <s v="OK"/>
    <s v="OK"/>
    <s v="OK"/>
  </r>
  <r>
    <x v="0"/>
    <x v="0"/>
    <s v="SKU-1053"/>
    <s v="Salt"/>
    <x v="2"/>
    <s v="kg"/>
    <n v="358"/>
    <n v="0"/>
    <n v="276"/>
    <n v="82"/>
    <n v="160"/>
    <x v="1"/>
    <n v="23.88"/>
    <n v="1958.3"/>
    <s v="Apex Trading Co."/>
    <s v="OK"/>
    <s v="OK"/>
    <s v="OK"/>
  </r>
  <r>
    <x v="0"/>
    <x v="0"/>
    <s v="SKU-1054"/>
    <s v="Salt (Bulk)"/>
    <x v="2"/>
    <s v="kg"/>
    <n v="130"/>
    <n v="282"/>
    <n v="97"/>
    <n v="315"/>
    <n v="135"/>
    <x v="0"/>
    <n v="110.78"/>
    <n v="34894.589999999997"/>
    <s v="Northstar Enterprises"/>
    <s v="OK"/>
    <s v="OK"/>
    <s v="OK"/>
  </r>
  <r>
    <x v="0"/>
    <x v="0"/>
    <s v="SKU-1055"/>
    <s v="Poha"/>
    <x v="2"/>
    <s v="kg"/>
    <n v="184"/>
    <n v="0"/>
    <n v="119"/>
    <n v="65"/>
    <n v="135"/>
    <x v="1"/>
    <n v="60.61"/>
    <n v="3939.65"/>
    <s v="Prime Packaging Works"/>
    <s v="OK"/>
    <s v="OK"/>
    <s v="OK"/>
  </r>
  <r>
    <x v="0"/>
    <x v="0"/>
    <s v="SKU-1056"/>
    <s v="Poha (Bulk)"/>
    <x v="2"/>
    <s v="kg"/>
    <n v="382"/>
    <n v="0"/>
    <n v="164"/>
    <n v="218"/>
    <n v="110"/>
    <x v="0"/>
    <n v="298.79000000000002"/>
    <n v="65137.03"/>
    <s v="Northstar Enterprises"/>
    <s v="OK"/>
    <s v="OK"/>
    <s v="OK"/>
  </r>
  <r>
    <x v="0"/>
    <x v="0"/>
    <s v="SKU-1057"/>
    <s v="Chana Dal"/>
    <x v="2"/>
    <s v="kg"/>
    <n v="291"/>
    <n v="0"/>
    <n v="87"/>
    <n v="204"/>
    <n v="96"/>
    <x v="0"/>
    <n v="89.97"/>
    <n v="18354.03"/>
    <s v="Metro Wholesale"/>
    <s v="OK"/>
    <s v="OK"/>
    <s v="OK"/>
  </r>
  <r>
    <x v="0"/>
    <x v="0"/>
    <s v="SKU-1058"/>
    <s v="Chana Dal (Bulk)"/>
    <x v="2"/>
    <s v="kg"/>
    <n v="250"/>
    <n v="0"/>
    <n v="130"/>
    <n v="120"/>
    <n v="187"/>
    <x v="1"/>
    <n v="441.72"/>
    <n v="53005.82"/>
    <s v="Lotus Agencies"/>
    <s v="OK"/>
    <s v="OK"/>
    <s v="OK"/>
  </r>
  <r>
    <x v="0"/>
    <x v="0"/>
    <s v="SKU-1059"/>
    <s v="Jaggery"/>
    <x v="2"/>
    <s v="kg"/>
    <n v="454"/>
    <n v="0"/>
    <n v="289"/>
    <n v="165"/>
    <n v="209"/>
    <x v="1"/>
    <n v="63.49"/>
    <n v="10475.290000000001"/>
    <s v="Metro Wholesale"/>
    <s v="OK"/>
    <s v="OK"/>
    <s v="OK"/>
  </r>
  <r>
    <x v="0"/>
    <x v="0"/>
    <s v="SKU-1060"/>
    <s v="Jaggery (Bulk)"/>
    <x v="2"/>
    <s v="kg"/>
    <n v="562"/>
    <n v="533"/>
    <n v="153"/>
    <n v="942"/>
    <n v="235"/>
    <x v="0"/>
    <n v="320.77"/>
    <n v="302164.21999999997"/>
    <s v="Apex Trading Co."/>
    <s v="OK"/>
    <s v="OK"/>
    <s v="OK"/>
  </r>
  <r>
    <x v="0"/>
    <x v="0"/>
    <s v="SKU-1061"/>
    <s v="Hammer"/>
    <x v="3"/>
    <s v="pcs"/>
    <n v="131"/>
    <n v="0"/>
    <n v="91"/>
    <n v="40"/>
    <n v="96"/>
    <x v="1"/>
    <n v="282.58"/>
    <n v="11303.24"/>
    <s v="Northstar Enterprises"/>
    <s v="OK"/>
    <s v="OK"/>
    <s v="OK"/>
  </r>
  <r>
    <x v="0"/>
    <x v="0"/>
    <s v="SKU-1062"/>
    <s v="Hammer (Bulk)"/>
    <x v="3"/>
    <s v="pcs"/>
    <n v="186"/>
    <n v="238"/>
    <n v="67"/>
    <n v="357"/>
    <n v="163"/>
    <x v="0"/>
    <n v="1147.81"/>
    <n v="409769.8"/>
    <s v="Apex Trading Co."/>
    <s v="OK"/>
    <s v="OK"/>
    <s v="OK"/>
  </r>
  <r>
    <x v="0"/>
    <x v="0"/>
    <s v="SKU-1063"/>
    <s v="Screwdriver Set"/>
    <x v="3"/>
    <s v="pcs"/>
    <n v="267"/>
    <n v="0"/>
    <n v="133"/>
    <n v="134"/>
    <n v="202"/>
    <x v="1"/>
    <n v="297.51"/>
    <n v="39866.35"/>
    <s v="Sunrise Distributors"/>
    <s v="OK"/>
    <s v="OK"/>
    <s v="OK"/>
  </r>
  <r>
    <x v="0"/>
    <x v="0"/>
    <s v="SKU-1064"/>
    <s v="Screwdriver Set (Bulk)"/>
    <x v="3"/>
    <s v="pcs"/>
    <n v="263"/>
    <n v="0"/>
    <n v="110"/>
    <n v="153"/>
    <n v="130"/>
    <x v="0"/>
    <n v="1484.79"/>
    <n v="227172.23"/>
    <s v="Northstar Enterprises"/>
    <s v="OK"/>
    <s v="OK"/>
    <s v="OK"/>
  </r>
  <r>
    <x v="0"/>
    <x v="0"/>
    <s v="SKU-1065"/>
    <s v="Wall Plug Pack"/>
    <x v="3"/>
    <s v="pcs"/>
    <n v="149"/>
    <n v="378"/>
    <n v="105"/>
    <n v="422"/>
    <n v="111"/>
    <x v="0"/>
    <n v="46.78"/>
    <n v="19740.099999999999"/>
    <s v="Metro Wholesale"/>
    <s v="OK"/>
    <s v="OK"/>
    <s v="OK"/>
  </r>
  <r>
    <x v="0"/>
    <x v="0"/>
    <s v="SKU-1066"/>
    <s v="Wall Plug Pack (Bulk)"/>
    <x v="3"/>
    <s v="pcs"/>
    <n v="337"/>
    <n v="0"/>
    <n v="118"/>
    <n v="219"/>
    <n v="127"/>
    <x v="0"/>
    <n v="188.11"/>
    <n v="41195.43"/>
    <s v="Lotus Agencies"/>
    <s v="OK"/>
    <s v="OK"/>
    <s v="OK"/>
  </r>
  <r>
    <x v="0"/>
    <x v="0"/>
    <s v="SKU-1067"/>
    <s v="Padlock"/>
    <x v="3"/>
    <s v="pcs"/>
    <n v="439"/>
    <n v="0"/>
    <n v="88"/>
    <n v="351"/>
    <n v="216"/>
    <x v="0"/>
    <n v="205.22"/>
    <n v="72030.570000000007"/>
    <s v="Metro Wholesale"/>
    <s v="OK"/>
    <s v="OK"/>
    <s v="OK"/>
  </r>
  <r>
    <x v="0"/>
    <x v="0"/>
    <s v="SKU-1068"/>
    <s v="Padlock (Bulk)"/>
    <x v="3"/>
    <s v="pcs"/>
    <n v="447"/>
    <n v="332"/>
    <n v="224"/>
    <n v="555"/>
    <n v="207"/>
    <x v="0"/>
    <n v="965.1"/>
    <n v="535629.11"/>
    <s v="Apex Trading Co."/>
    <s v="OK"/>
    <s v="OK"/>
    <s v="OK"/>
  </r>
  <r>
    <x v="0"/>
    <x v="0"/>
    <s v="SKU-1069"/>
    <s v="Measuring Tape 5m"/>
    <x v="3"/>
    <s v="pcs"/>
    <n v="49"/>
    <n v="64"/>
    <n v="9"/>
    <n v="104"/>
    <n v="26"/>
    <x v="0"/>
    <n v="150.35"/>
    <n v="15636.57"/>
    <s v="Unity Traders"/>
    <s v="OK"/>
    <s v="OK"/>
    <s v="OK"/>
  </r>
  <r>
    <x v="0"/>
    <x v="0"/>
    <s v="SKU-1071"/>
    <s v="Spanner Set"/>
    <x v="3"/>
    <s v="pcs"/>
    <n v="398"/>
    <n v="0"/>
    <n v="243"/>
    <n v="155"/>
    <n v="215"/>
    <x v="1"/>
    <n v="644.4"/>
    <n v="99882.1"/>
    <s v="Prime Packaging Works"/>
    <s v="OK"/>
    <s v="OK"/>
    <s v="OK"/>
  </r>
  <r>
    <x v="0"/>
    <x v="0"/>
    <s v="SKU-1072"/>
    <s v="Spanner Set (Bulk)"/>
    <x v="3"/>
    <s v="pcs"/>
    <n v="376"/>
    <n v="0"/>
    <n v="142"/>
    <n v="234"/>
    <n v="177"/>
    <x v="0"/>
    <n v="2783.31"/>
    <n v="651294.06999999995"/>
    <s v="Greenleaf Supplies"/>
    <s v="OK"/>
    <s v="OK"/>
    <s v="OK"/>
  </r>
  <r>
    <x v="0"/>
    <x v="0"/>
    <s v="SKU-1073"/>
    <s v="Drill Bit Set"/>
    <x v="3"/>
    <s v="pcs"/>
    <n v="186"/>
    <n v="267"/>
    <n v="68"/>
    <n v="385"/>
    <n v="164"/>
    <x v="0"/>
    <n v="498.5"/>
    <n v="191922.36"/>
    <s v="Lotus Agencies"/>
    <s v="OK"/>
    <s v="OK"/>
    <s v="OK"/>
  </r>
  <r>
    <x v="0"/>
    <x v="0"/>
    <s v="SKU-1074"/>
    <s v="Drill Bit Set (Bulk)"/>
    <x v="3"/>
    <s v="pcs"/>
    <n v="400"/>
    <n v="0"/>
    <n v="157"/>
    <n v="243"/>
    <n v="206"/>
    <x v="0"/>
    <n v="2366.69"/>
    <n v="575104.57999999996"/>
    <s v="Prime Packaging Works"/>
    <s v="OK"/>
    <s v="OK"/>
    <s v="OK"/>
  </r>
  <r>
    <x v="0"/>
    <x v="0"/>
    <s v="SKU-1075"/>
    <s v="Wood Screws Pack"/>
    <x v="3"/>
    <s v="pcs"/>
    <n v="226"/>
    <n v="0"/>
    <n v="62"/>
    <n v="164"/>
    <n v="94"/>
    <x v="0"/>
    <n v="73.63"/>
    <n v="12075.59"/>
    <s v="Prime Packaging Works"/>
    <s v="OK"/>
    <s v="OK"/>
    <s v="OK"/>
  </r>
  <r>
    <x v="0"/>
    <x v="0"/>
    <s v="SKU-1076"/>
    <s v="Wood Screws Pack (Bulk)"/>
    <x v="3"/>
    <s v="pcs"/>
    <n v="220"/>
    <n v="0"/>
    <n v="71"/>
    <n v="149"/>
    <n v="159"/>
    <x v="1"/>
    <n v="330.45"/>
    <n v="49236.57"/>
    <s v="Northstar Enterprises"/>
    <s v="OK"/>
    <s v="OK"/>
    <s v="OK"/>
  </r>
  <r>
    <x v="0"/>
    <x v="0"/>
    <s v="SKU-1077"/>
    <s v="Door Hinge"/>
    <x v="3"/>
    <s v="pcs"/>
    <n v="508"/>
    <n v="0"/>
    <n v="174"/>
    <n v="334"/>
    <n v="305"/>
    <x v="0"/>
    <n v="54.27"/>
    <n v="18127.41"/>
    <s v="Unity Traders"/>
    <s v="OK"/>
    <s v="OK"/>
    <s v="OK"/>
  </r>
  <r>
    <x v="0"/>
    <x v="0"/>
    <s v="SKU-1078"/>
    <s v="Door Hinge (Bulk)"/>
    <x v="3"/>
    <s v="pcs"/>
    <n v="96"/>
    <n v="78"/>
    <n v="28"/>
    <n v="146"/>
    <n v="43"/>
    <x v="0"/>
    <n v="250.15"/>
    <n v="36521.919999999998"/>
    <s v="Northstar Enterprises"/>
    <s v="OK"/>
    <s v="OK"/>
    <s v="OK"/>
  </r>
  <r>
    <x v="0"/>
    <x v="0"/>
    <s v="SKU-1080"/>
    <s v="Paint Brush (Bulk)"/>
    <x v="3"/>
    <s v="pcs"/>
    <n v="171"/>
    <n v="324"/>
    <n v="89"/>
    <n v="406"/>
    <n v="225"/>
    <x v="0"/>
    <n v="414.16"/>
    <n v="168148.32"/>
    <s v="Sunrise Distributors"/>
    <s v="OK"/>
    <s v="OK"/>
    <s v="OK"/>
  </r>
  <r>
    <x v="0"/>
    <x v="0"/>
    <s v="SKU-1081"/>
    <s v="Floor Cleaner 1L"/>
    <x v="4"/>
    <s v="pcs"/>
    <n v="97"/>
    <n v="0"/>
    <n v="87"/>
    <n v="10"/>
    <n v="79"/>
    <x v="1"/>
    <n v="120.75"/>
    <n v="1207.48"/>
    <s v="Lotus Agencies"/>
    <s v="OK"/>
    <s v="OK"/>
    <s v="OK"/>
  </r>
  <r>
    <x v="0"/>
    <x v="0"/>
    <s v="SKU-1082"/>
    <s v="Floor Cleaner 1L (Bulk)"/>
    <x v="4"/>
    <s v="pcs"/>
    <n v="175"/>
    <n v="362"/>
    <n v="144"/>
    <n v="393"/>
    <n v="177"/>
    <x v="0"/>
    <n v="505.52"/>
    <n v="198668.62"/>
    <s v="Apex Trading Co."/>
    <s v="OK"/>
    <s v="OK"/>
    <s v="OK"/>
  </r>
  <r>
    <x v="0"/>
    <x v="0"/>
    <s v="SKU-1083"/>
    <s v="Dishwash Liquid 500ml"/>
    <x v="4"/>
    <s v="pcs"/>
    <n v="286"/>
    <n v="0"/>
    <n v="205"/>
    <n v="81"/>
    <n v="238"/>
    <x v="1"/>
    <n v="102.84"/>
    <n v="8330.34"/>
    <s v="Apex Trading Co."/>
    <s v="OK"/>
    <s v="OK"/>
    <s v="OK"/>
  </r>
  <r>
    <x v="0"/>
    <x v="0"/>
    <s v="SKU-1084"/>
    <s v="Dishwash Liquid 500ml (Bulk)"/>
    <x v="4"/>
    <s v="pcs"/>
    <n v="66"/>
    <n v="0"/>
    <n v="44"/>
    <n v="22"/>
    <n v="49"/>
    <x v="1"/>
    <n v="415.62"/>
    <n v="9143.5400000000009"/>
    <s v="Prime Packaging Works"/>
    <s v="OK"/>
    <s v="OK"/>
    <s v="OK"/>
  </r>
  <r>
    <x v="0"/>
    <x v="0"/>
    <s v="SKU-1085"/>
    <s v="Phenyl 1L"/>
    <x v="4"/>
    <s v="pcs"/>
    <n v="47"/>
    <n v="0"/>
    <n v="9"/>
    <n v="38"/>
    <n v="23"/>
    <x v="0"/>
    <n v="72.489999999999995"/>
    <n v="2754.49"/>
    <s v="Greenleaf Supplies"/>
    <s v="OK"/>
    <s v="OK"/>
    <s v="OK"/>
  </r>
  <r>
    <x v="0"/>
    <x v="0"/>
    <s v="SKU-1087"/>
    <s v="Broom"/>
    <x v="4"/>
    <s v="pcs"/>
    <n v="80"/>
    <n v="153"/>
    <n v="52"/>
    <n v="181"/>
    <n v="52"/>
    <x v="0"/>
    <n v="111.93"/>
    <n v="20258.71"/>
    <s v="Apex Trading Co."/>
    <s v="OK"/>
    <s v="OK"/>
    <s v="OK"/>
  </r>
  <r>
    <x v="0"/>
    <x v="0"/>
    <s v="SKU-1088"/>
    <s v="Broom (Bulk)"/>
    <x v="4"/>
    <s v="pcs"/>
    <n v="219"/>
    <n v="472"/>
    <n v="110"/>
    <n v="581"/>
    <n v="160"/>
    <x v="0"/>
    <n v="540.94000000000005"/>
    <n v="314288.90000000002"/>
    <s v="Apex Trading Co."/>
    <s v="OK"/>
    <s v="OK"/>
    <s v="OK"/>
  </r>
  <r>
    <x v="0"/>
    <x v="0"/>
    <s v="SKU-1089"/>
    <s v="Mop with Bucket"/>
    <x v="4"/>
    <s v="pcs"/>
    <n v="109"/>
    <n v="0"/>
    <n v="70"/>
    <n v="39"/>
    <n v="59"/>
    <x v="1"/>
    <n v="900.07"/>
    <n v="35102.69"/>
    <s v="Greenleaf Supplies"/>
    <s v="OK"/>
    <s v="OK"/>
    <s v="OK"/>
  </r>
  <r>
    <x v="0"/>
    <x v="0"/>
    <s v="SKU-1090"/>
    <s v="Mop with Bucket (Bulk)"/>
    <x v="4"/>
    <s v="pcs"/>
    <n v="394"/>
    <n v="0"/>
    <n v="144"/>
    <n v="250"/>
    <n v="159"/>
    <x v="0"/>
    <n v="4191.03"/>
    <n v="1047757.92"/>
    <s v="Greenleaf Supplies"/>
    <s v="OK"/>
    <s v="OK"/>
    <s v="OK"/>
  </r>
  <r>
    <x v="0"/>
    <x v="0"/>
    <s v="SKU-1091"/>
    <s v="Garbage Bags Roll"/>
    <x v="4"/>
    <s v="pcs"/>
    <n v="333"/>
    <n v="0"/>
    <n v="218"/>
    <n v="115"/>
    <n v="271"/>
    <x v="1"/>
    <n v="86.12"/>
    <n v="9903.89"/>
    <s v="Apex Trading Co."/>
    <s v="OK"/>
    <s v="OK"/>
    <s v="OK"/>
  </r>
  <r>
    <x v="0"/>
    <x v="0"/>
    <s v="SKU-1093"/>
    <s v="Hand Wash 250ml"/>
    <x v="4"/>
    <s v="pcs"/>
    <n v="170"/>
    <n v="522"/>
    <n v="172"/>
    <n v="520"/>
    <n v="205"/>
    <x v="0"/>
    <n v="76.599999999999994"/>
    <n v="39829.97"/>
    <s v="Greenleaf Supplies"/>
    <s v="OK"/>
    <s v="OK"/>
    <s v="OK"/>
  </r>
  <r>
    <x v="0"/>
    <x v="0"/>
    <s v="SKU-1094"/>
    <s v="Hand Wash 250ml (Bulk)"/>
    <x v="4"/>
    <s v="pcs"/>
    <n v="183"/>
    <n v="314"/>
    <n v="93"/>
    <n v="404"/>
    <n v="167"/>
    <x v="0"/>
    <n v="365.62"/>
    <n v="147711.01999999999"/>
    <s v="Metro Wholesale"/>
    <s v="OK"/>
    <s v="OK"/>
    <s v="OK"/>
  </r>
  <r>
    <x v="0"/>
    <x v="0"/>
    <s v="SKU-1096"/>
    <s v="Glass Cleaner (Bulk)"/>
    <x v="4"/>
    <s v="pcs"/>
    <n v="316"/>
    <n v="0"/>
    <n v="154"/>
    <n v="162"/>
    <n v="145"/>
    <x v="0"/>
    <n v="466.41"/>
    <n v="75558.539999999994"/>
    <s v="Sunrise Distributors"/>
    <s v="OK"/>
    <s v="OK"/>
    <s v="OK"/>
  </r>
  <r>
    <x v="0"/>
    <x v="0"/>
    <s v="SKU-1099"/>
    <s v="Dustbin 20L"/>
    <x v="4"/>
    <s v="pcs"/>
    <n v="356"/>
    <n v="0"/>
    <n v="119"/>
    <n v="237"/>
    <n v="200"/>
    <x v="0"/>
    <n v="363.01"/>
    <n v="86032.639999999999"/>
    <s v="Unity Traders"/>
    <s v="OK"/>
    <s v="OK"/>
    <s v="OK"/>
  </r>
  <r>
    <x v="0"/>
    <x v="0"/>
    <s v="SKU-1100"/>
    <s v="Dustbin 20L (Bulk)"/>
    <x v="4"/>
    <s v="pcs"/>
    <n v="329"/>
    <n v="0"/>
    <n v="154"/>
    <n v="175"/>
    <n v="205"/>
    <x v="1"/>
    <n v="1504.23"/>
    <n v="263240.99"/>
    <s v="Prime Packaging Works"/>
    <s v="OK"/>
    <s v="OK"/>
    <s v="OK"/>
  </r>
  <r>
    <x v="0"/>
    <x v="0"/>
    <s v="SKU-1101"/>
    <s v="Corrugated Box Small"/>
    <x v="5"/>
    <s v="pcs"/>
    <n v="259"/>
    <n v="308"/>
    <n v="125"/>
    <n v="442"/>
    <n v="127"/>
    <x v="0"/>
    <n v="16.52"/>
    <n v="7303.82"/>
    <s v="Metro Wholesale"/>
    <s v="OK"/>
    <s v="OK"/>
    <s v="OK"/>
  </r>
  <r>
    <x v="0"/>
    <x v="0"/>
    <s v="SKU-1102"/>
    <s v="Corrugated Box Small (Bulk)"/>
    <x v="5"/>
    <s v="pcs"/>
    <n v="102"/>
    <n v="184"/>
    <n v="55"/>
    <n v="231"/>
    <n v="99"/>
    <x v="0"/>
    <n v="76.709999999999994"/>
    <n v="17719.68"/>
    <s v="Sunrise Distributors"/>
    <s v="OK"/>
    <s v="OK"/>
    <s v="OK"/>
  </r>
  <r>
    <x v="0"/>
    <x v="0"/>
    <s v="SKU-1103"/>
    <s v="Corrugated Box Large"/>
    <x v="5"/>
    <s v="pcs"/>
    <n v="258"/>
    <n v="0"/>
    <n v="146"/>
    <n v="112"/>
    <n v="185"/>
    <x v="1"/>
    <n v="45.47"/>
    <n v="5093.01"/>
    <s v="Metro Wholesale"/>
    <s v="OK"/>
    <s v="OK"/>
    <s v="OK"/>
  </r>
  <r>
    <x v="0"/>
    <x v="0"/>
    <s v="SKU-1104"/>
    <s v="Corrugated Box Large (Bulk)"/>
    <x v="5"/>
    <s v="pcs"/>
    <n v="490"/>
    <n v="0"/>
    <n v="227"/>
    <n v="263"/>
    <n v="181"/>
    <x v="0"/>
    <n v="192.5"/>
    <n v="50627.13"/>
    <s v="Unity Traders"/>
    <s v="OK"/>
    <s v="OK"/>
    <s v="OK"/>
  </r>
  <r>
    <x v="0"/>
    <x v="0"/>
    <s v="SKU-1105"/>
    <s v="Bubble Wrap Roll"/>
    <x v="5"/>
    <s v="pcs"/>
    <n v="302"/>
    <n v="0"/>
    <n v="143"/>
    <n v="159"/>
    <n v="238"/>
    <x v="1"/>
    <n v="350.75"/>
    <n v="55769.71"/>
    <s v="Sunrise Distributors"/>
    <s v="OK"/>
    <s v="OK"/>
    <s v="OK"/>
  </r>
  <r>
    <x v="0"/>
    <x v="0"/>
    <s v="SKU-1107"/>
    <s v="Packing Tape"/>
    <x v="5"/>
    <s v="pcs"/>
    <n v="622"/>
    <n v="0"/>
    <n v="222"/>
    <n v="400"/>
    <n v="190"/>
    <x v="0"/>
    <n v="48.24"/>
    <n v="19296.509999999998"/>
    <s v="Unity Traders"/>
    <s v="OK"/>
    <s v="OK"/>
    <s v="OK"/>
  </r>
  <r>
    <x v="0"/>
    <x v="0"/>
    <s v="SKU-1108"/>
    <s v="Packing Tape (Bulk)"/>
    <x v="5"/>
    <s v="pcs"/>
    <n v="479"/>
    <n v="0"/>
    <n v="125"/>
    <n v="354"/>
    <n v="242"/>
    <x v="0"/>
    <n v="219.61"/>
    <n v="77741.91"/>
    <s v="Northstar Enterprises"/>
    <s v="OK"/>
    <s v="OK"/>
    <s v="OK"/>
  </r>
  <r>
    <x v="0"/>
    <x v="0"/>
    <s v="SKU-1109"/>
    <s v="Courier Bag Pack"/>
    <x v="5"/>
    <s v="pcs"/>
    <n v="92"/>
    <n v="247"/>
    <n v="79"/>
    <n v="260"/>
    <n v="121"/>
    <x v="0"/>
    <n v="161.16999999999999"/>
    <n v="41904.28"/>
    <s v="Northstar Enterprises"/>
    <s v="OK"/>
    <s v="OK"/>
    <s v="OK"/>
  </r>
  <r>
    <x v="0"/>
    <x v="0"/>
    <s v="SKU-1112"/>
    <s v="Stretch Film Roll (Bulk)"/>
    <x v="5"/>
    <s v="pcs"/>
    <n v="253"/>
    <n v="0"/>
    <n v="119"/>
    <n v="134"/>
    <n v="137"/>
    <x v="1"/>
    <n v="2432.4499999999998"/>
    <n v="325948.78000000003"/>
    <s v="Greenleaf Supplies"/>
    <s v="OK"/>
    <s v="OK"/>
    <s v="OK"/>
  </r>
  <r>
    <x v="0"/>
    <x v="0"/>
    <s v="SKU-1116"/>
    <s v="Label Sticker Roll (Bulk)"/>
    <x v="5"/>
    <s v="pcs"/>
    <n v="223"/>
    <n v="581"/>
    <n v="315"/>
    <n v="489"/>
    <n v="267"/>
    <x v="0"/>
    <n v="958.13"/>
    <n v="468523.4"/>
    <s v="Apex Trading Co."/>
    <s v="OK"/>
    <s v="OK"/>
    <s v="OK"/>
  </r>
  <r>
    <x v="0"/>
    <x v="0"/>
    <s v="SKU-1118"/>
    <s v="Thermocol Sheet (Bulk)"/>
    <x v="5"/>
    <s v="pcs"/>
    <n v="42"/>
    <n v="0"/>
    <n v="25"/>
    <n v="17"/>
    <n v="28"/>
    <x v="1"/>
    <n v="174.37"/>
    <n v="2964.31"/>
    <s v="Northstar Enterprises"/>
    <s v="OK"/>
    <s v="OK"/>
    <s v="OK"/>
  </r>
  <r>
    <x v="0"/>
    <x v="0"/>
    <s v="SKU-1119"/>
    <s v="Twine Roll"/>
    <x v="5"/>
    <s v="pcs"/>
    <n v="159"/>
    <n v="0"/>
    <n v="78"/>
    <n v="81"/>
    <n v="50"/>
    <x v="0"/>
    <n v="64.91"/>
    <n v="5257.92"/>
    <s v="Prime Packaging Works"/>
    <s v="OK"/>
    <s v="OK"/>
    <s v="OK"/>
  </r>
  <r>
    <x v="0"/>
    <x v="0"/>
    <s v="SKU-1120"/>
    <s v="Twine Roll (Bulk)"/>
    <x v="5"/>
    <s v="pcs"/>
    <n v="98"/>
    <n v="248"/>
    <n v="93"/>
    <n v="253"/>
    <n v="83"/>
    <x v="0"/>
    <n v="300.63"/>
    <n v="76060.31"/>
    <s v="Sunrise Distributors"/>
    <s v="OK"/>
    <s v="OK"/>
    <s v="OK"/>
  </r>
  <r>
    <x v="0"/>
    <x v="1"/>
    <s v="SKU-1001"/>
    <s v="A4 Paper Ream"/>
    <x v="0"/>
    <s v="pcs"/>
    <n v="92"/>
    <n v="161"/>
    <n v="91"/>
    <n v="162"/>
    <n v="88"/>
    <x v="0"/>
    <n v="280.14"/>
    <n v="45382.27"/>
    <s v="Lotus Agencies"/>
    <s v="OK"/>
    <s v="OK"/>
    <s v="OK"/>
  </r>
  <r>
    <x v="0"/>
    <x v="1"/>
    <s v="SKU-1002"/>
    <s v="A4 Paper Ream (Bulk)"/>
    <x v="0"/>
    <s v="pcs"/>
    <n v="100"/>
    <n v="0"/>
    <n v="42"/>
    <n v="58"/>
    <n v="47"/>
    <x v="0"/>
    <n v="1254.1600000000001"/>
    <n v="72741.23"/>
    <s v="Prime Packaging Works"/>
    <s v="OK"/>
    <s v="OK"/>
    <s v="OK"/>
  </r>
  <r>
    <x v="0"/>
    <x v="1"/>
    <s v="SKU-1003"/>
    <s v="Ball Pen Box"/>
    <x v="0"/>
    <s v="pcs"/>
    <n v="519"/>
    <n v="0"/>
    <n v="227"/>
    <n v="292"/>
    <n v="228"/>
    <x v="0"/>
    <n v="83.78"/>
    <n v="24464.17"/>
    <s v="Lotus Agencies"/>
    <s v="OK"/>
    <s v="OK"/>
    <s v="OK"/>
  </r>
  <r>
    <x v="0"/>
    <x v="1"/>
    <s v="SKU-1004"/>
    <s v="Ball Pen Box (Bulk)"/>
    <x v="0"/>
    <s v="pcs"/>
    <n v="197"/>
    <n v="0"/>
    <n v="87"/>
    <n v="110"/>
    <n v="86"/>
    <x v="0"/>
    <n v="406.39"/>
    <n v="44703.12"/>
    <s v="Northstar Enterprises"/>
    <s v="OK"/>
    <s v="OK"/>
    <s v="OK"/>
  </r>
  <r>
    <x v="0"/>
    <x v="1"/>
    <s v="SKU-1005"/>
    <s v="Stapler"/>
    <x v="0"/>
    <s v="pcs"/>
    <n v="365"/>
    <n v="0"/>
    <n v="290"/>
    <n v="75"/>
    <n v="172"/>
    <x v="1"/>
    <n v="118.64"/>
    <n v="8898.09"/>
    <s v="Lotus Agencies"/>
    <s v="OK"/>
    <s v="OK"/>
    <s v="OK"/>
  </r>
  <r>
    <x v="0"/>
    <x v="1"/>
    <s v="SKU-1006"/>
    <s v="Stapler (Bulk)"/>
    <x v="0"/>
    <s v="pcs"/>
    <n v="251"/>
    <n v="597"/>
    <n v="224"/>
    <n v="624"/>
    <n v="293"/>
    <x v="0"/>
    <n v="572.5"/>
    <n v="357239.44"/>
    <s v="Metro Wholesale"/>
    <s v="OK"/>
    <s v="OK"/>
    <s v="OK"/>
  </r>
  <r>
    <x v="0"/>
    <x v="1"/>
    <s v="SKU-1009"/>
    <s v="Whiteboard Marker Set"/>
    <x v="0"/>
    <s v="pcs"/>
    <n v="217"/>
    <n v="288"/>
    <n v="191"/>
    <n v="314"/>
    <n v="187"/>
    <x v="0"/>
    <n v="156.74"/>
    <n v="49216.51"/>
    <s v="Unity Traders"/>
    <s v="OK"/>
    <s v="OK"/>
    <s v="OK"/>
  </r>
  <r>
    <x v="0"/>
    <x v="1"/>
    <s v="SKU-1010"/>
    <s v="Whiteboard Marker Set (Bulk)"/>
    <x v="0"/>
    <s v="pcs"/>
    <n v="145"/>
    <n v="0"/>
    <n v="51"/>
    <n v="94"/>
    <n v="47"/>
    <x v="0"/>
    <n v="729.33"/>
    <n v="68557.429999999993"/>
    <s v="Greenleaf Supplies"/>
    <s v="OK"/>
    <s v="OK"/>
    <s v="OK"/>
  </r>
  <r>
    <x v="0"/>
    <x v="1"/>
    <s v="SKU-1011"/>
    <s v="Sticky Notes Pack"/>
    <x v="0"/>
    <s v="pcs"/>
    <n v="331"/>
    <n v="354"/>
    <n v="159"/>
    <n v="526"/>
    <n v="188"/>
    <x v="0"/>
    <n v="54.26"/>
    <n v="28538.81"/>
    <s v="Unity Traders"/>
    <s v="OK"/>
    <s v="OK"/>
    <s v="OK"/>
  </r>
  <r>
    <x v="0"/>
    <x v="1"/>
    <s v="SKU-1012"/>
    <s v="Sticky Notes Pack (Bulk)"/>
    <x v="0"/>
    <s v="pcs"/>
    <n v="220"/>
    <n v="0"/>
    <n v="220"/>
    <n v="0"/>
    <n v="171"/>
    <x v="1"/>
    <n v="279.56"/>
    <n v="0"/>
    <s v="Lotus Agencies"/>
    <s v="OK"/>
    <s v="OK"/>
    <s v="OK"/>
  </r>
  <r>
    <x v="0"/>
    <x v="1"/>
    <s v="SKU-1013"/>
    <s v="Notebook 200 pages"/>
    <x v="0"/>
    <s v="pcs"/>
    <n v="41"/>
    <n v="63"/>
    <n v="25"/>
    <n v="79"/>
    <n v="38"/>
    <x v="0"/>
    <n v="51.88"/>
    <n v="4098.16"/>
    <s v="Greenleaf Supplies"/>
    <s v="OK"/>
    <s v="OK"/>
    <s v="OK"/>
  </r>
  <r>
    <x v="0"/>
    <x v="1"/>
    <s v="SKU-1014"/>
    <s v="Notebook 200 pages (Bulk)"/>
    <x v="0"/>
    <s v="pcs"/>
    <n v="250"/>
    <n v="0"/>
    <n v="87"/>
    <n v="163"/>
    <n v="199"/>
    <x v="1"/>
    <n v="273.27"/>
    <n v="44542.5"/>
    <s v="Unity Traders"/>
    <s v="OK"/>
    <s v="OK"/>
    <s v="OK"/>
  </r>
  <r>
    <x v="0"/>
    <x v="1"/>
    <s v="SKU-1016"/>
    <s v="Calculator (Bulk)"/>
    <x v="0"/>
    <s v="pcs"/>
    <n v="20"/>
    <n v="44"/>
    <n v="21"/>
    <n v="43"/>
    <n v="21"/>
    <x v="0"/>
    <n v="1916.82"/>
    <n v="82423.12"/>
    <s v="Sunrise Distributors"/>
    <s v="OK"/>
    <s v="OK"/>
    <s v="OK"/>
  </r>
  <r>
    <x v="0"/>
    <x v="1"/>
    <s v="SKU-1017"/>
    <s v="Glue Stick"/>
    <x v="0"/>
    <s v="pcs"/>
    <n v="154"/>
    <n v="0"/>
    <n v="52"/>
    <n v="102"/>
    <n v="61"/>
    <x v="0"/>
    <n v="22.63"/>
    <n v="2308.15"/>
    <s v="Unity Traders"/>
    <s v="OK"/>
    <s v="OK"/>
    <s v="OK"/>
  </r>
  <r>
    <x v="0"/>
    <x v="1"/>
    <s v="SKU-1018"/>
    <s v="Glue Stick (Bulk)"/>
    <x v="0"/>
    <s v="pcs"/>
    <n v="26"/>
    <n v="46"/>
    <n v="22"/>
    <n v="50"/>
    <n v="24"/>
    <x v="0"/>
    <n v="110.95"/>
    <n v="5547.34"/>
    <s v="Greenleaf Supplies"/>
    <s v="OK"/>
    <s v="OK"/>
    <s v="OK"/>
  </r>
  <r>
    <x v="0"/>
    <x v="1"/>
    <s v="SKU-1019"/>
    <s v="Envelope Pack"/>
    <x v="0"/>
    <s v="pcs"/>
    <n v="125"/>
    <n v="0"/>
    <n v="46"/>
    <n v="79"/>
    <n v="42"/>
    <x v="0"/>
    <n v="80.42"/>
    <n v="6352.97"/>
    <s v="Unity Traders"/>
    <s v="OK"/>
    <s v="OK"/>
    <s v="OK"/>
  </r>
  <r>
    <x v="0"/>
    <x v="1"/>
    <s v="SKU-1020"/>
    <s v="Envelope Pack (Bulk)"/>
    <x v="0"/>
    <s v="pcs"/>
    <n v="429"/>
    <n v="0"/>
    <n v="238"/>
    <n v="191"/>
    <n v="190"/>
    <x v="0"/>
    <n v="368.97"/>
    <n v="70474.09"/>
    <s v="Prime Packaging Works"/>
    <s v="OK"/>
    <s v="OK"/>
    <s v="OK"/>
  </r>
  <r>
    <x v="0"/>
    <x v="1"/>
    <s v="SKU-1021"/>
    <s v="LED Bulb 9W"/>
    <x v="1"/>
    <s v="pcs"/>
    <n v="107"/>
    <n v="0"/>
    <n v="32"/>
    <n v="75"/>
    <n v="43"/>
    <x v="0"/>
    <n v="86.32"/>
    <n v="6474.3"/>
    <s v="Prime Packaging Works"/>
    <s v="OK"/>
    <s v="OK"/>
    <s v="OK"/>
  </r>
  <r>
    <x v="0"/>
    <x v="1"/>
    <s v="SKU-1022"/>
    <s v="LED Bulb 9W (Bulk)"/>
    <x v="1"/>
    <s v="pcs"/>
    <n v="358"/>
    <n v="0"/>
    <n v="140"/>
    <n v="218"/>
    <n v="246"/>
    <x v="1"/>
    <n v="433.33"/>
    <n v="94466.58"/>
    <s v="Sunrise Distributors"/>
    <s v="OK"/>
    <s v="OK"/>
    <s v="OK"/>
  </r>
  <r>
    <x v="0"/>
    <x v="1"/>
    <s v="SKU-1024"/>
    <s v="LED Tube Light 20W (Bulk)"/>
    <x v="1"/>
    <s v="pcs"/>
    <n v="416"/>
    <n v="0"/>
    <n v="98"/>
    <n v="318"/>
    <n v="179"/>
    <x v="0"/>
    <n v="1082.28"/>
    <n v="344164.11"/>
    <s v="Metro Wholesale"/>
    <s v="OK"/>
    <s v="OK"/>
    <s v="OK"/>
  </r>
  <r>
    <x v="0"/>
    <x v="1"/>
    <s v="SKU-1025"/>
    <s v="Extension Board"/>
    <x v="1"/>
    <s v="pcs"/>
    <n v="438"/>
    <n v="0"/>
    <n v="134"/>
    <n v="304"/>
    <n v="177"/>
    <x v="0"/>
    <n v="347.59"/>
    <n v="105665.93"/>
    <s v="Greenleaf Supplies"/>
    <s v="OK"/>
    <s v="OK"/>
    <s v="OK"/>
  </r>
  <r>
    <x v="0"/>
    <x v="1"/>
    <s v="SKU-1026"/>
    <s v="Extension Board (Bulk)"/>
    <x v="1"/>
    <s v="pcs"/>
    <n v="35"/>
    <n v="97"/>
    <n v="42"/>
    <n v="90"/>
    <n v="38"/>
    <x v="0"/>
    <n v="1669.35"/>
    <n v="150241.1"/>
    <s v="Northstar Enterprises"/>
    <s v="OK"/>
    <s v="OK"/>
    <s v="OK"/>
  </r>
  <r>
    <x v="0"/>
    <x v="1"/>
    <s v="SKU-1028"/>
    <s v="Ceiling Fan (Bulk)"/>
    <x v="1"/>
    <s v="pcs"/>
    <n v="238"/>
    <n v="0"/>
    <n v="54"/>
    <n v="184"/>
    <n v="171"/>
    <x v="0"/>
    <n v="9351.86"/>
    <n v="1720741.59"/>
    <s v="Greenleaf Supplies"/>
    <s v="OK"/>
    <s v="OK"/>
    <s v="OK"/>
  </r>
  <r>
    <x v="0"/>
    <x v="1"/>
    <s v="SKU-1029"/>
    <s v="Modular Switch"/>
    <x v="1"/>
    <s v="pcs"/>
    <n v="273"/>
    <n v="359"/>
    <n v="186"/>
    <n v="446"/>
    <n v="138"/>
    <x v="0"/>
    <n v="41.39"/>
    <n v="18461.099999999999"/>
    <s v="Sunrise Distributors"/>
    <s v="OK"/>
    <s v="OK"/>
    <s v="OK"/>
  </r>
  <r>
    <x v="0"/>
    <x v="1"/>
    <s v="SKU-1030"/>
    <s v="Modular Switch (Bulk)"/>
    <x v="1"/>
    <s v="pcs"/>
    <n v="365"/>
    <n v="0"/>
    <n v="168"/>
    <n v="197"/>
    <n v="221"/>
    <x v="1"/>
    <n v="218.14"/>
    <n v="42972.61"/>
    <s v="Northstar Enterprises"/>
    <s v="OK"/>
    <s v="OK"/>
    <s v="OK"/>
  </r>
  <r>
    <x v="0"/>
    <x v="1"/>
    <s v="SKU-1031"/>
    <s v="Copper Wire 90m"/>
    <x v="1"/>
    <s v="pcs"/>
    <n v="309"/>
    <n v="507"/>
    <n v="214"/>
    <n v="602"/>
    <n v="154"/>
    <x v="0"/>
    <n v="1560.4"/>
    <n v="939362.53"/>
    <s v="Northstar Enterprises"/>
    <s v="OK"/>
    <s v="OK"/>
    <s v="OK"/>
  </r>
  <r>
    <x v="0"/>
    <x v="1"/>
    <s v="SKU-1032"/>
    <s v="Copper Wire 90m (Bulk)"/>
    <x v="1"/>
    <s v="pcs"/>
    <n v="154"/>
    <n v="0"/>
    <n v="106"/>
    <n v="48"/>
    <n v="94"/>
    <x v="1"/>
    <n v="6975.34"/>
    <n v="334816.33"/>
    <s v="Prime Packaging Works"/>
    <s v="OK"/>
    <s v="OK"/>
    <s v="OK"/>
  </r>
  <r>
    <x v="0"/>
    <x v="1"/>
    <s v="SKU-1033"/>
    <s v="MCB 32A"/>
    <x v="1"/>
    <s v="pcs"/>
    <n v="179"/>
    <n v="0"/>
    <n v="148"/>
    <n v="31"/>
    <n v="129"/>
    <x v="1"/>
    <n v="241.94"/>
    <n v="7500.05"/>
    <s v="Lotus Agencies"/>
    <s v="OK"/>
    <s v="OK"/>
    <s v="OK"/>
  </r>
  <r>
    <x v="0"/>
    <x v="1"/>
    <s v="SKU-1034"/>
    <s v="MCB 32A (Bulk)"/>
    <x v="1"/>
    <s v="pcs"/>
    <n v="543"/>
    <n v="0"/>
    <n v="166"/>
    <n v="377"/>
    <n v="172"/>
    <x v="0"/>
    <n v="1098.7"/>
    <n v="414210.14"/>
    <s v="Northstar Enterprises"/>
    <s v="OK"/>
    <s v="OK"/>
    <s v="OK"/>
  </r>
  <r>
    <x v="0"/>
    <x v="1"/>
    <s v="SKU-1035"/>
    <s v="Emergency Light"/>
    <x v="1"/>
    <s v="pcs"/>
    <n v="91"/>
    <n v="82"/>
    <n v="37"/>
    <n v="136"/>
    <n v="45"/>
    <x v="0"/>
    <n v="707.89"/>
    <n v="96273.3"/>
    <s v="Apex Trading Co."/>
    <s v="OK"/>
    <s v="OK"/>
    <s v="OK"/>
  </r>
  <r>
    <x v="0"/>
    <x v="1"/>
    <s v="SKU-1036"/>
    <s v="Emergency Light (Bulk)"/>
    <x v="1"/>
    <s v="pcs"/>
    <n v="224"/>
    <n v="348"/>
    <n v="125"/>
    <n v="447"/>
    <n v="161"/>
    <x v="0"/>
    <n v="2976.72"/>
    <n v="1330592.48"/>
    <s v="Greenleaf Supplies"/>
    <s v="OK"/>
    <s v="OK"/>
    <s v="OK"/>
  </r>
  <r>
    <x v="0"/>
    <x v="1"/>
    <s v="SKU-1037"/>
    <s v="Wall Socket"/>
    <x v="1"/>
    <s v="pcs"/>
    <n v="218"/>
    <n v="0"/>
    <n v="30"/>
    <n v="188"/>
    <n v="110"/>
    <x v="0"/>
    <n v="64.42"/>
    <n v="12110.42"/>
    <s v="Northstar Enterprises"/>
    <s v="OK"/>
    <s v="OK"/>
    <s v="OK"/>
  </r>
  <r>
    <x v="0"/>
    <x v="1"/>
    <s v="SKU-1038"/>
    <s v="Wall Socket (Bulk)"/>
    <x v="1"/>
    <s v="pcs"/>
    <n v="358"/>
    <n v="0"/>
    <n v="200"/>
    <n v="158"/>
    <n v="240"/>
    <x v="1"/>
    <n v="267.81"/>
    <n v="42314.12"/>
    <s v="Northstar Enterprises"/>
    <s v="OK"/>
    <s v="OK"/>
    <s v="OK"/>
  </r>
  <r>
    <x v="0"/>
    <x v="1"/>
    <s v="SKU-1039"/>
    <s v="Table Lamp"/>
    <x v="1"/>
    <s v="pcs"/>
    <n v="308"/>
    <n v="0"/>
    <n v="156"/>
    <n v="152"/>
    <n v="126"/>
    <x v="0"/>
    <n v="491.32"/>
    <n v="74680.86"/>
    <s v="Apex Trading Co."/>
    <s v="OK"/>
    <s v="OK"/>
    <s v="OK"/>
  </r>
  <r>
    <x v="0"/>
    <x v="1"/>
    <s v="SKU-1041"/>
    <s v="Basmati Rice"/>
    <x v="2"/>
    <s v="kg"/>
    <n v="64"/>
    <n v="0"/>
    <n v="53"/>
    <n v="11"/>
    <n v="51"/>
    <x v="1"/>
    <n v="99.99"/>
    <n v="1099.8800000000001"/>
    <s v="Lotus Agencies"/>
    <s v="OK"/>
    <s v="OK"/>
    <s v="OK"/>
  </r>
  <r>
    <x v="0"/>
    <x v="1"/>
    <s v="SKU-1042"/>
    <s v="Basmati Rice (Bulk)"/>
    <x v="2"/>
    <s v="kg"/>
    <n v="356"/>
    <n v="0"/>
    <n v="161"/>
    <n v="195"/>
    <n v="181"/>
    <x v="0"/>
    <n v="478.48"/>
    <n v="93302.7"/>
    <s v="Apex Trading Co."/>
    <s v="OK"/>
    <s v="OK"/>
    <s v="OK"/>
  </r>
  <r>
    <x v="0"/>
    <x v="1"/>
    <s v="SKU-1043"/>
    <s v="Toor Dal"/>
    <x v="2"/>
    <s v="kg"/>
    <n v="417"/>
    <n v="412"/>
    <n v="130"/>
    <n v="699"/>
    <n v="224"/>
    <x v="0"/>
    <n v="126.74"/>
    <n v="88587.839999999997"/>
    <s v="Prime Packaging Works"/>
    <s v="OK"/>
    <s v="OK"/>
    <s v="OK"/>
  </r>
  <r>
    <x v="0"/>
    <x v="1"/>
    <s v="SKU-1045"/>
    <s v="Sugar"/>
    <x v="2"/>
    <s v="kg"/>
    <n v="315"/>
    <n v="687"/>
    <n v="264"/>
    <n v="738"/>
    <n v="283"/>
    <x v="0"/>
    <n v="41.19"/>
    <n v="30396.49"/>
    <s v="Northstar Enterprises"/>
    <s v="OK"/>
    <s v="OK"/>
    <s v="OK"/>
  </r>
  <r>
    <x v="0"/>
    <x v="1"/>
    <s v="SKU-1046"/>
    <s v="Sugar (Bulk)"/>
    <x v="2"/>
    <s v="kg"/>
    <n v="267"/>
    <n v="0"/>
    <n v="124"/>
    <n v="143"/>
    <n v="161"/>
    <x v="1"/>
    <n v="182.41"/>
    <n v="26084.22"/>
    <s v="Northstar Enterprises"/>
    <s v="OK"/>
    <s v="OK"/>
    <s v="OK"/>
  </r>
  <r>
    <x v="0"/>
    <x v="1"/>
    <s v="SKU-1049"/>
    <s v="Sunflower Oil (L)"/>
    <x v="2"/>
    <s v="kg"/>
    <n v="348"/>
    <n v="0"/>
    <n v="156"/>
    <n v="192"/>
    <n v="231"/>
    <x v="1"/>
    <n v="125.33"/>
    <n v="24063.48"/>
    <s v="Greenleaf Supplies"/>
    <s v="OK"/>
    <s v="OK"/>
    <s v="OK"/>
  </r>
  <r>
    <x v="0"/>
    <x v="1"/>
    <s v="SKU-1050"/>
    <s v="Sunflower Oil (L) (Bulk)"/>
    <x v="2"/>
    <s v="kg"/>
    <n v="360"/>
    <n v="0"/>
    <n v="154"/>
    <n v="206"/>
    <n v="118"/>
    <x v="0"/>
    <n v="585.62"/>
    <n v="120637.62"/>
    <s v="Unity Traders"/>
    <s v="OK"/>
    <s v="OK"/>
    <s v="OK"/>
  </r>
  <r>
    <x v="0"/>
    <x v="1"/>
    <s v="SKU-1051"/>
    <s v="Tea Leaves"/>
    <x v="2"/>
    <s v="kg"/>
    <n v="175"/>
    <n v="0"/>
    <n v="110"/>
    <n v="65"/>
    <n v="104"/>
    <x v="1"/>
    <n v="438.61"/>
    <n v="28509.91"/>
    <s v="Northstar Enterprises"/>
    <s v="OK"/>
    <s v="OK"/>
    <s v="OK"/>
  </r>
  <r>
    <x v="0"/>
    <x v="1"/>
    <s v="SKU-1052"/>
    <s v="Tea Leaves (Bulk)"/>
    <x v="2"/>
    <s v="kg"/>
    <n v="203"/>
    <n v="537"/>
    <n v="169"/>
    <n v="571"/>
    <n v="208"/>
    <x v="0"/>
    <n v="1759.13"/>
    <n v="1004462.12"/>
    <s v="Lotus Agencies"/>
    <s v="OK"/>
    <s v="OK"/>
    <s v="OK"/>
  </r>
  <r>
    <x v="0"/>
    <x v="1"/>
    <s v="SKU-1053"/>
    <s v="Salt"/>
    <x v="2"/>
    <s v="kg"/>
    <n v="110"/>
    <n v="0"/>
    <n v="38"/>
    <n v="72"/>
    <n v="58"/>
    <x v="0"/>
    <n v="21"/>
    <n v="1511.8"/>
    <s v="Apex Trading Co."/>
    <s v="OK"/>
    <s v="OK"/>
    <s v="OK"/>
  </r>
  <r>
    <x v="0"/>
    <x v="1"/>
    <s v="SKU-1054"/>
    <s v="Salt (Bulk)"/>
    <x v="2"/>
    <s v="kg"/>
    <n v="283"/>
    <n v="0"/>
    <n v="162"/>
    <n v="121"/>
    <n v="171"/>
    <x v="1"/>
    <n v="96.61"/>
    <n v="11689.68"/>
    <s v="Northstar Enterprises"/>
    <s v="OK"/>
    <s v="OK"/>
    <s v="OK"/>
  </r>
  <r>
    <x v="0"/>
    <x v="1"/>
    <s v="SKU-1055"/>
    <s v="Poha"/>
    <x v="2"/>
    <s v="kg"/>
    <n v="315"/>
    <n v="0"/>
    <n v="149"/>
    <n v="166"/>
    <n v="149"/>
    <x v="0"/>
    <n v="57.4"/>
    <n v="9528.23"/>
    <s v="Prime Packaging Works"/>
    <s v="OK"/>
    <s v="OK"/>
    <s v="OK"/>
  </r>
  <r>
    <x v="0"/>
    <x v="1"/>
    <s v="SKU-1057"/>
    <s v="Chana Dal"/>
    <x v="2"/>
    <s v="kg"/>
    <n v="359"/>
    <n v="0"/>
    <n v="133"/>
    <n v="226"/>
    <n v="175"/>
    <x v="0"/>
    <n v="81.819999999999993"/>
    <n v="18490.759999999998"/>
    <s v="Metro Wholesale"/>
    <s v="OK"/>
    <s v="OK"/>
    <s v="OK"/>
  </r>
  <r>
    <x v="0"/>
    <x v="1"/>
    <s v="SKU-1058"/>
    <s v="Chana Dal (Bulk)"/>
    <x v="2"/>
    <s v="kg"/>
    <n v="97"/>
    <n v="216"/>
    <n v="86"/>
    <n v="227"/>
    <n v="117"/>
    <x v="0"/>
    <n v="397.56"/>
    <n v="90245.56"/>
    <s v="Lotus Agencies"/>
    <s v="OK"/>
    <s v="OK"/>
    <s v="OK"/>
  </r>
  <r>
    <x v="0"/>
    <x v="1"/>
    <s v="SKU-1059"/>
    <s v="Jaggery"/>
    <x v="2"/>
    <s v="kg"/>
    <n v="88"/>
    <n v="190"/>
    <n v="53"/>
    <n v="225"/>
    <n v="52"/>
    <x v="0"/>
    <n v="62.77"/>
    <n v="14122.26"/>
    <s v="Metro Wholesale"/>
    <s v="OK"/>
    <s v="OK"/>
    <s v="OK"/>
  </r>
  <r>
    <x v="0"/>
    <x v="1"/>
    <s v="SKU-1060"/>
    <s v="Jaggery (Bulk)"/>
    <x v="2"/>
    <s v="kg"/>
    <n v="22"/>
    <n v="49"/>
    <n v="20"/>
    <n v="51"/>
    <n v="21"/>
    <x v="0"/>
    <n v="291.83999999999997"/>
    <n v="14883.66"/>
    <s v="Apex Trading Co."/>
    <s v="OK"/>
    <s v="OK"/>
    <s v="OK"/>
  </r>
  <r>
    <x v="0"/>
    <x v="1"/>
    <s v="SKU-1061"/>
    <s v="Hammer"/>
    <x v="3"/>
    <s v="pcs"/>
    <n v="424"/>
    <n v="0"/>
    <n v="192"/>
    <n v="232"/>
    <n v="183"/>
    <x v="0"/>
    <n v="275.92"/>
    <n v="64014"/>
    <s v="Northstar Enterprises"/>
    <s v="OK"/>
    <s v="OK"/>
    <s v="OK"/>
  </r>
  <r>
    <x v="0"/>
    <x v="1"/>
    <s v="SKU-1062"/>
    <s v="Hammer (Bulk)"/>
    <x v="3"/>
    <s v="pcs"/>
    <n v="32"/>
    <n v="79"/>
    <n v="43"/>
    <n v="68"/>
    <n v="41"/>
    <x v="0"/>
    <n v="1080.8800000000001"/>
    <n v="73500.039999999994"/>
    <s v="Apex Trading Co."/>
    <s v="OK"/>
    <s v="OK"/>
    <s v="OK"/>
  </r>
  <r>
    <x v="0"/>
    <x v="1"/>
    <s v="SKU-1063"/>
    <s v="Screwdriver Set"/>
    <x v="3"/>
    <s v="pcs"/>
    <n v="438"/>
    <n v="0"/>
    <n v="209"/>
    <n v="229"/>
    <n v="286"/>
    <x v="1"/>
    <n v="324.7"/>
    <n v="74355.75"/>
    <s v="Sunrise Distributors"/>
    <s v="OK"/>
    <s v="OK"/>
    <s v="OK"/>
  </r>
  <r>
    <x v="0"/>
    <x v="1"/>
    <s v="SKU-1064"/>
    <s v="Screwdriver Set (Bulk)"/>
    <x v="3"/>
    <s v="pcs"/>
    <n v="197"/>
    <n v="501"/>
    <n v="191"/>
    <n v="507"/>
    <n v="175"/>
    <x v="0"/>
    <n v="1330.94"/>
    <n v="674786.67"/>
    <s v="Northstar Enterprises"/>
    <s v="OK"/>
    <s v="OK"/>
    <s v="OK"/>
  </r>
  <r>
    <x v="0"/>
    <x v="1"/>
    <s v="SKU-1065"/>
    <s v="Wall Plug Pack"/>
    <x v="3"/>
    <s v="pcs"/>
    <n v="182"/>
    <n v="205"/>
    <n v="29"/>
    <n v="358"/>
    <n v="111"/>
    <x v="0"/>
    <n v="47.99"/>
    <n v="17179.79"/>
    <s v="Metro Wholesale"/>
    <s v="OK"/>
    <s v="OK"/>
    <s v="OK"/>
  </r>
  <r>
    <x v="0"/>
    <x v="1"/>
    <s v="SKU-1066"/>
    <s v="Wall Plug Pack (Bulk)"/>
    <x v="3"/>
    <s v="pcs"/>
    <n v="547"/>
    <n v="0"/>
    <n v="168"/>
    <n v="379"/>
    <n v="175"/>
    <x v="0"/>
    <n v="196.37"/>
    <n v="74425.48"/>
    <s v="Lotus Agencies"/>
    <s v="OK"/>
    <s v="OK"/>
    <s v="OK"/>
  </r>
  <r>
    <x v="0"/>
    <x v="1"/>
    <s v="SKU-1067"/>
    <s v="Padlock"/>
    <x v="3"/>
    <s v="pcs"/>
    <n v="243"/>
    <n v="0"/>
    <n v="99"/>
    <n v="144"/>
    <n v="158"/>
    <x v="1"/>
    <n v="202.03"/>
    <n v="29092.54"/>
    <s v="Metro Wholesale"/>
    <s v="OK"/>
    <s v="OK"/>
    <s v="OK"/>
  </r>
  <r>
    <x v="0"/>
    <x v="1"/>
    <s v="SKU-1068"/>
    <s v="Padlock (Bulk)"/>
    <x v="3"/>
    <s v="pcs"/>
    <n v="113"/>
    <n v="0"/>
    <n v="97"/>
    <n v="16"/>
    <n v="87"/>
    <x v="1"/>
    <n v="968.03"/>
    <n v="15488.41"/>
    <s v="Apex Trading Co."/>
    <s v="OK"/>
    <s v="OK"/>
    <s v="OK"/>
  </r>
  <r>
    <x v="0"/>
    <x v="1"/>
    <s v="SKU-1069"/>
    <s v="Measuring Tape 5m"/>
    <x v="3"/>
    <s v="pcs"/>
    <n v="107"/>
    <n v="0"/>
    <n v="56"/>
    <n v="51"/>
    <n v="44"/>
    <x v="0"/>
    <n v="135.78"/>
    <n v="6924.91"/>
    <s v="Unity Traders"/>
    <s v="OK"/>
    <s v="OK"/>
    <s v="OK"/>
  </r>
  <r>
    <x v="0"/>
    <x v="1"/>
    <s v="SKU-1070"/>
    <s v="Measuring Tape 5m (Bulk)"/>
    <x v="3"/>
    <s v="pcs"/>
    <n v="431"/>
    <n v="0"/>
    <n v="206"/>
    <n v="225"/>
    <n v="225"/>
    <x v="0"/>
    <n v="610.03"/>
    <n v="137257.07"/>
    <s v="Northstar Enterprises"/>
    <s v="OK"/>
    <s v="Check"/>
    <s v="OK"/>
  </r>
  <r>
    <x v="0"/>
    <x v="1"/>
    <s v="SKU-1071"/>
    <s v="Spanner Set"/>
    <x v="3"/>
    <s v="pcs"/>
    <n v="99"/>
    <n v="0"/>
    <n v="38"/>
    <n v="61"/>
    <n v="42"/>
    <x v="0"/>
    <n v="683.83"/>
    <n v="41713.51"/>
    <s v="Prime Packaging Works"/>
    <s v="OK"/>
    <s v="OK"/>
    <s v="OK"/>
  </r>
  <r>
    <x v="0"/>
    <x v="1"/>
    <s v="SKU-1072"/>
    <s v="Spanner Set (Bulk)"/>
    <x v="3"/>
    <s v="pcs"/>
    <n v="380"/>
    <n v="0"/>
    <n v="102"/>
    <n v="278"/>
    <n v="138"/>
    <x v="0"/>
    <n v="2986.48"/>
    <n v="830241.99"/>
    <s v="Greenleaf Supplies"/>
    <s v="OK"/>
    <s v="OK"/>
    <s v="OK"/>
  </r>
  <r>
    <x v="0"/>
    <x v="1"/>
    <s v="SKU-1073"/>
    <s v="Drill Bit Set"/>
    <x v="3"/>
    <s v="pcs"/>
    <n v="321"/>
    <n v="0"/>
    <n v="245"/>
    <n v="76"/>
    <n v="225"/>
    <x v="1"/>
    <n v="520.72"/>
    <n v="39574.629999999997"/>
    <s v="Lotus Agencies"/>
    <s v="OK"/>
    <s v="OK"/>
    <s v="OK"/>
  </r>
  <r>
    <x v="0"/>
    <x v="1"/>
    <s v="SKU-1074"/>
    <s v="Drill Bit Set (Bulk)"/>
    <x v="3"/>
    <s v="pcs"/>
    <n v="293"/>
    <n v="0"/>
    <n v="120"/>
    <n v="173"/>
    <n v="162"/>
    <x v="0"/>
    <n v="2368.85"/>
    <n v="409811.3"/>
    <s v="Prime Packaging Works"/>
    <s v="OK"/>
    <s v="OK"/>
    <s v="OK"/>
  </r>
  <r>
    <x v="0"/>
    <x v="1"/>
    <s v="SKU-1075"/>
    <s v="Wood Screws Pack"/>
    <x v="3"/>
    <s v="pcs"/>
    <n v="163"/>
    <n v="0"/>
    <n v="163"/>
    <n v="0"/>
    <n v="130"/>
    <x v="1"/>
    <n v="69.19"/>
    <n v="0"/>
    <s v="Prime Packaging Works"/>
    <s v="OK"/>
    <s v="OK"/>
    <s v="OK"/>
  </r>
  <r>
    <x v="0"/>
    <x v="1"/>
    <s v="SKU-1076"/>
    <s v="Wood Screws Pack (Bulk)"/>
    <x v="3"/>
    <s v="pcs"/>
    <n v="85"/>
    <n v="183"/>
    <n v="76"/>
    <n v="192"/>
    <n v="76"/>
    <x v="0"/>
    <n v="322.47000000000003"/>
    <n v="61914.720000000001"/>
    <s v="Northstar Enterprises"/>
    <s v="OK"/>
    <s v="OK"/>
    <s v="OK"/>
  </r>
  <r>
    <x v="0"/>
    <x v="1"/>
    <s v="SKU-1078"/>
    <s v="Door Hinge (Bulk)"/>
    <x v="3"/>
    <s v="pcs"/>
    <n v="87"/>
    <n v="265"/>
    <n v="96"/>
    <n v="256"/>
    <n v="87"/>
    <x v="0"/>
    <n v="269.77999999999997"/>
    <n v="69064.67"/>
    <s v="Northstar Enterprises"/>
    <s v="OK"/>
    <s v="OK"/>
    <s v="OK"/>
  </r>
  <r>
    <x v="0"/>
    <x v="1"/>
    <s v="SKU-1079"/>
    <s v="Paint Brush"/>
    <x v="3"/>
    <s v="pcs"/>
    <n v="83"/>
    <n v="0"/>
    <n v="33"/>
    <n v="50"/>
    <n v="43"/>
    <x v="0"/>
    <n v="86.96"/>
    <n v="4347.76"/>
    <s v="Unity Traders"/>
    <s v="OK"/>
    <s v="OK"/>
    <s v="OK"/>
  </r>
  <r>
    <x v="0"/>
    <x v="1"/>
    <s v="SKU-1080"/>
    <s v="Paint Brush (Bulk)"/>
    <x v="3"/>
    <s v="pcs"/>
    <n v="250"/>
    <n v="0"/>
    <n v="155"/>
    <n v="95"/>
    <n v="133"/>
    <x v="1"/>
    <n v="413.82"/>
    <n v="39312.910000000003"/>
    <s v="Sunrise Distributors"/>
    <s v="OK"/>
    <s v="OK"/>
    <s v="OK"/>
  </r>
  <r>
    <x v="0"/>
    <x v="1"/>
    <s v="SKU-1081"/>
    <s v="Floor Cleaner 1L"/>
    <x v="4"/>
    <s v="pcs"/>
    <n v="520"/>
    <n v="0"/>
    <n v="136"/>
    <n v="384"/>
    <n v="221"/>
    <x v="0"/>
    <n v="123.64"/>
    <n v="47479.33"/>
    <s v="Lotus Agencies"/>
    <s v="OK"/>
    <s v="OK"/>
    <s v="OK"/>
  </r>
  <r>
    <x v="0"/>
    <x v="1"/>
    <s v="SKU-1082"/>
    <s v="Floor Cleaner 1L (Bulk)"/>
    <x v="4"/>
    <s v="pcs"/>
    <n v="105"/>
    <n v="212"/>
    <n v="96"/>
    <n v="221"/>
    <n v="91"/>
    <x v="0"/>
    <n v="503.63"/>
    <n v="111302.42"/>
    <s v="Apex Trading Co."/>
    <s v="OK"/>
    <s v="OK"/>
    <s v="OK"/>
  </r>
  <r>
    <x v="0"/>
    <x v="1"/>
    <s v="SKU-1083"/>
    <s v="Dishwash Liquid 500ml"/>
    <x v="4"/>
    <s v="pcs"/>
    <n v="61"/>
    <n v="123"/>
    <n v="45"/>
    <n v="139"/>
    <n v="51"/>
    <x v="0"/>
    <n v="99.07"/>
    <n v="13771.01"/>
    <s v="Apex Trading Co."/>
    <s v="OK"/>
    <s v="OK"/>
    <s v="OK"/>
  </r>
  <r>
    <x v="0"/>
    <x v="1"/>
    <s v="SKU-1086"/>
    <s v="Phenyl 1L (Bulk)"/>
    <x v="4"/>
    <s v="pcs"/>
    <n v="177"/>
    <n v="0"/>
    <n v="138"/>
    <n v="39"/>
    <n v="109"/>
    <x v="1"/>
    <n v="317.99"/>
    <n v="12401.67"/>
    <s v="Sunrise Distributors"/>
    <s v="OK"/>
    <s v="OK"/>
    <s v="OK"/>
  </r>
  <r>
    <x v="0"/>
    <x v="1"/>
    <s v="SKU-1087"/>
    <s v="Broom"/>
    <x v="4"/>
    <s v="pcs"/>
    <n v="138"/>
    <n v="264"/>
    <n v="117"/>
    <n v="285"/>
    <n v="122"/>
    <x v="0"/>
    <n v="107.2"/>
    <n v="30552.78"/>
    <s v="Apex Trading Co."/>
    <s v="OK"/>
    <s v="OK"/>
    <s v="OK"/>
  </r>
  <r>
    <x v="0"/>
    <x v="1"/>
    <s v="SKU-1088"/>
    <s v="Broom (Bulk)"/>
    <x v="4"/>
    <s v="pcs"/>
    <n v="122"/>
    <n v="0"/>
    <n v="48"/>
    <n v="74"/>
    <n v="79"/>
    <x v="1"/>
    <n v="515.91"/>
    <n v="38177.050000000003"/>
    <s v="Apex Trading Co."/>
    <s v="OK"/>
    <s v="OK"/>
    <s v="OK"/>
  </r>
  <r>
    <x v="0"/>
    <x v="1"/>
    <s v="SKU-1089"/>
    <s v="Mop with Bucket"/>
    <x v="4"/>
    <s v="pcs"/>
    <n v="200"/>
    <n v="426"/>
    <n v="182"/>
    <n v="444"/>
    <n v="221"/>
    <x v="0"/>
    <n v="872.96"/>
    <n v="387592.52"/>
    <s v="Greenleaf Supplies"/>
    <s v="OK"/>
    <s v="OK"/>
    <s v="OK"/>
  </r>
  <r>
    <x v="0"/>
    <x v="1"/>
    <s v="SKU-1090"/>
    <s v="Mop with Bucket (Bulk)"/>
    <x v="4"/>
    <s v="pcs"/>
    <n v="377"/>
    <n v="0"/>
    <n v="150"/>
    <n v="227"/>
    <n v="153"/>
    <x v="0"/>
    <n v="4506.84"/>
    <n v="1023052"/>
    <s v="Greenleaf Supplies"/>
    <s v="OK"/>
    <s v="OK"/>
    <s v="OK"/>
  </r>
  <r>
    <x v="0"/>
    <x v="1"/>
    <s v="SKU-1091"/>
    <s v="Garbage Bags Roll"/>
    <x v="4"/>
    <s v="pcs"/>
    <n v="334"/>
    <n v="501"/>
    <n v="187"/>
    <n v="648"/>
    <n v="283"/>
    <x v="0"/>
    <n v="86.41"/>
    <n v="55991.46"/>
    <s v="Apex Trading Co."/>
    <s v="OK"/>
    <s v="OK"/>
    <s v="OK"/>
  </r>
  <r>
    <x v="0"/>
    <x v="1"/>
    <s v="SKU-1092"/>
    <s v="Garbage Bags Roll (Bulk)"/>
    <x v="4"/>
    <s v="pcs"/>
    <n v="129"/>
    <n v="0"/>
    <n v="64"/>
    <n v="65"/>
    <n v="45"/>
    <x v="0"/>
    <n v="406.52"/>
    <n v="26423.87"/>
    <s v="Metro Wholesale"/>
    <s v="OK"/>
    <s v="OK"/>
    <s v="OK"/>
  </r>
  <r>
    <x v="0"/>
    <x v="1"/>
    <s v="SKU-1093"/>
    <s v="Hand Wash 250ml"/>
    <x v="4"/>
    <s v="pcs"/>
    <n v="274"/>
    <n v="0"/>
    <n v="71"/>
    <n v="203"/>
    <n v="115"/>
    <x v="0"/>
    <n v="72.14"/>
    <n v="14645.18"/>
    <s v="Greenleaf Supplies"/>
    <s v="OK"/>
    <s v="OK"/>
    <s v="OK"/>
  </r>
  <r>
    <x v="0"/>
    <x v="1"/>
    <s v="SKU-1094"/>
    <s v="Hand Wash 250ml (Bulk)"/>
    <x v="4"/>
    <s v="pcs"/>
    <n v="242"/>
    <n v="0"/>
    <n v="56"/>
    <n v="186"/>
    <n v="124"/>
    <x v="0"/>
    <n v="356.74"/>
    <n v="66353.27"/>
    <s v="Metro Wholesale"/>
    <s v="OK"/>
    <s v="OK"/>
    <s v="OK"/>
  </r>
  <r>
    <x v="0"/>
    <x v="1"/>
    <s v="SKU-1096"/>
    <s v="Glass Cleaner (Bulk)"/>
    <x v="4"/>
    <s v="pcs"/>
    <n v="438"/>
    <n v="0"/>
    <n v="188"/>
    <n v="250"/>
    <n v="243"/>
    <x v="0"/>
    <n v="457.8"/>
    <n v="114450.98"/>
    <s v="Sunrise Distributors"/>
    <s v="OK"/>
    <s v="OK"/>
    <s v="OK"/>
  </r>
  <r>
    <x v="0"/>
    <x v="1"/>
    <s v="SKU-1099"/>
    <s v="Dustbin 20L"/>
    <x v="4"/>
    <s v="pcs"/>
    <n v="254"/>
    <n v="0"/>
    <n v="82"/>
    <n v="172"/>
    <n v="161"/>
    <x v="0"/>
    <n v="330.66"/>
    <n v="56872.94"/>
    <s v="Unity Traders"/>
    <s v="OK"/>
    <s v="OK"/>
    <s v="OK"/>
  </r>
  <r>
    <x v="0"/>
    <x v="1"/>
    <s v="SKU-1102"/>
    <s v="Corrugated Box Small (Bulk)"/>
    <x v="5"/>
    <s v="pcs"/>
    <n v="150"/>
    <n v="0"/>
    <n v="60"/>
    <n v="90"/>
    <n v="49"/>
    <x v="0"/>
    <n v="82.57"/>
    <n v="7431.54"/>
    <s v="Sunrise Distributors"/>
    <s v="OK"/>
    <s v="OK"/>
    <s v="OK"/>
  </r>
  <r>
    <x v="0"/>
    <x v="1"/>
    <s v="SKU-1103"/>
    <s v="Corrugated Box Large"/>
    <x v="5"/>
    <s v="pcs"/>
    <n v="70"/>
    <n v="0"/>
    <n v="68"/>
    <n v="2"/>
    <n v="55"/>
    <x v="1"/>
    <n v="44.89"/>
    <n v="89.79"/>
    <s v="Metro Wholesale"/>
    <s v="OK"/>
    <s v="OK"/>
    <s v="OK"/>
  </r>
  <r>
    <x v="0"/>
    <x v="1"/>
    <s v="SKU-1107"/>
    <s v="Packing Tape"/>
    <x v="5"/>
    <s v="pcs"/>
    <n v="95"/>
    <n v="0"/>
    <n v="51"/>
    <n v="44"/>
    <n v="47"/>
    <x v="1"/>
    <n v="48.45"/>
    <n v="2131.94"/>
    <s v="Unity Traders"/>
    <s v="OK"/>
    <s v="OK"/>
    <s v="OK"/>
  </r>
  <r>
    <x v="0"/>
    <x v="1"/>
    <s v="SKU-1108"/>
    <s v="Packing Tape (Bulk)"/>
    <x v="5"/>
    <s v="pcs"/>
    <n v="57"/>
    <n v="0"/>
    <n v="19"/>
    <n v="38"/>
    <n v="23"/>
    <x v="0"/>
    <n v="191.73"/>
    <n v="7285.57"/>
    <s v="Northstar Enterprises"/>
    <s v="OK"/>
    <s v="OK"/>
    <s v="OK"/>
  </r>
  <r>
    <x v="0"/>
    <x v="1"/>
    <s v="SKU-1110"/>
    <s v="Courier Bag Pack (Bulk)"/>
    <x v="5"/>
    <s v="pcs"/>
    <n v="245"/>
    <n v="0"/>
    <n v="90"/>
    <n v="155"/>
    <n v="84"/>
    <x v="0"/>
    <n v="775.91"/>
    <n v="120265.37"/>
    <s v="Greenleaf Supplies"/>
    <s v="OK"/>
    <s v="OK"/>
    <s v="OK"/>
  </r>
  <r>
    <x v="0"/>
    <x v="1"/>
    <s v="SKU-1111"/>
    <s v="Stretch Film Roll"/>
    <x v="5"/>
    <s v="pcs"/>
    <n v="339"/>
    <n v="0"/>
    <n v="188"/>
    <n v="151"/>
    <n v="165"/>
    <x v="1"/>
    <n v="510.73"/>
    <n v="77120.12"/>
    <s v="Sunrise Distributors"/>
    <s v="OK"/>
    <s v="OK"/>
    <s v="OK"/>
  </r>
  <r>
    <x v="0"/>
    <x v="1"/>
    <s v="SKU-1112"/>
    <s v="Stretch Film Roll (Bulk)"/>
    <x v="5"/>
    <s v="pcs"/>
    <n v="290"/>
    <n v="0"/>
    <n v="147"/>
    <n v="143"/>
    <n v="148"/>
    <x v="1"/>
    <n v="2289.11"/>
    <n v="327342.65999999997"/>
    <s v="Greenleaf Supplies"/>
    <s v="OK"/>
    <s v="OK"/>
    <s v="OK"/>
  </r>
  <r>
    <x v="0"/>
    <x v="1"/>
    <s v="SKU-1113"/>
    <s v="Kraft Paper Roll"/>
    <x v="5"/>
    <s v="pcs"/>
    <n v="348"/>
    <n v="0"/>
    <n v="77"/>
    <n v="271"/>
    <n v="187"/>
    <x v="0"/>
    <n v="288.57"/>
    <n v="78201.95"/>
    <s v="Sunrise Distributors"/>
    <s v="OK"/>
    <s v="OK"/>
    <s v="OK"/>
  </r>
  <r>
    <x v="0"/>
    <x v="1"/>
    <s v="SKU-1116"/>
    <s v="Label Sticker Roll (Bulk)"/>
    <x v="5"/>
    <s v="pcs"/>
    <n v="482"/>
    <n v="0"/>
    <n v="208"/>
    <n v="274"/>
    <n v="203"/>
    <x v="0"/>
    <n v="985.25"/>
    <n v="269958.78000000003"/>
    <s v="Apex Trading Co."/>
    <s v="OK"/>
    <s v="OK"/>
    <s v="OK"/>
  </r>
  <r>
    <x v="0"/>
    <x v="1"/>
    <s v="SKU-1117"/>
    <s v="Thermocol Sheet"/>
    <x v="5"/>
    <s v="pcs"/>
    <n v="402"/>
    <n v="0"/>
    <n v="191"/>
    <n v="211"/>
    <n v="311"/>
    <x v="1"/>
    <n v="33.47"/>
    <n v="7062.68"/>
    <s v="Prime Packaging Works"/>
    <s v="OK"/>
    <s v="OK"/>
    <s v="OK"/>
  </r>
  <r>
    <x v="0"/>
    <x v="1"/>
    <s v="SKU-1118"/>
    <s v="Thermocol Sheet (Bulk)"/>
    <x v="5"/>
    <s v="pcs"/>
    <n v="273"/>
    <n v="0"/>
    <n v="84"/>
    <n v="189"/>
    <n v="109"/>
    <x v="0"/>
    <n v="171.2"/>
    <n v="32357.54"/>
    <s v="Northstar Enterprises"/>
    <s v="OK"/>
    <s v="OK"/>
    <s v="OK"/>
  </r>
  <r>
    <x v="0"/>
    <x v="1"/>
    <s v="SKU-1120"/>
    <s v="Twine Roll (Bulk)"/>
    <x v="5"/>
    <s v="pcs"/>
    <n v="268"/>
    <n v="0"/>
    <n v="220"/>
    <n v="48"/>
    <n v="160"/>
    <x v="1"/>
    <n v="283.79000000000002"/>
    <n v="13622.07"/>
    <s v="Sunrise Distributors"/>
    <s v="OK"/>
    <s v="OK"/>
    <s v="OK"/>
  </r>
  <r>
    <x v="0"/>
    <x v="2"/>
    <s v="SKU-1001"/>
    <s v="A4 Paper Ream"/>
    <x v="0"/>
    <s v="pcs"/>
    <n v="234"/>
    <n v="436"/>
    <n v="147"/>
    <n v="523"/>
    <n v="230"/>
    <x v="0"/>
    <n v="277.99"/>
    <n v="145386.89000000001"/>
    <s v="Lotus Agencies"/>
    <s v="OK"/>
    <s v="OK"/>
    <s v="OK"/>
  </r>
  <r>
    <x v="0"/>
    <x v="2"/>
    <s v="SKU-1002"/>
    <s v="A4 Paper Ream (Bulk)"/>
    <x v="0"/>
    <s v="pcs"/>
    <n v="478"/>
    <n v="0"/>
    <n v="174"/>
    <n v="304"/>
    <n v="189"/>
    <x v="0"/>
    <n v="1141.6500000000001"/>
    <n v="347062.11"/>
    <s v="Prime Packaging Works"/>
    <s v="OK"/>
    <s v="OK"/>
    <s v="OK"/>
  </r>
  <r>
    <x v="0"/>
    <x v="2"/>
    <s v="SKU-1003"/>
    <s v="Ball Pen Box"/>
    <x v="0"/>
    <s v="pcs"/>
    <n v="376"/>
    <n v="0"/>
    <n v="162"/>
    <n v="214"/>
    <n v="181"/>
    <x v="0"/>
    <n v="98.04"/>
    <n v="20979.58"/>
    <s v="Lotus Agencies"/>
    <s v="OK"/>
    <s v="OK"/>
    <s v="OK"/>
  </r>
  <r>
    <x v="0"/>
    <x v="2"/>
    <s v="SKU-1005"/>
    <s v="Stapler"/>
    <x v="0"/>
    <s v="pcs"/>
    <n v="102"/>
    <n v="0"/>
    <n v="74"/>
    <n v="28"/>
    <n v="67"/>
    <x v="1"/>
    <n v="108.64"/>
    <n v="3041.92"/>
    <s v="Lotus Agencies"/>
    <s v="OK"/>
    <s v="OK"/>
    <s v="OK"/>
  </r>
  <r>
    <x v="0"/>
    <x v="2"/>
    <s v="SKU-1006"/>
    <s v="Stapler (Bulk)"/>
    <x v="0"/>
    <s v="pcs"/>
    <n v="38"/>
    <n v="0"/>
    <n v="18"/>
    <n v="20"/>
    <n v="29"/>
    <x v="1"/>
    <n v="606.6"/>
    <n v="12131.91"/>
    <s v="Metro Wholesale"/>
    <s v="OK"/>
    <s v="OK"/>
    <s v="OK"/>
  </r>
  <r>
    <x v="0"/>
    <x v="2"/>
    <s v="SKU-1007"/>
    <s v="Box File"/>
    <x v="0"/>
    <s v="pcs"/>
    <n v="262"/>
    <n v="291"/>
    <n v="92"/>
    <n v="461"/>
    <n v="75"/>
    <x v="0"/>
    <n v="80.09"/>
    <n v="36920.400000000001"/>
    <s v="Lotus Agencies"/>
    <s v="OK"/>
    <s v="OK"/>
    <s v="OK"/>
  </r>
  <r>
    <x v="0"/>
    <x v="2"/>
    <s v="SKU-1009"/>
    <s v="Whiteboard Marker Set"/>
    <x v="0"/>
    <s v="pcs"/>
    <n v="189"/>
    <n v="440"/>
    <n v="143"/>
    <n v="486"/>
    <n v="200"/>
    <x v="0"/>
    <n v="153.18"/>
    <n v="74445.55"/>
    <s v="Unity Traders"/>
    <s v="OK"/>
    <s v="OK"/>
    <s v="OK"/>
  </r>
  <r>
    <x v="0"/>
    <x v="2"/>
    <s v="SKU-1010"/>
    <s v="Whiteboard Marker Set (Bulk)"/>
    <x v="0"/>
    <s v="pcs"/>
    <n v="236"/>
    <n v="372"/>
    <n v="183"/>
    <n v="425"/>
    <n v="238"/>
    <x v="0"/>
    <n v="766.25"/>
    <n v="325658.34000000003"/>
    <s v="Greenleaf Supplies"/>
    <s v="OK"/>
    <s v="OK"/>
    <s v="OK"/>
  </r>
  <r>
    <x v="0"/>
    <x v="2"/>
    <s v="SKU-1012"/>
    <s v="Sticky Notes Pack (Bulk)"/>
    <x v="0"/>
    <s v="pcs"/>
    <n v="123"/>
    <n v="0"/>
    <n v="123"/>
    <n v="0"/>
    <n v="85"/>
    <x v="1"/>
    <n v="262.52999999999997"/>
    <n v="0"/>
    <s v="Lotus Agencies"/>
    <s v="OK"/>
    <s v="OK"/>
    <s v="OK"/>
  </r>
  <r>
    <x v="0"/>
    <x v="2"/>
    <s v="SKU-1013"/>
    <s v="Notebook 200 pages"/>
    <x v="0"/>
    <s v="pcs"/>
    <n v="456"/>
    <n v="0"/>
    <n v="155"/>
    <n v="301"/>
    <n v="220"/>
    <x v="0"/>
    <n v="55.31"/>
    <n v="16646.95"/>
    <s v="Greenleaf Supplies"/>
    <s v="OK"/>
    <s v="OK"/>
    <s v="OK"/>
  </r>
  <r>
    <x v="0"/>
    <x v="2"/>
    <s v="SKU-1015"/>
    <s v="Calculator"/>
    <x v="0"/>
    <s v="pcs"/>
    <n v="60"/>
    <n v="0"/>
    <n v="43"/>
    <n v="17"/>
    <n v="37"/>
    <x v="1"/>
    <n v="409.3"/>
    <n v="6958.06"/>
    <s v="Lotus Agencies"/>
    <s v="OK"/>
    <s v="OK"/>
    <s v="OK"/>
  </r>
  <r>
    <x v="0"/>
    <x v="2"/>
    <s v="SKU-1016"/>
    <s v="Calculator (Bulk)"/>
    <x v="0"/>
    <s v="pcs"/>
    <n v="193"/>
    <n v="0"/>
    <n v="91"/>
    <n v="102"/>
    <n v="137"/>
    <x v="1"/>
    <n v="1908.9"/>
    <n v="194707.31"/>
    <s v="Sunrise Distributors"/>
    <s v="OK"/>
    <s v="OK"/>
    <s v="OK"/>
  </r>
  <r>
    <x v="0"/>
    <x v="2"/>
    <s v="SKU-1017"/>
    <s v="Glue Stick"/>
    <x v="0"/>
    <s v="pcs"/>
    <n v="207"/>
    <n v="600"/>
    <n v="214"/>
    <n v="593"/>
    <n v="244"/>
    <x v="0"/>
    <n v="25.08"/>
    <n v="14870.59"/>
    <s v="Unity Traders"/>
    <s v="OK"/>
    <s v="OK"/>
    <s v="OK"/>
  </r>
  <r>
    <x v="0"/>
    <x v="2"/>
    <s v="SKU-1018"/>
    <s v="Glue Stick (Bulk)"/>
    <x v="0"/>
    <s v="pcs"/>
    <n v="120"/>
    <n v="0"/>
    <n v="51"/>
    <n v="69"/>
    <n v="58"/>
    <x v="0"/>
    <n v="117.64"/>
    <n v="8117.2"/>
    <s v="Greenleaf Supplies"/>
    <s v="OK"/>
    <s v="OK"/>
    <s v="OK"/>
  </r>
  <r>
    <x v="0"/>
    <x v="2"/>
    <s v="SKU-1019"/>
    <s v="Envelope Pack"/>
    <x v="0"/>
    <s v="pcs"/>
    <n v="149"/>
    <n v="134"/>
    <n v="46"/>
    <n v="237"/>
    <n v="70"/>
    <x v="0"/>
    <n v="73.37"/>
    <n v="17388.650000000001"/>
    <s v="Unity Traders"/>
    <s v="OK"/>
    <s v="OK"/>
    <s v="OK"/>
  </r>
  <r>
    <x v="0"/>
    <x v="2"/>
    <s v="SKU-1021"/>
    <s v="LED Bulb 9W"/>
    <x v="1"/>
    <s v="pcs"/>
    <n v="440"/>
    <n v="0"/>
    <n v="241"/>
    <n v="199"/>
    <n v="182"/>
    <x v="0"/>
    <n v="95.14"/>
    <n v="18932.71"/>
    <s v="Prime Packaging Works"/>
    <s v="OK"/>
    <s v="OK"/>
    <s v="OK"/>
  </r>
  <r>
    <x v="0"/>
    <x v="2"/>
    <s v="SKU-1024"/>
    <s v="LED Tube Light 20W (Bulk)"/>
    <x v="1"/>
    <s v="pcs"/>
    <n v="387"/>
    <n v="0"/>
    <n v="185"/>
    <n v="202"/>
    <n v="258"/>
    <x v="1"/>
    <n v="1097.4100000000001"/>
    <n v="221675.98"/>
    <s v="Metro Wholesale"/>
    <s v="OK"/>
    <s v="OK"/>
    <s v="OK"/>
  </r>
  <r>
    <x v="0"/>
    <x v="2"/>
    <s v="SKU-1025"/>
    <s v="Extension Board"/>
    <x v="1"/>
    <s v="pcs"/>
    <n v="219"/>
    <n v="323"/>
    <n v="152"/>
    <n v="390"/>
    <n v="216"/>
    <x v="0"/>
    <n v="343.23"/>
    <n v="133861.42000000001"/>
    <s v="Greenleaf Supplies"/>
    <s v="OK"/>
    <s v="OK"/>
    <s v="OK"/>
  </r>
  <r>
    <x v="0"/>
    <x v="2"/>
    <s v="SKU-1026"/>
    <s v="Extension Board (Bulk)"/>
    <x v="1"/>
    <s v="pcs"/>
    <n v="435"/>
    <n v="0"/>
    <n v="82"/>
    <n v="353"/>
    <n v="183"/>
    <x v="0"/>
    <n v="1792.84"/>
    <n v="632872.04"/>
    <s v="Northstar Enterprises"/>
    <s v="OK"/>
    <s v="OK"/>
    <s v="OK"/>
  </r>
  <r>
    <x v="0"/>
    <x v="2"/>
    <s v="SKU-1027"/>
    <s v="Ceiling Fan"/>
    <x v="1"/>
    <s v="pcs"/>
    <n v="288"/>
    <n v="0"/>
    <n v="143"/>
    <n v="145"/>
    <n v="227"/>
    <x v="1"/>
    <n v="1681.4"/>
    <n v="243803.61"/>
    <s v="Metro Wholesale"/>
    <s v="OK"/>
    <s v="OK"/>
    <s v="OK"/>
  </r>
  <r>
    <x v="0"/>
    <x v="2"/>
    <s v="SKU-1031"/>
    <s v="Copper Wire 90m"/>
    <x v="1"/>
    <s v="pcs"/>
    <n v="171"/>
    <n v="443"/>
    <n v="80"/>
    <n v="534"/>
    <n v="173"/>
    <x v="0"/>
    <n v="1742.12"/>
    <n v="930290.51"/>
    <s v="Northstar Enterprises"/>
    <s v="OK"/>
    <s v="OK"/>
    <s v="OK"/>
  </r>
  <r>
    <x v="0"/>
    <x v="2"/>
    <s v="SKU-1032"/>
    <s v="Copper Wire 90m (Bulk)"/>
    <x v="1"/>
    <s v="pcs"/>
    <n v="249"/>
    <n v="0"/>
    <n v="104"/>
    <n v="145"/>
    <n v="141"/>
    <x v="0"/>
    <n v="8062.85"/>
    <n v="1169113.75"/>
    <s v="Prime Packaging Works"/>
    <s v="OK"/>
    <s v="OK"/>
    <s v="OK"/>
  </r>
  <r>
    <x v="0"/>
    <x v="2"/>
    <s v="SKU-1033"/>
    <s v="MCB 32A"/>
    <x v="1"/>
    <s v="pcs"/>
    <n v="53"/>
    <n v="0"/>
    <n v="29"/>
    <n v="24"/>
    <n v="37"/>
    <x v="1"/>
    <n v="249.26"/>
    <n v="5982.22"/>
    <s v="Lotus Agencies"/>
    <s v="OK"/>
    <s v="OK"/>
    <s v="OK"/>
  </r>
  <r>
    <x v="0"/>
    <x v="2"/>
    <s v="SKU-1034"/>
    <s v="MCB 32A (Bulk)"/>
    <x v="1"/>
    <s v="pcs"/>
    <n v="25"/>
    <n v="74"/>
    <n v="25"/>
    <n v="74"/>
    <n v="22"/>
    <x v="0"/>
    <n v="1299.6600000000001"/>
    <n v="96175.01"/>
    <s v="Northstar Enterprises"/>
    <s v="OK"/>
    <s v="OK"/>
    <s v="OK"/>
  </r>
  <r>
    <x v="0"/>
    <x v="2"/>
    <s v="SKU-1035"/>
    <s v="Emergency Light"/>
    <x v="1"/>
    <s v="pcs"/>
    <n v="251"/>
    <n v="0"/>
    <n v="157"/>
    <n v="94"/>
    <n v="180"/>
    <x v="1"/>
    <n v="665.46"/>
    <n v="62553.61"/>
    <s v="Apex Trading Co."/>
    <s v="OK"/>
    <s v="OK"/>
    <s v="OK"/>
  </r>
  <r>
    <x v="0"/>
    <x v="2"/>
    <s v="SKU-1036"/>
    <s v="Emergency Light (Bulk)"/>
    <x v="1"/>
    <s v="pcs"/>
    <n v="290"/>
    <n v="0"/>
    <n v="215"/>
    <n v="75"/>
    <n v="158"/>
    <x v="1"/>
    <n v="3400.86"/>
    <n v="255064.65"/>
    <s v="Greenleaf Supplies"/>
    <s v="OK"/>
    <s v="OK"/>
    <s v="OK"/>
  </r>
  <r>
    <x v="0"/>
    <x v="2"/>
    <s v="SKU-1037"/>
    <s v="Wall Socket"/>
    <x v="1"/>
    <s v="pcs"/>
    <n v="240"/>
    <n v="0"/>
    <n v="116"/>
    <n v="124"/>
    <n v="198"/>
    <x v="1"/>
    <n v="58.42"/>
    <n v="7243.61"/>
    <s v="Northstar Enterprises"/>
    <s v="OK"/>
    <s v="OK"/>
    <s v="OK"/>
  </r>
  <r>
    <x v="0"/>
    <x v="2"/>
    <s v="SKU-1038"/>
    <s v="Wall Socket (Bulk)"/>
    <x v="1"/>
    <s v="pcs"/>
    <n v="550"/>
    <n v="471"/>
    <n v="227"/>
    <n v="794"/>
    <n v="260"/>
    <x v="0"/>
    <n v="269.74"/>
    <n v="214175.78"/>
    <s v="Northstar Enterprises"/>
    <s v="OK"/>
    <s v="OK"/>
    <s v="OK"/>
  </r>
  <r>
    <x v="0"/>
    <x v="2"/>
    <s v="SKU-1039"/>
    <s v="Table Lamp"/>
    <x v="1"/>
    <s v="pcs"/>
    <n v="428"/>
    <n v="0"/>
    <n v="129"/>
    <n v="299"/>
    <n v="246"/>
    <x v="0"/>
    <n v="564.13"/>
    <n v="168674.36"/>
    <s v="Apex Trading Co."/>
    <s v="OK"/>
    <s v="OK"/>
    <s v="OK"/>
  </r>
  <r>
    <x v="0"/>
    <x v="2"/>
    <s v="SKU-1040"/>
    <s v="Table Lamp (Bulk)"/>
    <x v="1"/>
    <s v="pcs"/>
    <n v="298"/>
    <n v="307"/>
    <n v="120"/>
    <n v="485"/>
    <n v="165"/>
    <x v="0"/>
    <n v="2190.56"/>
    <n v="1062420.96"/>
    <s v="Northstar Enterprises"/>
    <s v="OK"/>
    <s v="OK"/>
    <s v="OK"/>
  </r>
  <r>
    <x v="0"/>
    <x v="2"/>
    <s v="SKU-1041"/>
    <s v="Basmati Rice"/>
    <x v="2"/>
    <s v="kg"/>
    <n v="289"/>
    <n v="0"/>
    <n v="108"/>
    <n v="181"/>
    <n v="190"/>
    <x v="1"/>
    <n v="91.6"/>
    <n v="16580.150000000001"/>
    <s v="Lotus Agencies"/>
    <s v="OK"/>
    <s v="OK"/>
    <s v="OK"/>
  </r>
  <r>
    <x v="0"/>
    <x v="2"/>
    <s v="SKU-1042"/>
    <s v="Basmati Rice (Bulk)"/>
    <x v="2"/>
    <s v="kg"/>
    <n v="50"/>
    <n v="0"/>
    <n v="36"/>
    <n v="14"/>
    <n v="39"/>
    <x v="1"/>
    <n v="445.97"/>
    <n v="6243.57"/>
    <s v="Apex Trading Co."/>
    <s v="OK"/>
    <s v="OK"/>
    <s v="OK"/>
  </r>
  <r>
    <x v="0"/>
    <x v="2"/>
    <s v="SKU-1043"/>
    <s v="Toor Dal"/>
    <x v="2"/>
    <s v="kg"/>
    <n v="174"/>
    <n v="0"/>
    <n v="79"/>
    <n v="95"/>
    <n v="131"/>
    <x v="1"/>
    <n v="127.19"/>
    <n v="12082.66"/>
    <s v="Prime Packaging Works"/>
    <s v="OK"/>
    <s v="OK"/>
    <s v="OK"/>
  </r>
  <r>
    <x v="0"/>
    <x v="2"/>
    <s v="SKU-1044"/>
    <s v="Toor Dal (Bulk)"/>
    <x v="2"/>
    <s v="kg"/>
    <n v="579"/>
    <n v="644"/>
    <n v="96"/>
    <n v="1127"/>
    <n v="202"/>
    <x v="0"/>
    <n v="614.96"/>
    <n v="693063"/>
    <s v="Unity Traders"/>
    <s v="OK"/>
    <s v="OK"/>
    <s v="OK"/>
  </r>
  <r>
    <x v="0"/>
    <x v="2"/>
    <s v="SKU-1045"/>
    <s v="Sugar"/>
    <x v="2"/>
    <s v="kg"/>
    <n v="248"/>
    <n v="528"/>
    <n v="215"/>
    <n v="561"/>
    <n v="315"/>
    <x v="0"/>
    <n v="45.21"/>
    <n v="25362.87"/>
    <s v="Northstar Enterprises"/>
    <s v="OK"/>
    <s v="OK"/>
    <s v="OK"/>
  </r>
  <r>
    <x v="0"/>
    <x v="2"/>
    <s v="SKU-1047"/>
    <s v="Wheat Atta"/>
    <x v="2"/>
    <s v="kg"/>
    <n v="211"/>
    <n v="0"/>
    <n v="99"/>
    <n v="112"/>
    <n v="121"/>
    <x v="1"/>
    <n v="41.44"/>
    <n v="4641.41"/>
    <s v="Greenleaf Supplies"/>
    <s v="OK"/>
    <s v="OK"/>
    <s v="OK"/>
  </r>
  <r>
    <x v="0"/>
    <x v="2"/>
    <s v="SKU-1048"/>
    <s v="Wheat Atta (Bulk)"/>
    <x v="2"/>
    <s v="kg"/>
    <n v="113"/>
    <n v="0"/>
    <n v="49"/>
    <n v="64"/>
    <n v="54"/>
    <x v="0"/>
    <n v="158.54"/>
    <n v="10146.34"/>
    <s v="Lotus Agencies"/>
    <s v="OK"/>
    <s v="OK"/>
    <s v="OK"/>
  </r>
  <r>
    <x v="0"/>
    <x v="2"/>
    <s v="SKU-1049"/>
    <s v="Sunflower Oil (L)"/>
    <x v="2"/>
    <s v="kg"/>
    <n v="49"/>
    <n v="0"/>
    <n v="24"/>
    <n v="25"/>
    <n v="38"/>
    <x v="1"/>
    <n v="131.84"/>
    <n v="3295.93"/>
    <s v="Greenleaf Supplies"/>
    <s v="OK"/>
    <s v="OK"/>
    <s v="OK"/>
  </r>
  <r>
    <x v="0"/>
    <x v="2"/>
    <s v="SKU-1050"/>
    <s v="Sunflower Oil (L) (Bulk)"/>
    <x v="2"/>
    <s v="kg"/>
    <n v="309"/>
    <n v="0"/>
    <n v="178"/>
    <n v="131"/>
    <n v="160"/>
    <x v="1"/>
    <n v="676.74"/>
    <n v="88653.45"/>
    <s v="Unity Traders"/>
    <s v="OK"/>
    <s v="OK"/>
    <s v="OK"/>
  </r>
  <r>
    <x v="0"/>
    <x v="2"/>
    <s v="SKU-1052"/>
    <s v="Tea Leaves (Bulk)"/>
    <x v="2"/>
    <s v="kg"/>
    <n v="196"/>
    <n v="0"/>
    <n v="89"/>
    <n v="107"/>
    <n v="121"/>
    <x v="1"/>
    <n v="1943.38"/>
    <n v="207942.01"/>
    <s v="Lotus Agencies"/>
    <s v="OK"/>
    <s v="OK"/>
    <s v="OK"/>
  </r>
  <r>
    <x v="0"/>
    <x v="2"/>
    <s v="SKU-1053"/>
    <s v="Salt"/>
    <x v="2"/>
    <s v="kg"/>
    <n v="144"/>
    <n v="303"/>
    <n v="94"/>
    <n v="353"/>
    <n v="121"/>
    <x v="0"/>
    <n v="20.3"/>
    <n v="7165.61"/>
    <s v="Apex Trading Co."/>
    <s v="OK"/>
    <s v="OK"/>
    <s v="OK"/>
  </r>
  <r>
    <x v="0"/>
    <x v="2"/>
    <s v="SKU-1054"/>
    <s v="Salt (Bulk)"/>
    <x v="2"/>
    <s v="kg"/>
    <n v="294"/>
    <n v="0"/>
    <n v="95"/>
    <n v="199"/>
    <n v="190"/>
    <x v="0"/>
    <n v="102.45"/>
    <n v="20387.2"/>
    <s v="Northstar Enterprises"/>
    <s v="OK"/>
    <s v="OK"/>
    <s v="OK"/>
  </r>
  <r>
    <x v="0"/>
    <x v="2"/>
    <s v="SKU-1055"/>
    <s v="Poha"/>
    <x v="2"/>
    <s v="kg"/>
    <n v="129"/>
    <n v="0"/>
    <n v="70"/>
    <n v="59"/>
    <n v="67"/>
    <x v="1"/>
    <n v="65.959999999999994"/>
    <n v="3891.43"/>
    <s v="Prime Packaging Works"/>
    <s v="OK"/>
    <s v="OK"/>
    <s v="OK"/>
  </r>
  <r>
    <x v="0"/>
    <x v="2"/>
    <s v="SKU-1056"/>
    <s v="Poha (Bulk)"/>
    <x v="2"/>
    <s v="kg"/>
    <n v="145"/>
    <n v="0"/>
    <n v="91"/>
    <n v="54"/>
    <n v="106"/>
    <x v="1"/>
    <n v="255.17"/>
    <n v="13779.16"/>
    <s v="Northstar Enterprises"/>
    <s v="OK"/>
    <s v="OK"/>
    <s v="OK"/>
  </r>
  <r>
    <x v="0"/>
    <x v="2"/>
    <s v="SKU-1057"/>
    <s v="Chana Dal"/>
    <x v="2"/>
    <s v="kg"/>
    <n v="531"/>
    <n v="0"/>
    <n v="179"/>
    <n v="352"/>
    <n v="211"/>
    <x v="0"/>
    <n v="89.01"/>
    <n v="31332.22"/>
    <s v="Metro Wholesale"/>
    <s v="OK"/>
    <s v="OK"/>
    <s v="OK"/>
  </r>
  <r>
    <x v="0"/>
    <x v="2"/>
    <s v="SKU-1058"/>
    <s v="Chana Dal (Bulk)"/>
    <x v="2"/>
    <s v="kg"/>
    <n v="88"/>
    <n v="81"/>
    <n v="35"/>
    <n v="134"/>
    <n v="42"/>
    <x v="0"/>
    <n v="399.06"/>
    <n v="53474.29"/>
    <s v="Lotus Agencies"/>
    <s v="OK"/>
    <s v="OK"/>
    <s v="OK"/>
  </r>
  <r>
    <x v="0"/>
    <x v="2"/>
    <s v="SKU-1059"/>
    <s v="Jaggery"/>
    <x v="2"/>
    <s v="kg"/>
    <n v="179"/>
    <n v="0"/>
    <n v="74"/>
    <n v="105"/>
    <n v="72"/>
    <x v="0"/>
    <n v="70.09"/>
    <n v="7359.17"/>
    <s v="Metro Wholesale"/>
    <s v="OK"/>
    <s v="OK"/>
    <s v="OK"/>
  </r>
  <r>
    <x v="0"/>
    <x v="2"/>
    <s v="SKU-1060"/>
    <s v="Jaggery (Bulk)"/>
    <x v="2"/>
    <s v="kg"/>
    <n v="541"/>
    <n v="0"/>
    <n v="175"/>
    <n v="366"/>
    <n v="246"/>
    <x v="0"/>
    <n v="307.23"/>
    <n v="112447.81"/>
    <s v="Apex Trading Co."/>
    <s v="OK"/>
    <s v="OK"/>
    <s v="OK"/>
  </r>
  <r>
    <x v="0"/>
    <x v="2"/>
    <s v="SKU-1061"/>
    <s v="Hammer"/>
    <x v="3"/>
    <s v="pcs"/>
    <n v="220"/>
    <n v="512"/>
    <n v="197"/>
    <n v="535"/>
    <n v="205"/>
    <x v="0"/>
    <n v="244.45"/>
    <n v="130781.27"/>
    <s v="Northstar Enterprises"/>
    <s v="OK"/>
    <s v="OK"/>
    <s v="OK"/>
  </r>
  <r>
    <x v="0"/>
    <x v="2"/>
    <s v="SKU-1062"/>
    <s v="Hammer (Bulk)"/>
    <x v="3"/>
    <s v="pcs"/>
    <n v="45"/>
    <n v="140"/>
    <n v="40"/>
    <n v="145"/>
    <n v="58"/>
    <x v="0"/>
    <n v="1208.92"/>
    <n v="175293.68"/>
    <s v="Apex Trading Co."/>
    <s v="OK"/>
    <s v="OK"/>
    <s v="OK"/>
  </r>
  <r>
    <x v="0"/>
    <x v="2"/>
    <s v="SKU-1063"/>
    <s v="Screwdriver Set"/>
    <x v="3"/>
    <s v="pcs"/>
    <n v="190"/>
    <n v="0"/>
    <n v="108"/>
    <n v="82"/>
    <n v="123"/>
    <x v="1"/>
    <n v="327.16000000000003"/>
    <n v="26827.51"/>
    <s v="Sunrise Distributors"/>
    <s v="OK"/>
    <s v="OK"/>
    <s v="OK"/>
  </r>
  <r>
    <x v="0"/>
    <x v="2"/>
    <s v="SKU-1064"/>
    <s v="Screwdriver Set (Bulk)"/>
    <x v="3"/>
    <s v="pcs"/>
    <n v="97"/>
    <n v="0"/>
    <n v="40"/>
    <n v="57"/>
    <n v="33"/>
    <x v="0"/>
    <n v="1536.44"/>
    <n v="87576.81"/>
    <s v="Northstar Enterprises"/>
    <s v="OK"/>
    <s v="OK"/>
    <s v="OK"/>
  </r>
  <r>
    <x v="0"/>
    <x v="2"/>
    <s v="SKU-1065"/>
    <s v="Wall Plug Pack"/>
    <x v="3"/>
    <s v="pcs"/>
    <n v="324"/>
    <n v="0"/>
    <n v="121"/>
    <n v="203"/>
    <n v="164"/>
    <x v="0"/>
    <n v="41.16"/>
    <n v="8356.24"/>
    <s v="Metro Wholesale"/>
    <s v="OK"/>
    <s v="OK"/>
    <s v="OK"/>
  </r>
  <r>
    <x v="0"/>
    <x v="2"/>
    <s v="SKU-1066"/>
    <s v="Wall Plug Pack (Bulk)"/>
    <x v="3"/>
    <s v="pcs"/>
    <n v="407"/>
    <n v="0"/>
    <n v="261"/>
    <n v="146"/>
    <n v="267"/>
    <x v="1"/>
    <n v="214.46"/>
    <n v="31310.65"/>
    <s v="Lotus Agencies"/>
    <s v="OK"/>
    <s v="OK"/>
    <s v="OK"/>
  </r>
  <r>
    <x v="0"/>
    <x v="2"/>
    <s v="SKU-1067"/>
    <s v="Padlock"/>
    <x v="3"/>
    <s v="pcs"/>
    <n v="219"/>
    <n v="0"/>
    <n v="74"/>
    <n v="145"/>
    <n v="121"/>
    <x v="0"/>
    <n v="215.87"/>
    <n v="31301.35"/>
    <s v="Metro Wholesale"/>
    <s v="OK"/>
    <s v="OK"/>
    <s v="OK"/>
  </r>
  <r>
    <x v="0"/>
    <x v="2"/>
    <s v="SKU-1068"/>
    <s v="Padlock (Bulk)"/>
    <x v="3"/>
    <s v="pcs"/>
    <n v="97"/>
    <n v="0"/>
    <n v="45"/>
    <n v="52"/>
    <n v="77"/>
    <x v="1"/>
    <n v="1045.3499999999999"/>
    <n v="54358.18"/>
    <s v="Apex Trading Co."/>
    <s v="OK"/>
    <s v="OK"/>
    <s v="OK"/>
  </r>
  <r>
    <x v="0"/>
    <x v="2"/>
    <s v="SKU-1069"/>
    <s v="Measuring Tape 5m"/>
    <x v="3"/>
    <s v="pcs"/>
    <n v="34"/>
    <n v="0"/>
    <n v="24"/>
    <n v="10"/>
    <n v="23"/>
    <x v="1"/>
    <n v="130.61000000000001"/>
    <n v="1306.0999999999999"/>
    <s v="Unity Traders"/>
    <s v="OK"/>
    <s v="OK"/>
    <s v="OK"/>
  </r>
  <r>
    <x v="0"/>
    <x v="2"/>
    <s v="SKU-1071"/>
    <s v="Spanner Set"/>
    <x v="3"/>
    <s v="pcs"/>
    <n v="137"/>
    <n v="0"/>
    <n v="80"/>
    <n v="57"/>
    <n v="105"/>
    <x v="1"/>
    <n v="707.32"/>
    <n v="40317.1"/>
    <s v="Prime Packaging Works"/>
    <s v="OK"/>
    <s v="OK"/>
    <s v="OK"/>
  </r>
  <r>
    <x v="0"/>
    <x v="2"/>
    <s v="SKU-1072"/>
    <s v="Spanner Set (Bulk)"/>
    <x v="3"/>
    <s v="pcs"/>
    <n v="297"/>
    <n v="693"/>
    <n v="259"/>
    <n v="731"/>
    <n v="276"/>
    <x v="0"/>
    <n v="3070.76"/>
    <n v="2244728.59"/>
    <s v="Greenleaf Supplies"/>
    <s v="OK"/>
    <s v="OK"/>
    <s v="OK"/>
  </r>
  <r>
    <x v="0"/>
    <x v="2"/>
    <s v="SKU-1074"/>
    <s v="Drill Bit Set (Bulk)"/>
    <x v="3"/>
    <s v="pcs"/>
    <n v="205"/>
    <n v="0"/>
    <n v="176"/>
    <n v="29"/>
    <n v="113"/>
    <x v="1"/>
    <n v="2222.7800000000002"/>
    <n v="64460.73"/>
    <s v="Prime Packaging Works"/>
    <s v="OK"/>
    <s v="OK"/>
    <s v="OK"/>
  </r>
  <r>
    <x v="0"/>
    <x v="2"/>
    <s v="SKU-1075"/>
    <s v="Wood Screws Pack"/>
    <x v="3"/>
    <s v="pcs"/>
    <n v="340"/>
    <n v="0"/>
    <n v="123"/>
    <n v="217"/>
    <n v="108"/>
    <x v="0"/>
    <n v="65.16"/>
    <n v="14139.44"/>
    <s v="Prime Packaging Works"/>
    <s v="OK"/>
    <s v="OK"/>
    <s v="OK"/>
  </r>
  <r>
    <x v="0"/>
    <x v="2"/>
    <s v="SKU-1076"/>
    <s v="Wood Screws Pack (Bulk)"/>
    <x v="3"/>
    <s v="pcs"/>
    <n v="331"/>
    <n v="0"/>
    <n v="183"/>
    <n v="148"/>
    <n v="195"/>
    <x v="1"/>
    <n v="344.06"/>
    <n v="50920.72"/>
    <s v="Northstar Enterprises"/>
    <s v="OK"/>
    <s v="OK"/>
    <s v="OK"/>
  </r>
  <r>
    <x v="0"/>
    <x v="2"/>
    <s v="SKU-1077"/>
    <s v="Door Hinge"/>
    <x v="3"/>
    <s v="pcs"/>
    <n v="137"/>
    <n v="320"/>
    <n v="171"/>
    <n v="286"/>
    <n v="179"/>
    <x v="0"/>
    <n v="50"/>
    <n v="14300.02"/>
    <s v="Unity Traders"/>
    <s v="OK"/>
    <s v="OK"/>
    <s v="OK"/>
  </r>
  <r>
    <x v="0"/>
    <x v="2"/>
    <s v="SKU-1078"/>
    <s v="Door Hinge (Bulk)"/>
    <x v="3"/>
    <s v="pcs"/>
    <n v="337"/>
    <n v="0"/>
    <n v="140"/>
    <n v="197"/>
    <n v="176"/>
    <x v="0"/>
    <n v="266.51"/>
    <n v="52502.1"/>
    <s v="Northstar Enterprises"/>
    <s v="OK"/>
    <s v="OK"/>
    <s v="OK"/>
  </r>
  <r>
    <x v="0"/>
    <x v="2"/>
    <s v="SKU-1079"/>
    <s v="Paint Brush"/>
    <x v="3"/>
    <s v="pcs"/>
    <n v="200"/>
    <n v="0"/>
    <n v="134"/>
    <n v="66"/>
    <n v="125"/>
    <x v="1"/>
    <n v="87.16"/>
    <n v="5752.68"/>
    <s v="Unity Traders"/>
    <s v="OK"/>
    <s v="OK"/>
    <s v="OK"/>
  </r>
  <r>
    <x v="0"/>
    <x v="2"/>
    <s v="SKU-1080"/>
    <s v="Paint Brush (Bulk)"/>
    <x v="3"/>
    <s v="pcs"/>
    <n v="146"/>
    <n v="0"/>
    <n v="81"/>
    <n v="65"/>
    <n v="109"/>
    <x v="1"/>
    <n v="414.83"/>
    <n v="26963.73"/>
    <s v="Sunrise Distributors"/>
    <s v="OK"/>
    <s v="OK"/>
    <s v="OK"/>
  </r>
  <r>
    <x v="0"/>
    <x v="2"/>
    <s v="SKU-1081"/>
    <s v="Floor Cleaner 1L"/>
    <x v="4"/>
    <s v="pcs"/>
    <n v="178"/>
    <n v="357"/>
    <n v="168"/>
    <n v="367"/>
    <n v="156"/>
    <x v="0"/>
    <n v="109.44"/>
    <n v="40163.71"/>
    <s v="Lotus Agencies"/>
    <s v="OK"/>
    <s v="OK"/>
    <s v="OK"/>
  </r>
  <r>
    <x v="0"/>
    <x v="2"/>
    <s v="SKU-1082"/>
    <s v="Floor Cleaner 1L (Bulk)"/>
    <x v="4"/>
    <s v="pcs"/>
    <n v="148"/>
    <n v="0"/>
    <n v="87"/>
    <n v="61"/>
    <n v="119"/>
    <x v="1"/>
    <n v="563.78"/>
    <n v="34390.29"/>
    <s v="Apex Trading Co."/>
    <s v="OK"/>
    <s v="OK"/>
    <s v="OK"/>
  </r>
  <r>
    <x v="0"/>
    <x v="2"/>
    <s v="SKU-1083"/>
    <s v="Dishwash Liquid 500ml"/>
    <x v="4"/>
    <s v="pcs"/>
    <n v="195"/>
    <n v="0"/>
    <n v="77"/>
    <n v="118"/>
    <n v="103"/>
    <x v="0"/>
    <n v="101.85"/>
    <n v="12018.86"/>
    <s v="Apex Trading Co."/>
    <s v="OK"/>
    <s v="OK"/>
    <s v="OK"/>
  </r>
  <r>
    <x v="0"/>
    <x v="2"/>
    <s v="SKU-1084"/>
    <s v="Dishwash Liquid 500ml (Bulk)"/>
    <x v="4"/>
    <s v="pcs"/>
    <n v="374"/>
    <n v="0"/>
    <n v="247"/>
    <n v="127"/>
    <n v="191"/>
    <x v="1"/>
    <n v="442.39"/>
    <n v="56183.32"/>
    <s v="Prime Packaging Works"/>
    <s v="OK"/>
    <s v="OK"/>
    <s v="OK"/>
  </r>
  <r>
    <x v="0"/>
    <x v="2"/>
    <s v="SKU-1085"/>
    <s v="Phenyl 1L"/>
    <x v="4"/>
    <s v="pcs"/>
    <n v="123"/>
    <n v="241"/>
    <n v="125"/>
    <n v="239"/>
    <n v="90"/>
    <x v="0"/>
    <n v="66.47"/>
    <n v="15886.54"/>
    <s v="Greenleaf Supplies"/>
    <s v="OK"/>
    <s v="OK"/>
    <s v="OK"/>
  </r>
  <r>
    <x v="0"/>
    <x v="2"/>
    <s v="SKU-1086"/>
    <s v="Phenyl 1L (Bulk)"/>
    <x v="4"/>
    <s v="pcs"/>
    <n v="61"/>
    <n v="0"/>
    <n v="32"/>
    <n v="29"/>
    <n v="34"/>
    <x v="1"/>
    <n v="329.43"/>
    <n v="9553.48"/>
    <s v="Sunrise Distributors"/>
    <s v="OK"/>
    <s v="OK"/>
    <s v="OK"/>
  </r>
  <r>
    <x v="0"/>
    <x v="2"/>
    <s v="SKU-1087"/>
    <s v="Broom"/>
    <x v="4"/>
    <s v="pcs"/>
    <n v="86"/>
    <n v="182"/>
    <n v="57"/>
    <n v="211"/>
    <n v="92"/>
    <x v="0"/>
    <n v="106.2"/>
    <n v="22408.959999999999"/>
    <s v="Apex Trading Co."/>
    <s v="OK"/>
    <s v="OK"/>
    <s v="OK"/>
  </r>
  <r>
    <x v="0"/>
    <x v="2"/>
    <s v="SKU-1088"/>
    <s v="Broom (Bulk)"/>
    <x v="4"/>
    <s v="pcs"/>
    <n v="337"/>
    <n v="318"/>
    <n v="145"/>
    <n v="510"/>
    <n v="135"/>
    <x v="0"/>
    <n v="505.82"/>
    <n v="257970.48"/>
    <s v="Apex Trading Co."/>
    <s v="OK"/>
    <s v="OK"/>
    <s v="OK"/>
  </r>
  <r>
    <x v="0"/>
    <x v="2"/>
    <s v="SKU-1089"/>
    <s v="Mop with Bucket"/>
    <x v="4"/>
    <s v="pcs"/>
    <n v="194"/>
    <n v="0"/>
    <n v="194"/>
    <n v="0"/>
    <n v="138"/>
    <x v="1"/>
    <n v="859.4"/>
    <n v="0"/>
    <s v="Greenleaf Supplies"/>
    <s v="OK"/>
    <s v="OK"/>
    <s v="OK"/>
  </r>
  <r>
    <x v="0"/>
    <x v="2"/>
    <s v="SKU-1090"/>
    <s v="Mop with Bucket (Bulk)"/>
    <x v="4"/>
    <s v="pcs"/>
    <n v="612"/>
    <n v="0"/>
    <n v="250"/>
    <n v="362"/>
    <n v="240"/>
    <x v="0"/>
    <n v="4121.04"/>
    <n v="1491815.11"/>
    <s v="Greenleaf Supplies"/>
    <s v="OK"/>
    <s v="OK"/>
    <s v="OK"/>
  </r>
  <r>
    <x v="0"/>
    <x v="2"/>
    <s v="SKU-1091"/>
    <s v="Garbage Bags Roll"/>
    <x v="4"/>
    <s v="pcs"/>
    <n v="173"/>
    <n v="0"/>
    <n v="91"/>
    <n v="82"/>
    <n v="72"/>
    <x v="0"/>
    <n v="91.5"/>
    <n v="7502.98"/>
    <s v="Apex Trading Co."/>
    <s v="OK"/>
    <s v="OK"/>
    <s v="OK"/>
  </r>
  <r>
    <x v="0"/>
    <x v="2"/>
    <s v="SKU-1092"/>
    <s v="Garbage Bags Roll (Bulk)"/>
    <x v="4"/>
    <s v="pcs"/>
    <n v="309"/>
    <n v="467"/>
    <n v="218"/>
    <n v="558"/>
    <n v="168"/>
    <x v="0"/>
    <n v="418.15"/>
    <n v="233327.07"/>
    <s v="Metro Wholesale"/>
    <s v="OK"/>
    <s v="OK"/>
    <s v="OK"/>
  </r>
  <r>
    <x v="0"/>
    <x v="2"/>
    <s v="SKU-1093"/>
    <s v="Hand Wash 250ml"/>
    <x v="4"/>
    <s v="pcs"/>
    <n v="253"/>
    <n v="0"/>
    <n v="117"/>
    <n v="136"/>
    <n v="146"/>
    <x v="1"/>
    <n v="78.959999999999994"/>
    <n v="10738.27"/>
    <s v="Greenleaf Supplies"/>
    <s v="OK"/>
    <s v="OK"/>
    <s v="OK"/>
  </r>
  <r>
    <x v="0"/>
    <x v="2"/>
    <s v="SKU-1094"/>
    <s v="Hand Wash 250ml (Bulk)"/>
    <x v="4"/>
    <s v="pcs"/>
    <n v="192"/>
    <n v="0"/>
    <n v="56"/>
    <n v="136"/>
    <n v="97"/>
    <x v="0"/>
    <n v="323.93"/>
    <n v="44054.65"/>
    <s v="Metro Wholesale"/>
    <s v="OK"/>
    <s v="OK"/>
    <s v="OK"/>
  </r>
  <r>
    <x v="0"/>
    <x v="2"/>
    <s v="SKU-1095"/>
    <s v="Glass Cleaner"/>
    <x v="4"/>
    <s v="pcs"/>
    <n v="257"/>
    <n v="0"/>
    <n v="82"/>
    <n v="175"/>
    <n v="109"/>
    <x v="0"/>
    <n v="104.24"/>
    <n v="18241.16"/>
    <s v="Lotus Agencies"/>
    <s v="OK"/>
    <s v="OK"/>
    <s v="OK"/>
  </r>
  <r>
    <x v="0"/>
    <x v="2"/>
    <s v="SKU-1096"/>
    <s v="Glass Cleaner (Bulk)"/>
    <x v="4"/>
    <s v="pcs"/>
    <n v="170"/>
    <n v="0"/>
    <n v="86"/>
    <n v="84"/>
    <n v="107"/>
    <x v="1"/>
    <n v="420.68"/>
    <n v="35337.230000000003"/>
    <s v="Sunrise Distributors"/>
    <s v="OK"/>
    <s v="OK"/>
    <s v="OK"/>
  </r>
  <r>
    <x v="0"/>
    <x v="2"/>
    <s v="SKU-1097"/>
    <s v="Scrub Pad Pack"/>
    <x v="4"/>
    <s v="pcs"/>
    <n v="556"/>
    <n v="0"/>
    <n v="204"/>
    <n v="352"/>
    <n v="231"/>
    <x v="0"/>
    <n v="38.71"/>
    <n v="13626.86"/>
    <s v="Greenleaf Supplies"/>
    <s v="OK"/>
    <s v="OK"/>
    <s v="OK"/>
  </r>
  <r>
    <x v="0"/>
    <x v="2"/>
    <s v="SKU-1098"/>
    <s v="Scrub Pad Pack (Bulk)"/>
    <x v="4"/>
    <s v="pcs"/>
    <n v="290"/>
    <n v="616"/>
    <n v="214"/>
    <n v="692"/>
    <n v="275"/>
    <x v="0"/>
    <n v="184.34"/>
    <n v="127560.31"/>
    <s v="Lotus Agencies"/>
    <s v="OK"/>
    <s v="OK"/>
    <s v="OK"/>
  </r>
  <r>
    <x v="0"/>
    <x v="2"/>
    <s v="SKU-1099"/>
    <s v="Dustbin 20L"/>
    <x v="4"/>
    <s v="pcs"/>
    <n v="149"/>
    <n v="401"/>
    <n v="103"/>
    <n v="447"/>
    <n v="97"/>
    <x v="0"/>
    <n v="328.65"/>
    <n v="146905.10999999999"/>
    <s v="Unity Traders"/>
    <s v="OK"/>
    <s v="OK"/>
    <s v="OK"/>
  </r>
  <r>
    <x v="0"/>
    <x v="2"/>
    <s v="SKU-1101"/>
    <s v="Corrugated Box Small"/>
    <x v="5"/>
    <s v="pcs"/>
    <n v="248"/>
    <n v="0"/>
    <n v="69"/>
    <n v="179"/>
    <n v="125"/>
    <x v="0"/>
    <n v="18.059999999999999"/>
    <n v="3231.99"/>
    <s v="Metro Wholesale"/>
    <s v="OK"/>
    <s v="OK"/>
    <s v="OK"/>
  </r>
  <r>
    <x v="0"/>
    <x v="2"/>
    <s v="SKU-1102"/>
    <s v="Corrugated Box Small (Bulk)"/>
    <x v="5"/>
    <s v="pcs"/>
    <n v="108"/>
    <n v="186"/>
    <n v="62"/>
    <n v="232"/>
    <n v="101"/>
    <x v="0"/>
    <n v="90.92"/>
    <n v="21094.51"/>
    <s v="Sunrise Distributors"/>
    <s v="OK"/>
    <s v="OK"/>
    <s v="OK"/>
  </r>
  <r>
    <x v="0"/>
    <x v="2"/>
    <s v="SKU-1103"/>
    <s v="Corrugated Box Large"/>
    <x v="5"/>
    <s v="pcs"/>
    <n v="278"/>
    <n v="0"/>
    <n v="228"/>
    <n v="50"/>
    <n v="168"/>
    <x v="1"/>
    <n v="44.76"/>
    <n v="2237.88"/>
    <s v="Metro Wholesale"/>
    <s v="OK"/>
    <s v="OK"/>
    <s v="OK"/>
  </r>
  <r>
    <x v="0"/>
    <x v="2"/>
    <s v="SKU-1104"/>
    <s v="Corrugated Box Large (Bulk)"/>
    <x v="5"/>
    <s v="pcs"/>
    <n v="198"/>
    <n v="0"/>
    <n v="132"/>
    <n v="66"/>
    <n v="160"/>
    <x v="1"/>
    <n v="205.4"/>
    <n v="13556.44"/>
    <s v="Unity Traders"/>
    <s v="OK"/>
    <s v="OK"/>
    <s v="OK"/>
  </r>
  <r>
    <x v="0"/>
    <x v="2"/>
    <s v="SKU-1106"/>
    <s v="Bubble Wrap Roll (Bulk)"/>
    <x v="5"/>
    <s v="pcs"/>
    <n v="267"/>
    <n v="0"/>
    <n v="108"/>
    <n v="159"/>
    <n v="115"/>
    <x v="0"/>
    <n v="1777.26"/>
    <n v="282584.7"/>
    <s v="Apex Trading Co."/>
    <s v="OK"/>
    <s v="OK"/>
    <s v="OK"/>
  </r>
  <r>
    <x v="0"/>
    <x v="2"/>
    <s v="SKU-1107"/>
    <s v="Packing Tape"/>
    <x v="5"/>
    <s v="pcs"/>
    <n v="423"/>
    <n v="0"/>
    <n v="208"/>
    <n v="215"/>
    <n v="233"/>
    <x v="1"/>
    <n v="40.74"/>
    <n v="8759.06"/>
    <s v="Unity Traders"/>
    <s v="OK"/>
    <s v="OK"/>
    <s v="OK"/>
  </r>
  <r>
    <x v="0"/>
    <x v="2"/>
    <s v="SKU-1108"/>
    <s v="Packing Tape (Bulk)"/>
    <x v="5"/>
    <s v="pcs"/>
    <n v="288"/>
    <n v="0"/>
    <n v="91"/>
    <n v="197"/>
    <n v="165"/>
    <x v="0"/>
    <n v="218.43"/>
    <n v="43031.32"/>
    <s v="Northstar Enterprises"/>
    <s v="OK"/>
    <s v="OK"/>
    <s v="OK"/>
  </r>
  <r>
    <x v="0"/>
    <x v="2"/>
    <s v="SKU-1109"/>
    <s v="Courier Bag Pack"/>
    <x v="5"/>
    <s v="pcs"/>
    <n v="289"/>
    <n v="0"/>
    <n v="82"/>
    <n v="207"/>
    <n v="174"/>
    <x v="0"/>
    <n v="149.46"/>
    <n v="30937.47"/>
    <s v="Northstar Enterprises"/>
    <s v="OK"/>
    <s v="OK"/>
    <s v="OK"/>
  </r>
  <r>
    <x v="0"/>
    <x v="2"/>
    <s v="SKU-1112"/>
    <s v="Stretch Film Roll (Bulk)"/>
    <x v="5"/>
    <s v="pcs"/>
    <n v="386"/>
    <n v="0"/>
    <n v="120"/>
    <n v="266"/>
    <n v="177"/>
    <x v="0"/>
    <n v="2223.5"/>
    <n v="591449.91"/>
    <s v="Greenleaf Supplies"/>
    <s v="OK"/>
    <s v="OK"/>
    <s v="OK"/>
  </r>
  <r>
    <x v="0"/>
    <x v="2"/>
    <s v="SKU-1113"/>
    <s v="Kraft Paper Roll"/>
    <x v="5"/>
    <s v="pcs"/>
    <n v="447"/>
    <n v="462"/>
    <n v="194"/>
    <n v="715"/>
    <n v="127"/>
    <x v="0"/>
    <n v="276.58999999999997"/>
    <n v="197764.52"/>
    <s v="Sunrise Distributors"/>
    <s v="OK"/>
    <s v="OK"/>
    <s v="OK"/>
  </r>
  <r>
    <x v="0"/>
    <x v="2"/>
    <s v="SKU-1115"/>
    <s v="Label Sticker Roll"/>
    <x v="5"/>
    <s v="pcs"/>
    <n v="24"/>
    <n v="0"/>
    <n v="16"/>
    <n v="8"/>
    <n v="19"/>
    <x v="1"/>
    <n v="228.38"/>
    <n v="1827.06"/>
    <s v="Sunrise Distributors"/>
    <s v="OK"/>
    <s v="OK"/>
    <s v="OK"/>
  </r>
  <r>
    <x v="0"/>
    <x v="2"/>
    <s v="SKU-1116"/>
    <s v="Label Sticker Roll (Bulk)"/>
    <x v="5"/>
    <s v="pcs"/>
    <n v="281"/>
    <n v="0"/>
    <n v="77"/>
    <n v="204"/>
    <n v="133"/>
    <x v="0"/>
    <n v="1087.46"/>
    <n v="221841.49"/>
    <s v="Apex Trading Co."/>
    <s v="OK"/>
    <s v="OK"/>
    <s v="OK"/>
  </r>
  <r>
    <x v="0"/>
    <x v="2"/>
    <s v="SKU-1117"/>
    <s v="Thermocol Sheet"/>
    <x v="5"/>
    <s v="pcs"/>
    <n v="211"/>
    <n v="491"/>
    <n v="210"/>
    <n v="492"/>
    <n v="139"/>
    <x v="0"/>
    <n v="32.950000000000003"/>
    <n v="16212.08"/>
    <s v="Prime Packaging Works"/>
    <s v="OK"/>
    <s v="OK"/>
    <s v="OK"/>
  </r>
  <r>
    <x v="0"/>
    <x v="2"/>
    <s v="SKU-1118"/>
    <s v="Thermocol Sheet (Bulk)"/>
    <x v="5"/>
    <s v="pcs"/>
    <n v="167"/>
    <n v="0"/>
    <n v="114"/>
    <n v="53"/>
    <n v="103"/>
    <x v="1"/>
    <n v="155"/>
    <n v="8215.15"/>
    <s v="Northstar Enterprises"/>
    <s v="OK"/>
    <s v="OK"/>
    <s v="OK"/>
  </r>
  <r>
    <x v="0"/>
    <x v="2"/>
    <s v="SKU-1119"/>
    <s v="Twine Roll"/>
    <x v="5"/>
    <s v="pcs"/>
    <n v="85"/>
    <n v="138"/>
    <n v="52"/>
    <n v="171"/>
    <n v="72"/>
    <x v="0"/>
    <n v="58.25"/>
    <n v="9961"/>
    <s v="Prime Packaging Works"/>
    <s v="OK"/>
    <s v="OK"/>
    <s v="OK"/>
  </r>
  <r>
    <x v="0"/>
    <x v="2"/>
    <s v="SKU-1120"/>
    <s v="Twine Roll (Bulk)"/>
    <x v="5"/>
    <s v="pcs"/>
    <n v="396"/>
    <n v="0"/>
    <n v="287"/>
    <n v="109"/>
    <n v="226"/>
    <x v="1"/>
    <n v="286.67"/>
    <n v="31247.13"/>
    <s v="Sunrise Distributors"/>
    <s v="OK"/>
    <s v="OK"/>
    <s v="OK"/>
  </r>
  <r>
    <x v="0"/>
    <x v="3"/>
    <s v="SKU-1001"/>
    <s v="A4 Paper Ream"/>
    <x v="0"/>
    <s v="pcs"/>
    <n v="209"/>
    <n v="0"/>
    <n v="143"/>
    <n v="66"/>
    <n v="130"/>
    <x v="1"/>
    <n v="263.02"/>
    <n v="17359.349999999999"/>
    <s v="Lotus Agencies"/>
    <s v="OK"/>
    <s v="OK"/>
    <s v="OK"/>
  </r>
  <r>
    <x v="0"/>
    <x v="3"/>
    <s v="SKU-1002"/>
    <s v="A4 Paper Ream (Bulk)"/>
    <x v="0"/>
    <s v="pcs"/>
    <n v="97"/>
    <n v="163"/>
    <n v="77"/>
    <n v="183"/>
    <n v="90"/>
    <x v="0"/>
    <n v="1145.53"/>
    <n v="209631.95"/>
    <s v="Prime Packaging Works"/>
    <s v="OK"/>
    <s v="OK"/>
    <s v="OK"/>
  </r>
  <r>
    <x v="0"/>
    <x v="3"/>
    <s v="SKU-1003"/>
    <s v="Ball Pen Box"/>
    <x v="0"/>
    <s v="pcs"/>
    <n v="93"/>
    <n v="0"/>
    <n v="69"/>
    <n v="24"/>
    <n v="74"/>
    <x v="1"/>
    <n v="87.28"/>
    <n v="2094.6799999999998"/>
    <s v="Lotus Agencies"/>
    <s v="OK"/>
    <s v="OK"/>
    <s v="OK"/>
  </r>
  <r>
    <x v="0"/>
    <x v="3"/>
    <s v="SKU-1004"/>
    <s v="Ball Pen Box (Bulk)"/>
    <x v="0"/>
    <s v="pcs"/>
    <n v="319"/>
    <n v="444"/>
    <n v="247"/>
    <n v="516"/>
    <n v="280"/>
    <x v="0"/>
    <n v="382.69"/>
    <n v="197468.65"/>
    <s v="Northstar Enterprises"/>
    <s v="OK"/>
    <s v="OK"/>
    <s v="OK"/>
  </r>
  <r>
    <x v="0"/>
    <x v="3"/>
    <s v="SKU-1005"/>
    <s v="Stapler"/>
    <x v="0"/>
    <s v="pcs"/>
    <n v="455"/>
    <n v="0"/>
    <n v="170"/>
    <n v="285"/>
    <n v="163"/>
    <x v="0"/>
    <n v="127.64"/>
    <n v="36377.699999999997"/>
    <s v="Lotus Agencies"/>
    <s v="OK"/>
    <s v="OK"/>
    <s v="OK"/>
  </r>
  <r>
    <x v="0"/>
    <x v="3"/>
    <s v="SKU-1006"/>
    <s v="Stapler (Bulk)"/>
    <x v="0"/>
    <s v="pcs"/>
    <n v="333"/>
    <n v="617"/>
    <n v="210"/>
    <n v="740"/>
    <n v="287"/>
    <x v="0"/>
    <n v="528.54999999999995"/>
    <n v="391130.25"/>
    <s v="Metro Wholesale"/>
    <s v="OK"/>
    <s v="OK"/>
    <s v="OK"/>
  </r>
  <r>
    <x v="0"/>
    <x v="3"/>
    <s v="SKU-1008"/>
    <s v="Box File (Bulk)"/>
    <x v="0"/>
    <s v="pcs"/>
    <n v="304"/>
    <n v="0"/>
    <n v="177"/>
    <n v="127"/>
    <n v="168"/>
    <x v="1"/>
    <n v="328.19"/>
    <n v="41680.720000000001"/>
    <s v="Lotus Agencies"/>
    <s v="OK"/>
    <s v="OK"/>
    <s v="OK"/>
  </r>
  <r>
    <x v="0"/>
    <x v="3"/>
    <s v="SKU-1009"/>
    <s v="Whiteboard Marker Set"/>
    <x v="0"/>
    <s v="pcs"/>
    <n v="235"/>
    <n v="0"/>
    <n v="153"/>
    <n v="82"/>
    <n v="106"/>
    <x v="1"/>
    <n v="173.86"/>
    <n v="14256.25"/>
    <s v="Unity Traders"/>
    <s v="OK"/>
    <s v="OK"/>
    <s v="OK"/>
  </r>
  <r>
    <x v="0"/>
    <x v="3"/>
    <s v="SKU-1010"/>
    <s v="Whiteboard Marker Set (Bulk)"/>
    <x v="0"/>
    <s v="pcs"/>
    <n v="351"/>
    <n v="0"/>
    <n v="109"/>
    <n v="242"/>
    <n v="141"/>
    <x v="0"/>
    <n v="748.78"/>
    <n v="181205.11"/>
    <s v="Greenleaf Supplies"/>
    <s v="OK"/>
    <s v="OK"/>
    <s v="OK"/>
  </r>
  <r>
    <x v="0"/>
    <x v="3"/>
    <s v="SKU-1011"/>
    <s v="Sticky Notes Pack"/>
    <x v="0"/>
    <s v="pcs"/>
    <n v="133"/>
    <n v="0"/>
    <n v="70"/>
    <n v="63"/>
    <n v="82"/>
    <x v="1"/>
    <n v="61.66"/>
    <n v="3884.29"/>
    <s v="Unity Traders"/>
    <s v="OK"/>
    <s v="OK"/>
    <s v="OK"/>
  </r>
  <r>
    <x v="0"/>
    <x v="3"/>
    <s v="SKU-1012"/>
    <s v="Sticky Notes Pack (Bulk)"/>
    <x v="0"/>
    <s v="pcs"/>
    <n v="62"/>
    <n v="0"/>
    <n v="33"/>
    <n v="29"/>
    <n v="28"/>
    <x v="0"/>
    <n v="253.95"/>
    <n v="7364.55"/>
    <s v="Lotus Agencies"/>
    <s v="OK"/>
    <s v="OK"/>
    <s v="OK"/>
  </r>
  <r>
    <x v="0"/>
    <x v="3"/>
    <s v="SKU-1013"/>
    <s v="Notebook 200 pages"/>
    <x v="0"/>
    <s v="pcs"/>
    <n v="363"/>
    <n v="0"/>
    <n v="220"/>
    <n v="143"/>
    <n v="139"/>
    <x v="0"/>
    <n v="59.72"/>
    <n v="8539.9699999999993"/>
    <s v="Greenleaf Supplies"/>
    <s v="OK"/>
    <s v="OK"/>
    <s v="OK"/>
  </r>
  <r>
    <x v="0"/>
    <x v="3"/>
    <s v="SKU-1014"/>
    <s v="Notebook 200 pages (Bulk)"/>
    <x v="0"/>
    <s v="pcs"/>
    <n v="271"/>
    <n v="0"/>
    <n v="90"/>
    <n v="181"/>
    <n v="143"/>
    <x v="0"/>
    <n v="251.86"/>
    <n v="45586.46"/>
    <s v="Unity Traders"/>
    <s v="OK"/>
    <s v="OK"/>
    <s v="OK"/>
  </r>
  <r>
    <x v="0"/>
    <x v="3"/>
    <s v="SKU-1015"/>
    <s v="Calculator"/>
    <x v="0"/>
    <s v="pcs"/>
    <n v="91"/>
    <n v="115"/>
    <n v="72"/>
    <n v="134"/>
    <n v="82"/>
    <x v="0"/>
    <n v="463.13"/>
    <n v="62059.53"/>
    <s v="Lotus Agencies"/>
    <s v="OK"/>
    <s v="OK"/>
    <s v="OK"/>
  </r>
  <r>
    <x v="0"/>
    <x v="3"/>
    <s v="SKU-1016"/>
    <s v="Calculator (Bulk)"/>
    <x v="0"/>
    <s v="pcs"/>
    <n v="432"/>
    <n v="618"/>
    <n v="196"/>
    <n v="854"/>
    <n v="173"/>
    <x v="0"/>
    <n v="2084.5500000000002"/>
    <n v="1780208.3"/>
    <s v="Sunrise Distributors"/>
    <s v="OK"/>
    <s v="OK"/>
    <s v="OK"/>
  </r>
  <r>
    <x v="0"/>
    <x v="3"/>
    <s v="SKU-1017"/>
    <s v="Glue Stick"/>
    <x v="0"/>
    <s v="pcs"/>
    <n v="461"/>
    <n v="0"/>
    <n v="144"/>
    <n v="317"/>
    <n v="237"/>
    <x v="0"/>
    <n v="23.38"/>
    <n v="7409.98"/>
    <s v="Unity Traders"/>
    <s v="OK"/>
    <s v="OK"/>
    <s v="OK"/>
  </r>
  <r>
    <x v="0"/>
    <x v="3"/>
    <s v="SKU-1018"/>
    <s v="Glue Stick (Bulk)"/>
    <x v="0"/>
    <s v="pcs"/>
    <n v="556"/>
    <n v="0"/>
    <n v="113"/>
    <n v="443"/>
    <n v="180"/>
    <x v="0"/>
    <n v="126.43"/>
    <n v="56010.68"/>
    <s v="Greenleaf Supplies"/>
    <s v="OK"/>
    <s v="OK"/>
    <s v="OK"/>
  </r>
  <r>
    <x v="0"/>
    <x v="3"/>
    <s v="SKU-1019"/>
    <s v="Envelope Pack"/>
    <x v="0"/>
    <s v="pcs"/>
    <n v="276"/>
    <n v="252"/>
    <n v="107"/>
    <n v="421"/>
    <n v="110"/>
    <x v="0"/>
    <n v="87.39"/>
    <n v="36792.92"/>
    <s v="Unity Traders"/>
    <s v="OK"/>
    <s v="OK"/>
    <s v="OK"/>
  </r>
  <r>
    <x v="0"/>
    <x v="3"/>
    <s v="SKU-1020"/>
    <s v="Envelope Pack (Bulk)"/>
    <x v="0"/>
    <s v="pcs"/>
    <n v="208"/>
    <n v="666"/>
    <n v="130"/>
    <n v="744"/>
    <n v="289"/>
    <x v="0"/>
    <n v="373"/>
    <n v="277513.48"/>
    <s v="Prime Packaging Works"/>
    <s v="OK"/>
    <s v="OK"/>
    <s v="OK"/>
  </r>
  <r>
    <x v="0"/>
    <x v="3"/>
    <s v="SKU-1021"/>
    <s v="LED Bulb 9W"/>
    <x v="1"/>
    <s v="pcs"/>
    <n v="58"/>
    <n v="110"/>
    <n v="28"/>
    <n v="140"/>
    <n v="55"/>
    <x v="0"/>
    <n v="104.29"/>
    <n v="14601"/>
    <s v="Prime Packaging Works"/>
    <s v="OK"/>
    <s v="OK"/>
    <s v="OK"/>
  </r>
  <r>
    <x v="0"/>
    <x v="3"/>
    <s v="SKU-1022"/>
    <s v="LED Bulb 9W (Bulk)"/>
    <x v="1"/>
    <s v="pcs"/>
    <n v="363"/>
    <n v="347"/>
    <n v="116"/>
    <n v="594"/>
    <n v="144"/>
    <x v="0"/>
    <n v="467.68"/>
    <n v="277803.48"/>
    <s v="Sunrise Distributors"/>
    <s v="OK"/>
    <s v="OK"/>
    <s v="OK"/>
  </r>
  <r>
    <x v="0"/>
    <x v="3"/>
    <s v="SKU-1023"/>
    <s v="LED Tube Light 20W"/>
    <x v="1"/>
    <s v="pcs"/>
    <n v="135"/>
    <n v="0"/>
    <n v="109"/>
    <n v="26"/>
    <n v="103"/>
    <x v="1"/>
    <n v="223.8"/>
    <n v="5818.79"/>
    <s v="Metro Wholesale"/>
    <s v="OK"/>
    <s v="OK"/>
    <s v="OK"/>
  </r>
  <r>
    <x v="0"/>
    <x v="3"/>
    <s v="SKU-1024"/>
    <s v="LED Tube Light 20W (Bulk)"/>
    <x v="1"/>
    <s v="pcs"/>
    <n v="149"/>
    <n v="0"/>
    <n v="124"/>
    <n v="25"/>
    <n v="106"/>
    <x v="1"/>
    <n v="1156.25"/>
    <n v="28906.13"/>
    <s v="Metro Wholesale"/>
    <s v="OK"/>
    <s v="OK"/>
    <s v="OK"/>
  </r>
  <r>
    <x v="0"/>
    <x v="3"/>
    <s v="SKU-1025"/>
    <s v="Extension Board"/>
    <x v="1"/>
    <s v="pcs"/>
    <n v="445"/>
    <n v="0"/>
    <n v="163"/>
    <n v="282"/>
    <n v="212"/>
    <x v="0"/>
    <n v="355.34"/>
    <n v="100205.21"/>
    <s v="Greenleaf Supplies"/>
    <s v="OK"/>
    <s v="OK"/>
    <s v="OK"/>
  </r>
  <r>
    <x v="0"/>
    <x v="3"/>
    <s v="SKU-1027"/>
    <s v="Ceiling Fan"/>
    <x v="1"/>
    <s v="pcs"/>
    <n v="505"/>
    <n v="0"/>
    <n v="110"/>
    <n v="395"/>
    <n v="272"/>
    <x v="0"/>
    <n v="1855.65"/>
    <n v="732983.27"/>
    <s v="Metro Wholesale"/>
    <s v="OK"/>
    <s v="OK"/>
    <s v="OK"/>
  </r>
  <r>
    <x v="0"/>
    <x v="3"/>
    <s v="SKU-1029"/>
    <s v="Modular Switch"/>
    <x v="1"/>
    <s v="pcs"/>
    <n v="44"/>
    <n v="84"/>
    <n v="22"/>
    <n v="106"/>
    <n v="41"/>
    <x v="0"/>
    <n v="41.77"/>
    <n v="4427.1400000000003"/>
    <s v="Sunrise Distributors"/>
    <s v="OK"/>
    <s v="OK"/>
    <s v="OK"/>
  </r>
  <r>
    <x v="0"/>
    <x v="3"/>
    <s v="SKU-1030"/>
    <s v="Modular Switch (Bulk)"/>
    <x v="1"/>
    <s v="pcs"/>
    <n v="123"/>
    <n v="0"/>
    <n v="82"/>
    <n v="41"/>
    <n v="79"/>
    <x v="1"/>
    <n v="196.05"/>
    <n v="8038.07"/>
    <s v="Northstar Enterprises"/>
    <s v="OK"/>
    <s v="OK"/>
    <s v="OK"/>
  </r>
  <r>
    <x v="0"/>
    <x v="3"/>
    <s v="SKU-1032"/>
    <s v="Copper Wire 90m (Bulk)"/>
    <x v="1"/>
    <s v="pcs"/>
    <n v="271"/>
    <n v="585"/>
    <n v="135"/>
    <n v="721"/>
    <n v="248"/>
    <x v="0"/>
    <n v="7928.34"/>
    <n v="5716330.0199999996"/>
    <s v="Prime Packaging Works"/>
    <s v="OK"/>
    <s v="OK"/>
    <s v="OK"/>
  </r>
  <r>
    <x v="0"/>
    <x v="3"/>
    <s v="SKU-1034"/>
    <s v="MCB 32A (Bulk)"/>
    <x v="1"/>
    <s v="pcs"/>
    <n v="41"/>
    <n v="45"/>
    <n v="15"/>
    <n v="71"/>
    <n v="21"/>
    <x v="0"/>
    <n v="1091.26"/>
    <n v="77479.47"/>
    <s v="Northstar Enterprises"/>
    <s v="OK"/>
    <s v="OK"/>
    <s v="OK"/>
  </r>
  <r>
    <x v="0"/>
    <x v="3"/>
    <s v="SKU-1035"/>
    <s v="Emergency Light"/>
    <x v="1"/>
    <s v="pcs"/>
    <n v="71"/>
    <n v="0"/>
    <n v="23"/>
    <n v="48"/>
    <n v="39"/>
    <x v="0"/>
    <n v="700.35"/>
    <n v="33616.94"/>
    <s v="Apex Trading Co."/>
    <s v="OK"/>
    <s v="OK"/>
    <s v="OK"/>
  </r>
  <r>
    <x v="0"/>
    <x v="3"/>
    <s v="SKU-1036"/>
    <s v="Emergency Light (Bulk)"/>
    <x v="1"/>
    <s v="pcs"/>
    <n v="321"/>
    <n v="0"/>
    <n v="263"/>
    <n v="58"/>
    <n v="256"/>
    <x v="1"/>
    <n v="2973.62"/>
    <n v="172469.71"/>
    <s v="Greenleaf Supplies"/>
    <s v="OK"/>
    <s v="OK"/>
    <s v="OK"/>
  </r>
  <r>
    <x v="0"/>
    <x v="3"/>
    <s v="SKU-1037"/>
    <s v="Wall Socket"/>
    <x v="1"/>
    <s v="pcs"/>
    <n v="452"/>
    <n v="0"/>
    <n v="174"/>
    <n v="278"/>
    <n v="204"/>
    <x v="0"/>
    <n v="56.63"/>
    <n v="15743.01"/>
    <s v="Northstar Enterprises"/>
    <s v="OK"/>
    <s v="OK"/>
    <s v="OK"/>
  </r>
  <r>
    <x v="0"/>
    <x v="3"/>
    <s v="SKU-1038"/>
    <s v="Wall Socket (Bulk)"/>
    <x v="1"/>
    <s v="pcs"/>
    <n v="105"/>
    <n v="0"/>
    <n v="28"/>
    <n v="77"/>
    <n v="38"/>
    <x v="0"/>
    <n v="281.83999999999997"/>
    <n v="21701.43"/>
    <s v="Northstar Enterprises"/>
    <s v="OK"/>
    <s v="OK"/>
    <s v="OK"/>
  </r>
  <r>
    <x v="0"/>
    <x v="3"/>
    <s v="SKU-1039"/>
    <s v="Table Lamp"/>
    <x v="1"/>
    <s v="pcs"/>
    <n v="194"/>
    <n v="0"/>
    <n v="37"/>
    <n v="157"/>
    <n v="118"/>
    <x v="0"/>
    <n v="523.9"/>
    <n v="82252.59"/>
    <s v="Apex Trading Co."/>
    <s v="OK"/>
    <s v="OK"/>
    <s v="OK"/>
  </r>
  <r>
    <x v="0"/>
    <x v="3"/>
    <s v="SKU-1040"/>
    <s v="Table Lamp (Bulk)"/>
    <x v="1"/>
    <s v="pcs"/>
    <n v="225"/>
    <n v="0"/>
    <n v="142"/>
    <n v="83"/>
    <n v="144"/>
    <x v="1"/>
    <n v="2513.87"/>
    <n v="208650.99"/>
    <s v="Northstar Enterprises"/>
    <s v="OK"/>
    <s v="OK"/>
    <s v="OK"/>
  </r>
  <r>
    <x v="0"/>
    <x v="3"/>
    <s v="SKU-1041"/>
    <s v="Basmati Rice"/>
    <x v="2"/>
    <s v="kg"/>
    <n v="367"/>
    <n v="0"/>
    <n v="215"/>
    <n v="152"/>
    <n v="166"/>
    <x v="1"/>
    <n v="98.87"/>
    <n v="15028.48"/>
    <s v="Lotus Agencies"/>
    <s v="OK"/>
    <s v="OK"/>
    <s v="OK"/>
  </r>
  <r>
    <x v="0"/>
    <x v="3"/>
    <s v="SKU-1042"/>
    <s v="Basmati Rice (Bulk)"/>
    <x v="2"/>
    <s v="kg"/>
    <n v="34"/>
    <n v="93"/>
    <n v="19"/>
    <n v="108"/>
    <n v="37"/>
    <x v="0"/>
    <n v="441.16"/>
    <n v="47645.77"/>
    <s v="Apex Trading Co."/>
    <s v="OK"/>
    <s v="OK"/>
    <s v="OK"/>
  </r>
  <r>
    <x v="0"/>
    <x v="3"/>
    <s v="SKU-1043"/>
    <s v="Toor Dal"/>
    <x v="2"/>
    <s v="kg"/>
    <n v="154"/>
    <n v="288"/>
    <n v="143"/>
    <n v="299"/>
    <n v="142"/>
    <x v="0"/>
    <n v="135.19"/>
    <n v="40421"/>
    <s v="Prime Packaging Works"/>
    <s v="OK"/>
    <s v="OK"/>
    <s v="OK"/>
  </r>
  <r>
    <x v="0"/>
    <x v="3"/>
    <s v="SKU-1044"/>
    <s v="Toor Dal (Bulk)"/>
    <x v="2"/>
    <s v="kg"/>
    <n v="171"/>
    <n v="0"/>
    <n v="114"/>
    <n v="57"/>
    <n v="107"/>
    <x v="1"/>
    <n v="654.71"/>
    <n v="37318.44"/>
    <s v="Unity Traders"/>
    <s v="OK"/>
    <s v="OK"/>
    <s v="OK"/>
  </r>
  <r>
    <x v="0"/>
    <x v="3"/>
    <s v="SKU-1046"/>
    <s v="Sugar (Bulk)"/>
    <x v="2"/>
    <s v="kg"/>
    <n v="88"/>
    <n v="0"/>
    <n v="33"/>
    <n v="55"/>
    <n v="38"/>
    <x v="0"/>
    <n v="200.51"/>
    <n v="11028.32"/>
    <s v="Northstar Enterprises"/>
    <s v="OK"/>
    <s v="OK"/>
    <s v="OK"/>
  </r>
  <r>
    <x v="0"/>
    <x v="3"/>
    <s v="SKU-1048"/>
    <s v="Wheat Atta (Bulk)"/>
    <x v="2"/>
    <s v="kg"/>
    <n v="134"/>
    <n v="375"/>
    <n v="133"/>
    <n v="376"/>
    <n v="134"/>
    <x v="0"/>
    <n v="173.48"/>
    <n v="65230.26"/>
    <s v="Lotus Agencies"/>
    <s v="OK"/>
    <s v="OK"/>
    <s v="OK"/>
  </r>
  <r>
    <x v="0"/>
    <x v="3"/>
    <s v="SKU-1049"/>
    <s v="Sunflower Oil (L)"/>
    <x v="2"/>
    <s v="kg"/>
    <n v="323"/>
    <n v="0"/>
    <n v="211"/>
    <n v="112"/>
    <n v="235"/>
    <x v="1"/>
    <n v="143.54"/>
    <n v="16076.95"/>
    <s v="Greenleaf Supplies"/>
    <s v="OK"/>
    <s v="OK"/>
    <s v="OK"/>
  </r>
  <r>
    <x v="0"/>
    <x v="3"/>
    <s v="SKU-1050"/>
    <s v="Sunflower Oil (L) (Bulk)"/>
    <x v="2"/>
    <s v="kg"/>
    <n v="183"/>
    <n v="410"/>
    <n v="168"/>
    <n v="425"/>
    <n v="202"/>
    <x v="0"/>
    <n v="601.69000000000005"/>
    <n v="255718.46"/>
    <s v="Unity Traders"/>
    <s v="OK"/>
    <s v="OK"/>
    <s v="OK"/>
  </r>
  <r>
    <x v="0"/>
    <x v="3"/>
    <s v="SKU-1051"/>
    <s v="Tea Leaves"/>
    <x v="2"/>
    <s v="kg"/>
    <n v="80"/>
    <n v="92"/>
    <n v="26"/>
    <n v="146"/>
    <n v="41"/>
    <x v="0"/>
    <n v="383.8"/>
    <n v="56034.45"/>
    <s v="Northstar Enterprises"/>
    <s v="OK"/>
    <s v="OK"/>
    <s v="OK"/>
  </r>
  <r>
    <x v="0"/>
    <x v="3"/>
    <s v="SKU-1052"/>
    <s v="Tea Leaves (Bulk)"/>
    <x v="2"/>
    <s v="kg"/>
    <n v="375"/>
    <n v="0"/>
    <n v="203"/>
    <n v="172"/>
    <n v="169"/>
    <x v="0"/>
    <n v="2035.93"/>
    <n v="350180.1"/>
    <s v="Lotus Agencies"/>
    <s v="OK"/>
    <s v="OK"/>
    <s v="OK"/>
  </r>
  <r>
    <x v="0"/>
    <x v="3"/>
    <s v="SKU-1053"/>
    <s v="Salt"/>
    <x v="2"/>
    <s v="kg"/>
    <n v="394"/>
    <n v="0"/>
    <n v="116"/>
    <n v="278"/>
    <n v="255"/>
    <x v="0"/>
    <n v="21.65"/>
    <n v="6018.59"/>
    <s v="Apex Trading Co."/>
    <s v="OK"/>
    <s v="OK"/>
    <s v="OK"/>
  </r>
  <r>
    <x v="0"/>
    <x v="3"/>
    <s v="SKU-1054"/>
    <s v="Salt (Bulk)"/>
    <x v="2"/>
    <s v="kg"/>
    <n v="598"/>
    <n v="0"/>
    <n v="154"/>
    <n v="444"/>
    <n v="233"/>
    <x v="0"/>
    <n v="109.43"/>
    <n v="48588.24"/>
    <s v="Northstar Enterprises"/>
    <s v="OK"/>
    <s v="OK"/>
    <s v="OK"/>
  </r>
  <r>
    <x v="0"/>
    <x v="3"/>
    <s v="SKU-1055"/>
    <s v="Poha"/>
    <x v="2"/>
    <s v="kg"/>
    <n v="213"/>
    <n v="0"/>
    <n v="46"/>
    <n v="167"/>
    <n v="117"/>
    <x v="0"/>
    <n v="60.47"/>
    <n v="10098.76"/>
    <s v="Prime Packaging Works"/>
    <s v="OK"/>
    <s v="OK"/>
    <s v="OK"/>
  </r>
  <r>
    <x v="0"/>
    <x v="3"/>
    <s v="SKU-1056"/>
    <s v="Poha (Bulk)"/>
    <x v="2"/>
    <s v="kg"/>
    <n v="202"/>
    <n v="0"/>
    <n v="143"/>
    <n v="59"/>
    <n v="155"/>
    <x v="1"/>
    <n v="278.06"/>
    <n v="16405.34"/>
    <s v="Northstar Enterprises"/>
    <s v="OK"/>
    <s v="OK"/>
    <s v="OK"/>
  </r>
  <r>
    <x v="0"/>
    <x v="3"/>
    <s v="SKU-1057"/>
    <s v="Chana Dal"/>
    <x v="2"/>
    <s v="kg"/>
    <n v="178"/>
    <n v="361"/>
    <n v="121"/>
    <n v="418"/>
    <n v="161"/>
    <x v="0"/>
    <n v="81.06"/>
    <n v="33884.129999999997"/>
    <s v="Metro Wholesale"/>
    <s v="OK"/>
    <s v="OK"/>
    <s v="OK"/>
  </r>
  <r>
    <x v="0"/>
    <x v="3"/>
    <s v="SKU-1059"/>
    <s v="Jaggery"/>
    <x v="2"/>
    <s v="kg"/>
    <n v="46"/>
    <n v="0"/>
    <n v="24"/>
    <n v="22"/>
    <n v="19"/>
    <x v="0"/>
    <n v="65.58"/>
    <n v="1442.71"/>
    <s v="Metro Wholesale"/>
    <s v="OK"/>
    <s v="OK"/>
    <s v="OK"/>
  </r>
  <r>
    <x v="0"/>
    <x v="3"/>
    <s v="SKU-1060"/>
    <s v="Jaggery (Bulk)"/>
    <x v="2"/>
    <s v="kg"/>
    <n v="185"/>
    <n v="368"/>
    <n v="64"/>
    <n v="489"/>
    <n v="170"/>
    <x v="0"/>
    <n v="289.8"/>
    <n v="141712.37"/>
    <s v="Apex Trading Co."/>
    <s v="OK"/>
    <s v="OK"/>
    <s v="OK"/>
  </r>
  <r>
    <x v="0"/>
    <x v="3"/>
    <s v="SKU-1061"/>
    <s v="Hammer"/>
    <x v="3"/>
    <s v="pcs"/>
    <n v="175"/>
    <n v="0"/>
    <n v="46"/>
    <n v="129"/>
    <n v="104"/>
    <x v="0"/>
    <n v="239.87"/>
    <n v="30942.959999999999"/>
    <s v="Northstar Enterprises"/>
    <s v="OK"/>
    <s v="OK"/>
    <s v="OK"/>
  </r>
  <r>
    <x v="0"/>
    <x v="3"/>
    <s v="SKU-1062"/>
    <s v="Hammer (Bulk)"/>
    <x v="3"/>
    <s v="pcs"/>
    <n v="458"/>
    <n v="0"/>
    <n v="133"/>
    <n v="325"/>
    <n v="197"/>
    <x v="0"/>
    <n v="1287.79"/>
    <n v="418533.24"/>
    <s v="Apex Trading Co."/>
    <s v="OK"/>
    <s v="OK"/>
    <s v="OK"/>
  </r>
  <r>
    <x v="0"/>
    <x v="3"/>
    <s v="SKU-1063"/>
    <s v="Screwdriver Set"/>
    <x v="3"/>
    <s v="pcs"/>
    <n v="21"/>
    <n v="0"/>
    <n v="19"/>
    <n v="2"/>
    <n v="17"/>
    <x v="1"/>
    <n v="290.14999999999998"/>
    <n v="580.29999999999995"/>
    <s v="Sunrise Distributors"/>
    <s v="OK"/>
    <s v="OK"/>
    <s v="OK"/>
  </r>
  <r>
    <x v="0"/>
    <x v="3"/>
    <s v="SKU-1064"/>
    <s v="Screwdriver Set (Bulk)"/>
    <x v="3"/>
    <s v="pcs"/>
    <n v="150"/>
    <n v="352"/>
    <n v="157"/>
    <n v="345"/>
    <n v="177"/>
    <x v="0"/>
    <n v="1542.82"/>
    <n v="532271.28"/>
    <s v="Northstar Enterprises"/>
    <s v="OK"/>
    <s v="OK"/>
    <s v="OK"/>
  </r>
  <r>
    <x v="0"/>
    <x v="3"/>
    <s v="SKU-1065"/>
    <s v="Wall Plug Pack"/>
    <x v="3"/>
    <s v="pcs"/>
    <n v="139"/>
    <n v="0"/>
    <n v="119"/>
    <n v="20"/>
    <n v="93"/>
    <x v="1"/>
    <n v="48.27"/>
    <n v="965.47"/>
    <s v="Metro Wholesale"/>
    <s v="OK"/>
    <s v="OK"/>
    <s v="OK"/>
  </r>
  <r>
    <x v="0"/>
    <x v="3"/>
    <s v="SKU-1066"/>
    <s v="Wall Plug Pack (Bulk)"/>
    <x v="3"/>
    <s v="pcs"/>
    <n v="41"/>
    <n v="0"/>
    <n v="32"/>
    <n v="9"/>
    <n v="30"/>
    <x v="1"/>
    <n v="220.07"/>
    <n v="1980.66"/>
    <s v="Lotus Agencies"/>
    <s v="OK"/>
    <s v="OK"/>
    <s v="OK"/>
  </r>
  <r>
    <x v="0"/>
    <x v="3"/>
    <s v="SKU-1067"/>
    <s v="Padlock"/>
    <x v="3"/>
    <s v="pcs"/>
    <n v="362"/>
    <n v="0"/>
    <n v="185"/>
    <n v="177"/>
    <n v="168"/>
    <x v="0"/>
    <n v="217.25"/>
    <n v="38452.6"/>
    <s v="Metro Wholesale"/>
    <s v="OK"/>
    <s v="OK"/>
    <s v="OK"/>
  </r>
  <r>
    <x v="0"/>
    <x v="3"/>
    <s v="SKU-1069"/>
    <s v="Measuring Tape 5m"/>
    <x v="3"/>
    <s v="pcs"/>
    <n v="103"/>
    <n v="0"/>
    <n v="95"/>
    <n v="8"/>
    <n v="81"/>
    <x v="1"/>
    <n v="144.49"/>
    <n v="1155.8900000000001"/>
    <s v="Unity Traders"/>
    <s v="OK"/>
    <s v="OK"/>
    <s v="OK"/>
  </r>
  <r>
    <x v="0"/>
    <x v="3"/>
    <s v="SKU-1070"/>
    <s v="Measuring Tape 5m (Bulk)"/>
    <x v="3"/>
    <s v="pcs"/>
    <n v="67"/>
    <n v="180"/>
    <n v="40"/>
    <n v="207"/>
    <n v="60"/>
    <x v="0"/>
    <n v="701.77"/>
    <n v="145266.26999999999"/>
    <s v="Northstar Enterprises"/>
    <s v="OK"/>
    <s v="OK"/>
    <s v="OK"/>
  </r>
  <r>
    <x v="0"/>
    <x v="3"/>
    <s v="SKU-1071"/>
    <s v="Spanner Set"/>
    <x v="3"/>
    <s v="pcs"/>
    <n v="439"/>
    <n v="0"/>
    <n v="199"/>
    <n v="240"/>
    <n v="280"/>
    <x v="1"/>
    <n v="640.54"/>
    <n v="153728.66"/>
    <s v="Prime Packaging Works"/>
    <s v="OK"/>
    <s v="OK"/>
    <s v="OK"/>
  </r>
  <r>
    <x v="0"/>
    <x v="3"/>
    <s v="SKU-1073"/>
    <s v="Drill Bit Set"/>
    <x v="3"/>
    <s v="pcs"/>
    <n v="336"/>
    <n v="0"/>
    <n v="121"/>
    <n v="215"/>
    <n v="172"/>
    <x v="0"/>
    <n v="496.45"/>
    <n v="106736.51"/>
    <s v="Lotus Agencies"/>
    <s v="OK"/>
    <s v="OK"/>
    <s v="OK"/>
  </r>
  <r>
    <x v="0"/>
    <x v="3"/>
    <s v="SKU-1075"/>
    <s v="Wood Screws Pack"/>
    <x v="3"/>
    <s v="pcs"/>
    <n v="322"/>
    <n v="0"/>
    <n v="191"/>
    <n v="131"/>
    <n v="180"/>
    <x v="1"/>
    <n v="65.09"/>
    <n v="8526.67"/>
    <s v="Prime Packaging Works"/>
    <s v="OK"/>
    <s v="OK"/>
    <s v="OK"/>
  </r>
  <r>
    <x v="0"/>
    <x v="3"/>
    <s v="SKU-1076"/>
    <s v="Wood Screws Pack (Bulk)"/>
    <x v="3"/>
    <s v="pcs"/>
    <n v="179"/>
    <n v="214"/>
    <n v="96"/>
    <n v="297"/>
    <n v="122"/>
    <x v="0"/>
    <n v="344.5"/>
    <n v="102315.77"/>
    <s v="Northstar Enterprises"/>
    <s v="OK"/>
    <s v="OK"/>
    <s v="OK"/>
  </r>
  <r>
    <x v="0"/>
    <x v="3"/>
    <s v="SKU-1077"/>
    <s v="Door Hinge"/>
    <x v="3"/>
    <s v="pcs"/>
    <n v="200"/>
    <n v="0"/>
    <n v="93"/>
    <n v="107"/>
    <n v="99"/>
    <x v="0"/>
    <n v="59.56"/>
    <n v="6373.15"/>
    <s v="Unity Traders"/>
    <s v="OK"/>
    <s v="OK"/>
    <s v="OK"/>
  </r>
  <r>
    <x v="0"/>
    <x v="3"/>
    <s v="SKU-1078"/>
    <s v="Door Hinge (Bulk)"/>
    <x v="3"/>
    <s v="pcs"/>
    <n v="275"/>
    <n v="0"/>
    <n v="190"/>
    <n v="85"/>
    <n v="192"/>
    <x v="1"/>
    <n v="234.49"/>
    <n v="19931.23"/>
    <s v="Northstar Enterprises"/>
    <s v="OK"/>
    <s v="OK"/>
    <s v="OK"/>
  </r>
  <r>
    <x v="0"/>
    <x v="3"/>
    <s v="SKU-1079"/>
    <s v="Paint Brush"/>
    <x v="3"/>
    <s v="pcs"/>
    <n v="148"/>
    <n v="194"/>
    <n v="64"/>
    <n v="278"/>
    <n v="61"/>
    <x v="0"/>
    <n v="92.18"/>
    <n v="25625.439999999999"/>
    <s v="Unity Traders"/>
    <s v="OK"/>
    <s v="OK"/>
    <s v="OK"/>
  </r>
  <r>
    <x v="0"/>
    <x v="3"/>
    <s v="SKU-1080"/>
    <s v="Paint Brush (Bulk)"/>
    <x v="3"/>
    <s v="pcs"/>
    <n v="462"/>
    <n v="0"/>
    <n v="139"/>
    <n v="323"/>
    <n v="163"/>
    <x v="0"/>
    <n v="366.8"/>
    <n v="118475"/>
    <s v="Sunrise Distributors"/>
    <s v="OK"/>
    <s v="OK"/>
    <s v="OK"/>
  </r>
  <r>
    <x v="0"/>
    <x v="3"/>
    <s v="SKU-1083"/>
    <s v="Dishwash Liquid 500ml"/>
    <x v="4"/>
    <s v="pcs"/>
    <n v="154"/>
    <n v="0"/>
    <n v="54"/>
    <n v="100"/>
    <n v="89"/>
    <x v="0"/>
    <n v="102.1"/>
    <n v="10209.879999999999"/>
    <s v="Apex Trading Co."/>
    <s v="OK"/>
    <s v="OK"/>
    <s v="OK"/>
  </r>
  <r>
    <x v="0"/>
    <x v="3"/>
    <s v="SKU-1084"/>
    <s v="Dishwash Liquid 500ml (Bulk)"/>
    <x v="4"/>
    <s v="pcs"/>
    <n v="131"/>
    <n v="0"/>
    <n v="66"/>
    <n v="65"/>
    <n v="71"/>
    <x v="1"/>
    <n v="442.14"/>
    <n v="28739.33"/>
    <s v="Prime Packaging Works"/>
    <s v="OK"/>
    <s v="OK"/>
    <s v="OK"/>
  </r>
  <r>
    <x v="0"/>
    <x v="3"/>
    <s v="SKU-1085"/>
    <s v="Phenyl 1L"/>
    <x v="4"/>
    <s v="pcs"/>
    <n v="188"/>
    <n v="274"/>
    <n v="103"/>
    <n v="359"/>
    <n v="159"/>
    <x v="0"/>
    <n v="76.400000000000006"/>
    <n v="27426.98"/>
    <s v="Greenleaf Supplies"/>
    <s v="OK"/>
    <s v="OK"/>
    <s v="OK"/>
  </r>
  <r>
    <x v="0"/>
    <x v="3"/>
    <s v="SKU-1086"/>
    <s v="Phenyl 1L (Bulk)"/>
    <x v="4"/>
    <s v="pcs"/>
    <n v="53"/>
    <n v="0"/>
    <n v="12"/>
    <n v="41"/>
    <n v="26"/>
    <x v="0"/>
    <n v="297.36"/>
    <n v="12191.56"/>
    <s v="Sunrise Distributors"/>
    <s v="OK"/>
    <s v="OK"/>
    <s v="OK"/>
  </r>
  <r>
    <x v="0"/>
    <x v="3"/>
    <s v="SKU-1087"/>
    <s v="Broom"/>
    <x v="4"/>
    <s v="pcs"/>
    <n v="326"/>
    <n v="736"/>
    <n v="289"/>
    <n v="773"/>
    <n v="249"/>
    <x v="0"/>
    <n v="112.3"/>
    <n v="86805.45"/>
    <s v="Apex Trading Co."/>
    <s v="OK"/>
    <s v="OK"/>
    <s v="OK"/>
  </r>
  <r>
    <x v="0"/>
    <x v="3"/>
    <s v="SKU-1088"/>
    <s v="Broom (Bulk)"/>
    <x v="4"/>
    <s v="pcs"/>
    <n v="119"/>
    <n v="0"/>
    <n v="65"/>
    <n v="54"/>
    <n v="82"/>
    <x v="1"/>
    <n v="533.88"/>
    <n v="28829.63"/>
    <s v="Apex Trading Co."/>
    <s v="OK"/>
    <s v="OK"/>
    <s v="OK"/>
  </r>
  <r>
    <x v="0"/>
    <x v="3"/>
    <s v="SKU-1089"/>
    <s v="Mop with Bucket"/>
    <x v="4"/>
    <s v="pcs"/>
    <n v="159"/>
    <n v="0"/>
    <n v="88"/>
    <n v="71"/>
    <n v="109"/>
    <x v="1"/>
    <n v="904.7"/>
    <n v="64233.47"/>
    <s v="Greenleaf Supplies"/>
    <s v="OK"/>
    <s v="OK"/>
    <s v="OK"/>
  </r>
  <r>
    <x v="0"/>
    <x v="3"/>
    <s v="SKU-1091"/>
    <s v="Garbage Bags Roll"/>
    <x v="4"/>
    <s v="pcs"/>
    <n v="143"/>
    <n v="252"/>
    <n v="95"/>
    <n v="300"/>
    <n v="137"/>
    <x v="0"/>
    <n v="93.18"/>
    <n v="27954.720000000001"/>
    <s v="Apex Trading Co."/>
    <s v="OK"/>
    <s v="OK"/>
    <s v="OK"/>
  </r>
  <r>
    <x v="0"/>
    <x v="3"/>
    <s v="SKU-1092"/>
    <s v="Garbage Bags Roll (Bulk)"/>
    <x v="4"/>
    <s v="pcs"/>
    <n v="314"/>
    <n v="0"/>
    <n v="69"/>
    <n v="245"/>
    <n v="154"/>
    <x v="0"/>
    <n v="380.89"/>
    <n v="93317.84"/>
    <s v="Metro Wholesale"/>
    <s v="OK"/>
    <s v="OK"/>
    <s v="OK"/>
  </r>
  <r>
    <x v="0"/>
    <x v="3"/>
    <s v="SKU-1093"/>
    <s v="Hand Wash 250ml"/>
    <x v="4"/>
    <s v="pcs"/>
    <n v="144"/>
    <n v="0"/>
    <n v="79"/>
    <n v="65"/>
    <n v="119"/>
    <x v="1"/>
    <n v="69.69"/>
    <n v="4529.7700000000004"/>
    <s v="Greenleaf Supplies"/>
    <s v="OK"/>
    <s v="OK"/>
    <s v="OK"/>
  </r>
  <r>
    <x v="0"/>
    <x v="3"/>
    <s v="SKU-1094"/>
    <s v="Hand Wash 250ml (Bulk)"/>
    <x v="4"/>
    <s v="pcs"/>
    <n v="147"/>
    <n v="0"/>
    <n v="23"/>
    <n v="124"/>
    <n v="99"/>
    <x v="0"/>
    <n v="339.31"/>
    <n v="42074.8"/>
    <s v="Metro Wholesale"/>
    <s v="OK"/>
    <s v="OK"/>
    <s v="OK"/>
  </r>
  <r>
    <x v="0"/>
    <x v="3"/>
    <s v="SKU-1097"/>
    <s v="Scrub Pad Pack"/>
    <x v="4"/>
    <s v="pcs"/>
    <n v="81"/>
    <n v="0"/>
    <n v="53"/>
    <n v="28"/>
    <n v="47"/>
    <x v="1"/>
    <n v="42.67"/>
    <n v="1194.67"/>
    <s v="Greenleaf Supplies"/>
    <s v="OK"/>
    <s v="OK"/>
    <s v="OK"/>
  </r>
  <r>
    <x v="0"/>
    <x v="3"/>
    <s v="SKU-1098"/>
    <s v="Scrub Pad Pack (Bulk)"/>
    <x v="4"/>
    <s v="pcs"/>
    <n v="278"/>
    <n v="244"/>
    <n v="144"/>
    <n v="378"/>
    <n v="147"/>
    <x v="0"/>
    <n v="175.07"/>
    <n v="66176.320000000007"/>
    <s v="Lotus Agencies"/>
    <s v="OK"/>
    <s v="OK"/>
    <s v="OK"/>
  </r>
  <r>
    <x v="0"/>
    <x v="3"/>
    <s v="SKU-1099"/>
    <s v="Dustbin 20L"/>
    <x v="4"/>
    <s v="pcs"/>
    <n v="418"/>
    <n v="0"/>
    <n v="154"/>
    <n v="264"/>
    <n v="270"/>
    <x v="1"/>
    <n v="339.36"/>
    <n v="89591.17"/>
    <s v="Unity Traders"/>
    <s v="OK"/>
    <s v="OK"/>
    <s v="OK"/>
  </r>
  <r>
    <x v="0"/>
    <x v="3"/>
    <s v="SKU-1101"/>
    <s v="Corrugated Box Small"/>
    <x v="5"/>
    <s v="pcs"/>
    <n v="66"/>
    <n v="127"/>
    <n v="45"/>
    <n v="148"/>
    <n v="67"/>
    <x v="0"/>
    <n v="18.79"/>
    <n v="2781.38"/>
    <s v="Metro Wholesale"/>
    <s v="OK"/>
    <s v="OK"/>
    <s v="OK"/>
  </r>
  <r>
    <x v="0"/>
    <x v="3"/>
    <s v="SKU-1102"/>
    <s v="Corrugated Box Small (Bulk)"/>
    <x v="5"/>
    <s v="pcs"/>
    <n v="239"/>
    <n v="0"/>
    <n v="157"/>
    <n v="82"/>
    <n v="165"/>
    <x v="1"/>
    <n v="85.15"/>
    <n v="6982.17"/>
    <s v="Sunrise Distributors"/>
    <s v="OK"/>
    <s v="OK"/>
    <s v="OK"/>
  </r>
  <r>
    <x v="0"/>
    <x v="3"/>
    <s v="SKU-1103"/>
    <s v="Corrugated Box Large"/>
    <x v="5"/>
    <s v="pcs"/>
    <n v="72"/>
    <n v="0"/>
    <n v="28"/>
    <n v="44"/>
    <n v="22"/>
    <x v="0"/>
    <n v="45.74"/>
    <n v="2012.54"/>
    <s v="Metro Wholesale"/>
    <s v="OK"/>
    <s v="OK"/>
    <s v="OK"/>
  </r>
  <r>
    <x v="0"/>
    <x v="3"/>
    <s v="SKU-1106"/>
    <s v="Bubble Wrap Roll (Bulk)"/>
    <x v="5"/>
    <s v="pcs"/>
    <n v="277"/>
    <n v="0"/>
    <n v="101"/>
    <n v="176"/>
    <n v="202"/>
    <x v="1"/>
    <n v="1867.75"/>
    <n v="328724.64"/>
    <s v="Apex Trading Co."/>
    <s v="OK"/>
    <s v="OK"/>
    <s v="OK"/>
  </r>
  <r>
    <x v="0"/>
    <x v="3"/>
    <s v="SKU-1107"/>
    <s v="Packing Tape"/>
    <x v="5"/>
    <s v="pcs"/>
    <n v="63"/>
    <n v="211"/>
    <n v="50"/>
    <n v="224"/>
    <n v="80"/>
    <x v="0"/>
    <n v="45.05"/>
    <n v="10091.56"/>
    <s v="Unity Traders"/>
    <s v="OK"/>
    <s v="OK"/>
    <s v="OK"/>
  </r>
  <r>
    <x v="0"/>
    <x v="3"/>
    <s v="SKU-1108"/>
    <s v="Packing Tape (Bulk)"/>
    <x v="5"/>
    <s v="pcs"/>
    <n v="213"/>
    <n v="0"/>
    <n v="88"/>
    <n v="125"/>
    <n v="112"/>
    <x v="0"/>
    <n v="211.82"/>
    <n v="26477.99"/>
    <s v="Northstar Enterprises"/>
    <s v="OK"/>
    <s v="OK"/>
    <s v="OK"/>
  </r>
  <r>
    <x v="0"/>
    <x v="3"/>
    <s v="SKU-1109"/>
    <s v="Courier Bag Pack"/>
    <x v="5"/>
    <s v="pcs"/>
    <n v="115"/>
    <n v="302"/>
    <n v="125"/>
    <n v="292"/>
    <n v="130"/>
    <x v="0"/>
    <n v="161.65"/>
    <n v="47202.559999999998"/>
    <s v="Northstar Enterprises"/>
    <s v="OK"/>
    <s v="OK"/>
    <s v="OK"/>
  </r>
  <r>
    <x v="0"/>
    <x v="3"/>
    <s v="SKU-1110"/>
    <s v="Courier Bag Pack (Bulk)"/>
    <x v="5"/>
    <s v="pcs"/>
    <n v="27"/>
    <n v="0"/>
    <n v="12"/>
    <n v="15"/>
    <n v="20"/>
    <x v="1"/>
    <n v="806.28"/>
    <n v="12094.27"/>
    <s v="Greenleaf Supplies"/>
    <s v="OK"/>
    <s v="OK"/>
    <s v="OK"/>
  </r>
  <r>
    <x v="0"/>
    <x v="3"/>
    <s v="SKU-1111"/>
    <s v="Stretch Film Roll"/>
    <x v="5"/>
    <s v="pcs"/>
    <n v="43"/>
    <n v="0"/>
    <n v="19"/>
    <n v="24"/>
    <n v="25"/>
    <x v="1"/>
    <n v="551.84"/>
    <n v="13244.19"/>
    <s v="Sunrise Distributors"/>
    <s v="OK"/>
    <s v="OK"/>
    <s v="OK"/>
  </r>
  <r>
    <x v="0"/>
    <x v="3"/>
    <s v="SKU-1112"/>
    <s v="Stretch Film Roll (Bulk)"/>
    <x v="5"/>
    <s v="pcs"/>
    <n v="240"/>
    <n v="0"/>
    <n v="228"/>
    <n v="12"/>
    <n v="176"/>
    <x v="1"/>
    <n v="2224.0300000000002"/>
    <n v="26688.39"/>
    <s v="Greenleaf Supplies"/>
    <s v="OK"/>
    <s v="OK"/>
    <s v="OK"/>
  </r>
  <r>
    <x v="0"/>
    <x v="3"/>
    <s v="SKU-1113"/>
    <s v="Kraft Paper Roll"/>
    <x v="5"/>
    <s v="pcs"/>
    <n v="142"/>
    <n v="0"/>
    <n v="52"/>
    <n v="90"/>
    <n v="63"/>
    <x v="0"/>
    <n v="286.04000000000002"/>
    <n v="25743.55"/>
    <s v="Sunrise Distributors"/>
    <s v="OK"/>
    <s v="OK"/>
    <s v="OK"/>
  </r>
  <r>
    <x v="0"/>
    <x v="3"/>
    <s v="SKU-1114"/>
    <s v="Kraft Paper Roll (Bulk)"/>
    <x v="5"/>
    <s v="pcs"/>
    <n v="174"/>
    <n v="0"/>
    <n v="55"/>
    <n v="119"/>
    <n v="102"/>
    <x v="0"/>
    <n v="1397.94"/>
    <n v="166354.93"/>
    <s v="Unity Traders"/>
    <s v="OK"/>
    <s v="OK"/>
    <s v="OK"/>
  </r>
  <r>
    <x v="0"/>
    <x v="3"/>
    <s v="SKU-1116"/>
    <s v="Label Sticker Roll (Bulk)"/>
    <x v="5"/>
    <s v="pcs"/>
    <n v="516"/>
    <n v="0"/>
    <n v="313"/>
    <n v="203"/>
    <n v="208"/>
    <x v="1"/>
    <n v="1082.4100000000001"/>
    <n v="219728.89"/>
    <s v="Apex Trading Co."/>
    <s v="OK"/>
    <s v="OK"/>
    <s v="OK"/>
  </r>
  <r>
    <x v="0"/>
    <x v="3"/>
    <s v="SKU-1117"/>
    <s v="Thermocol Sheet"/>
    <x v="5"/>
    <s v="pcs"/>
    <n v="375"/>
    <n v="431"/>
    <n v="61"/>
    <n v="745"/>
    <n v="208"/>
    <x v="0"/>
    <n v="32.15"/>
    <n v="23955.11"/>
    <s v="Prime Packaging Works"/>
    <s v="OK"/>
    <s v="OK"/>
    <s v="OK"/>
  </r>
  <r>
    <x v="0"/>
    <x v="3"/>
    <s v="SKU-1118"/>
    <s v="Thermocol Sheet (Bulk)"/>
    <x v="5"/>
    <s v="pcs"/>
    <n v="103"/>
    <n v="289"/>
    <n v="79"/>
    <n v="313"/>
    <n v="110"/>
    <x v="0"/>
    <n v="145.19999999999999"/>
    <n v="45448.94"/>
    <s v="Northstar Enterprises"/>
    <s v="OK"/>
    <s v="OK"/>
    <s v="OK"/>
  </r>
  <r>
    <x v="0"/>
    <x v="3"/>
    <s v="SKU-1119"/>
    <s v="Twine Roll"/>
    <x v="5"/>
    <s v="pcs"/>
    <n v="93"/>
    <n v="0"/>
    <n v="34"/>
    <n v="59"/>
    <n v="57"/>
    <x v="0"/>
    <n v="63.41"/>
    <n v="3741.34"/>
    <s v="Prime Packaging Works"/>
    <s v="OK"/>
    <s v="OK"/>
    <s v="OK"/>
  </r>
  <r>
    <x v="0"/>
    <x v="3"/>
    <s v="SKU-1120"/>
    <s v="Twine Roll (Bulk)"/>
    <x v="5"/>
    <s v="pcs"/>
    <n v="155"/>
    <n v="293"/>
    <n v="155"/>
    <n v="293"/>
    <n v="183"/>
    <x v="0"/>
    <n v="277.55"/>
    <n v="81323.44"/>
    <s v="Sunrise Distributors"/>
    <s v="OK"/>
    <s v="OK"/>
    <s v="OK"/>
  </r>
  <r>
    <x v="0"/>
    <x v="4"/>
    <s v="SKU-1001"/>
    <s v="A4 Paper Ream"/>
    <x v="0"/>
    <s v="pcs"/>
    <n v="64"/>
    <n v="0"/>
    <n v="25"/>
    <n v="39"/>
    <n v="22"/>
    <x v="0"/>
    <n v="280.14999999999998"/>
    <n v="10925.96"/>
    <s v="Lotus Agencies"/>
    <s v="OK"/>
    <s v="OK"/>
    <s v="OK"/>
  </r>
  <r>
    <x v="0"/>
    <x v="4"/>
    <s v="SKU-1002"/>
    <s v="A4 Paper Ream (Bulk)"/>
    <x v="0"/>
    <s v="pcs"/>
    <n v="129"/>
    <n v="0"/>
    <n v="129"/>
    <n v="0"/>
    <n v="93"/>
    <x v="1"/>
    <n v="1297.8"/>
    <n v="0"/>
    <s v="Prime Packaging Works"/>
    <s v="OK"/>
    <s v="OK"/>
    <s v="OK"/>
  </r>
  <r>
    <x v="0"/>
    <x v="4"/>
    <s v="SKU-1003"/>
    <s v="Ball Pen Box"/>
    <x v="0"/>
    <s v="pcs"/>
    <n v="212"/>
    <n v="677"/>
    <n v="254"/>
    <n v="635"/>
    <n v="238"/>
    <x v="0"/>
    <n v="97.72"/>
    <n v="62050.8"/>
    <s v="Lotus Agencies"/>
    <s v="OK"/>
    <s v="OK"/>
    <s v="OK"/>
  </r>
  <r>
    <x v="0"/>
    <x v="4"/>
    <s v="SKU-1004"/>
    <s v="Ball Pen Box (Bulk)"/>
    <x v="0"/>
    <s v="pcs"/>
    <n v="172"/>
    <n v="0"/>
    <n v="78"/>
    <n v="94"/>
    <n v="117"/>
    <x v="1"/>
    <n v="434.89"/>
    <n v="40879.35"/>
    <s v="Northstar Enterprises"/>
    <s v="OK"/>
    <s v="OK"/>
    <s v="OK"/>
  </r>
  <r>
    <x v="0"/>
    <x v="4"/>
    <s v="SKU-1005"/>
    <s v="Stapler"/>
    <x v="0"/>
    <s v="pcs"/>
    <n v="185"/>
    <n v="345"/>
    <n v="153"/>
    <n v="377"/>
    <n v="173"/>
    <x v="0"/>
    <n v="111.9"/>
    <n v="42185.85"/>
    <s v="Lotus Agencies"/>
    <s v="OK"/>
    <s v="OK"/>
    <s v="OK"/>
  </r>
  <r>
    <x v="0"/>
    <x v="4"/>
    <s v="SKU-1006"/>
    <s v="Stapler (Bulk)"/>
    <x v="0"/>
    <s v="pcs"/>
    <n v="114"/>
    <n v="191"/>
    <n v="45"/>
    <n v="260"/>
    <n v="89"/>
    <x v="0"/>
    <n v="595.78"/>
    <n v="154901.88"/>
    <s v="Metro Wholesale"/>
    <s v="OK"/>
    <s v="OK"/>
    <s v="OK"/>
  </r>
  <r>
    <x v="0"/>
    <x v="4"/>
    <s v="SKU-1007"/>
    <s v="Box File"/>
    <x v="0"/>
    <s v="pcs"/>
    <n v="106"/>
    <n v="243"/>
    <n v="97"/>
    <n v="252"/>
    <n v="110"/>
    <x v="0"/>
    <n v="82.33"/>
    <n v="20746.45"/>
    <s v="Lotus Agencies"/>
    <s v="OK"/>
    <s v="OK"/>
    <s v="OK"/>
  </r>
  <r>
    <x v="0"/>
    <x v="4"/>
    <s v="SKU-1008"/>
    <s v="Box File (Bulk)"/>
    <x v="0"/>
    <s v="pcs"/>
    <n v="481"/>
    <n v="0"/>
    <n v="142"/>
    <n v="339"/>
    <n v="188"/>
    <x v="0"/>
    <n v="314.20999999999998"/>
    <n v="106515.51"/>
    <s v="Lotus Agencies"/>
    <s v="OK"/>
    <s v="OK"/>
    <s v="OK"/>
  </r>
  <r>
    <x v="0"/>
    <x v="4"/>
    <s v="SKU-1009"/>
    <s v="Whiteboard Marker Set"/>
    <x v="0"/>
    <s v="pcs"/>
    <n v="175"/>
    <n v="0"/>
    <n v="81"/>
    <n v="94"/>
    <n v="145"/>
    <x v="1"/>
    <n v="168.61"/>
    <n v="15849.17"/>
    <s v="Unity Traders"/>
    <s v="OK"/>
    <s v="OK"/>
    <s v="OK"/>
  </r>
  <r>
    <x v="0"/>
    <x v="4"/>
    <s v="SKU-1010"/>
    <s v="Whiteboard Marker Set (Bulk)"/>
    <x v="0"/>
    <s v="pcs"/>
    <n v="536"/>
    <n v="0"/>
    <n v="190"/>
    <n v="346"/>
    <n v="227"/>
    <x v="0"/>
    <n v="666.76"/>
    <n v="230699.27"/>
    <s v="Greenleaf Supplies"/>
    <s v="OK"/>
    <s v="OK"/>
    <s v="OK"/>
  </r>
  <r>
    <x v="0"/>
    <x v="4"/>
    <s v="SKU-1012"/>
    <s v="Sticky Notes Pack (Bulk)"/>
    <x v="0"/>
    <s v="pcs"/>
    <n v="140"/>
    <n v="0"/>
    <n v="76"/>
    <n v="64"/>
    <n v="106"/>
    <x v="1"/>
    <n v="268.04000000000002"/>
    <n v="17154.61"/>
    <s v="Lotus Agencies"/>
    <s v="OK"/>
    <s v="OK"/>
    <s v="OK"/>
  </r>
  <r>
    <x v="0"/>
    <x v="4"/>
    <s v="SKU-1013"/>
    <s v="Notebook 200 pages"/>
    <x v="0"/>
    <s v="pcs"/>
    <n v="490"/>
    <n v="0"/>
    <n v="291"/>
    <n v="199"/>
    <n v="229"/>
    <x v="1"/>
    <n v="56.77"/>
    <n v="11296.71"/>
    <s v="Greenleaf Supplies"/>
    <s v="OK"/>
    <s v="OK"/>
    <s v="OK"/>
  </r>
  <r>
    <x v="0"/>
    <x v="4"/>
    <s v="SKU-1014"/>
    <s v="Notebook 200 pages (Bulk)"/>
    <x v="0"/>
    <s v="pcs"/>
    <n v="84"/>
    <n v="0"/>
    <n v="39"/>
    <n v="45"/>
    <n v="40"/>
    <x v="0"/>
    <n v="263.77999999999997"/>
    <n v="11870.25"/>
    <s v="Unity Traders"/>
    <s v="OK"/>
    <s v="OK"/>
    <s v="OK"/>
  </r>
  <r>
    <x v="0"/>
    <x v="4"/>
    <s v="SKU-1015"/>
    <s v="Calculator"/>
    <x v="0"/>
    <s v="pcs"/>
    <n v="77"/>
    <n v="0"/>
    <n v="25"/>
    <n v="52"/>
    <n v="28"/>
    <x v="0"/>
    <n v="462.05"/>
    <n v="24026.66"/>
    <s v="Lotus Agencies"/>
    <s v="OK"/>
    <s v="OK"/>
    <s v="OK"/>
  </r>
  <r>
    <x v="0"/>
    <x v="4"/>
    <s v="SKU-1016"/>
    <s v="Calculator (Bulk)"/>
    <x v="0"/>
    <s v="pcs"/>
    <n v="202"/>
    <n v="377"/>
    <n v="103"/>
    <n v="476"/>
    <n v="170"/>
    <x v="0"/>
    <n v="1865.15"/>
    <n v="887811.79"/>
    <s v="Sunrise Distributors"/>
    <s v="OK"/>
    <s v="OK"/>
    <s v="OK"/>
  </r>
  <r>
    <x v="0"/>
    <x v="4"/>
    <s v="SKU-1017"/>
    <s v="Glue Stick"/>
    <x v="0"/>
    <s v="pcs"/>
    <n v="120"/>
    <n v="219"/>
    <n v="54"/>
    <n v="285"/>
    <n v="82"/>
    <x v="0"/>
    <n v="23.16"/>
    <n v="6601.32"/>
    <s v="Unity Traders"/>
    <s v="OK"/>
    <s v="OK"/>
    <s v="OK"/>
  </r>
  <r>
    <x v="0"/>
    <x v="4"/>
    <s v="SKU-1018"/>
    <s v="Glue Stick (Bulk)"/>
    <x v="0"/>
    <s v="pcs"/>
    <n v="112"/>
    <n v="0"/>
    <n v="58"/>
    <n v="54"/>
    <n v="59"/>
    <x v="1"/>
    <n v="112.89"/>
    <n v="6095.79"/>
    <s v="Greenleaf Supplies"/>
    <s v="OK"/>
    <s v="OK"/>
    <s v="OK"/>
  </r>
  <r>
    <x v="0"/>
    <x v="4"/>
    <s v="SKU-1019"/>
    <s v="Envelope Pack"/>
    <x v="0"/>
    <s v="pcs"/>
    <n v="24"/>
    <n v="56"/>
    <n v="21"/>
    <n v="59"/>
    <n v="21"/>
    <x v="0"/>
    <n v="81.569999999999993"/>
    <n v="4812.55"/>
    <s v="Unity Traders"/>
    <s v="OK"/>
    <s v="OK"/>
    <s v="OK"/>
  </r>
  <r>
    <x v="0"/>
    <x v="4"/>
    <s v="SKU-1020"/>
    <s v="Envelope Pack (Bulk)"/>
    <x v="0"/>
    <s v="pcs"/>
    <n v="129"/>
    <n v="0"/>
    <n v="58"/>
    <n v="71"/>
    <n v="87"/>
    <x v="1"/>
    <n v="359.74"/>
    <n v="25541.69"/>
    <s v="Prime Packaging Works"/>
    <s v="OK"/>
    <s v="OK"/>
    <s v="OK"/>
  </r>
  <r>
    <x v="0"/>
    <x v="4"/>
    <s v="SKU-1021"/>
    <s v="LED Bulb 9W"/>
    <x v="1"/>
    <s v="pcs"/>
    <n v="90"/>
    <n v="0"/>
    <n v="38"/>
    <n v="52"/>
    <n v="46"/>
    <x v="0"/>
    <n v="104.09"/>
    <n v="5412.43"/>
    <s v="Prime Packaging Works"/>
    <s v="OK"/>
    <s v="OK"/>
    <s v="OK"/>
  </r>
  <r>
    <x v="0"/>
    <x v="4"/>
    <s v="SKU-1022"/>
    <s v="LED Bulb 9W (Bulk)"/>
    <x v="1"/>
    <s v="pcs"/>
    <n v="232"/>
    <n v="0"/>
    <n v="76"/>
    <n v="156"/>
    <n v="121"/>
    <x v="0"/>
    <n v="405.43"/>
    <n v="63247.8"/>
    <s v="Sunrise Distributors"/>
    <s v="OK"/>
    <s v="OK"/>
    <s v="OK"/>
  </r>
  <r>
    <x v="0"/>
    <x v="4"/>
    <s v="SKU-1023"/>
    <s v="LED Tube Light 20W"/>
    <x v="1"/>
    <s v="pcs"/>
    <n v="86"/>
    <n v="179"/>
    <n v="82"/>
    <n v="183"/>
    <n v="87"/>
    <x v="0"/>
    <n v="236.86"/>
    <n v="43346.2"/>
    <s v="Metro Wholesale"/>
    <s v="OK"/>
    <s v="OK"/>
    <s v="OK"/>
  </r>
  <r>
    <x v="0"/>
    <x v="4"/>
    <s v="SKU-1024"/>
    <s v="LED Tube Light 20W (Bulk)"/>
    <x v="1"/>
    <s v="pcs"/>
    <n v="116"/>
    <n v="314"/>
    <n v="94"/>
    <n v="336"/>
    <n v="115"/>
    <x v="0"/>
    <n v="1049.18"/>
    <n v="352522.9"/>
    <s v="Metro Wholesale"/>
    <s v="OK"/>
    <s v="OK"/>
    <s v="OK"/>
  </r>
  <r>
    <x v="0"/>
    <x v="4"/>
    <s v="SKU-1025"/>
    <s v="Extension Board"/>
    <x v="1"/>
    <s v="pcs"/>
    <n v="143"/>
    <n v="0"/>
    <n v="83"/>
    <n v="60"/>
    <n v="81"/>
    <x v="1"/>
    <n v="356.86"/>
    <n v="21411.7"/>
    <s v="Greenleaf Supplies"/>
    <s v="OK"/>
    <s v="OK"/>
    <s v="OK"/>
  </r>
  <r>
    <x v="0"/>
    <x v="4"/>
    <s v="SKU-1026"/>
    <s v="Extension Board (Bulk)"/>
    <x v="1"/>
    <s v="pcs"/>
    <n v="107"/>
    <n v="0"/>
    <n v="46"/>
    <n v="61"/>
    <n v="37"/>
    <x v="0"/>
    <n v="1689.34"/>
    <n v="103049.93"/>
    <s v="Northstar Enterprises"/>
    <s v="OK"/>
    <s v="OK"/>
    <s v="OK"/>
  </r>
  <r>
    <x v="0"/>
    <x v="4"/>
    <s v="SKU-1027"/>
    <s v="Ceiling Fan"/>
    <x v="1"/>
    <s v="pcs"/>
    <n v="235"/>
    <n v="0"/>
    <n v="89"/>
    <n v="146"/>
    <n v="193"/>
    <x v="1"/>
    <n v="1788.85"/>
    <n v="261172.45"/>
    <s v="Metro Wholesale"/>
    <s v="OK"/>
    <s v="OK"/>
    <s v="OK"/>
  </r>
  <r>
    <x v="0"/>
    <x v="4"/>
    <s v="SKU-1028"/>
    <s v="Ceiling Fan (Bulk)"/>
    <x v="1"/>
    <s v="pcs"/>
    <n v="537"/>
    <n v="0"/>
    <n v="229"/>
    <n v="308"/>
    <n v="255"/>
    <x v="0"/>
    <n v="7890.68"/>
    <n v="2430330.63"/>
    <s v="Greenleaf Supplies"/>
    <s v="OK"/>
    <s v="OK"/>
    <s v="OK"/>
  </r>
  <r>
    <x v="0"/>
    <x v="4"/>
    <s v="SKU-1029"/>
    <s v="Modular Switch"/>
    <x v="1"/>
    <s v="pcs"/>
    <n v="113"/>
    <n v="278"/>
    <n v="125"/>
    <n v="266"/>
    <n v="118"/>
    <x v="0"/>
    <n v="43.33"/>
    <n v="11525.15"/>
    <s v="Sunrise Distributors"/>
    <s v="OK"/>
    <s v="OK"/>
    <s v="OK"/>
  </r>
  <r>
    <x v="0"/>
    <x v="4"/>
    <s v="SKU-1030"/>
    <s v="Modular Switch (Bulk)"/>
    <x v="1"/>
    <s v="pcs"/>
    <n v="336"/>
    <n v="579"/>
    <n v="189"/>
    <n v="726"/>
    <n v="314"/>
    <x v="0"/>
    <n v="215.07"/>
    <n v="156141.73000000001"/>
    <s v="Northstar Enterprises"/>
    <s v="OK"/>
    <s v="OK"/>
    <s v="OK"/>
  </r>
  <r>
    <x v="0"/>
    <x v="4"/>
    <s v="SKU-1033"/>
    <s v="MCB 32A"/>
    <x v="1"/>
    <s v="pcs"/>
    <n v="171"/>
    <n v="295"/>
    <n v="131"/>
    <n v="335"/>
    <n v="139"/>
    <x v="0"/>
    <n v="253.55"/>
    <n v="84940.88"/>
    <s v="Lotus Agencies"/>
    <s v="OK"/>
    <s v="OK"/>
    <s v="OK"/>
  </r>
  <r>
    <x v="0"/>
    <x v="4"/>
    <s v="SKU-1038"/>
    <s v="Wall Socket (Bulk)"/>
    <x v="1"/>
    <s v="pcs"/>
    <n v="223"/>
    <n v="421"/>
    <n v="218"/>
    <n v="426"/>
    <n v="196"/>
    <x v="0"/>
    <n v="279.52"/>
    <n v="119077.46"/>
    <s v="Northstar Enterprises"/>
    <s v="OK"/>
    <s v="OK"/>
    <s v="OK"/>
  </r>
  <r>
    <x v="0"/>
    <x v="4"/>
    <s v="SKU-1039"/>
    <s v="Table Lamp"/>
    <x v="1"/>
    <s v="pcs"/>
    <n v="322"/>
    <n v="0"/>
    <n v="118"/>
    <n v="204"/>
    <n v="161"/>
    <x v="0"/>
    <n v="525.21"/>
    <n v="107142.9"/>
    <s v="Apex Trading Co."/>
    <s v="OK"/>
    <s v="OK"/>
    <s v="OK"/>
  </r>
  <r>
    <x v="0"/>
    <x v="4"/>
    <s v="SKU-1040"/>
    <s v="Table Lamp (Bulk)"/>
    <x v="1"/>
    <s v="pcs"/>
    <n v="508"/>
    <n v="0"/>
    <n v="173"/>
    <n v="335"/>
    <n v="236"/>
    <x v="0"/>
    <n v="2362.56"/>
    <n v="791456.54"/>
    <s v="Northstar Enterprises"/>
    <s v="OK"/>
    <s v="OK"/>
    <s v="OK"/>
  </r>
  <r>
    <x v="0"/>
    <x v="4"/>
    <s v="SKU-1041"/>
    <s v="Basmati Rice"/>
    <x v="2"/>
    <s v="kg"/>
    <n v="197"/>
    <n v="0"/>
    <n v="100"/>
    <n v="97"/>
    <n v="96"/>
    <x v="0"/>
    <n v="100.62"/>
    <n v="9759.9"/>
    <s v="Lotus Agencies"/>
    <s v="OK"/>
    <s v="OK"/>
    <s v="OK"/>
  </r>
  <r>
    <x v="0"/>
    <x v="4"/>
    <s v="SKU-1043"/>
    <s v="Toor Dal"/>
    <x v="2"/>
    <s v="kg"/>
    <n v="224"/>
    <n v="0"/>
    <n v="84"/>
    <n v="140"/>
    <n v="113"/>
    <x v="0"/>
    <n v="132.78"/>
    <n v="18588.72"/>
    <s v="Prime Packaging Works"/>
    <s v="OK"/>
    <s v="OK"/>
    <s v="OK"/>
  </r>
  <r>
    <x v="0"/>
    <x v="4"/>
    <s v="SKU-1044"/>
    <s v="Toor Dal (Bulk)"/>
    <x v="2"/>
    <s v="kg"/>
    <n v="386"/>
    <n v="0"/>
    <n v="143"/>
    <n v="243"/>
    <n v="195"/>
    <x v="0"/>
    <n v="589.13"/>
    <n v="143157.79"/>
    <s v="Unity Traders"/>
    <s v="OK"/>
    <s v="OK"/>
    <s v="OK"/>
  </r>
  <r>
    <x v="0"/>
    <x v="4"/>
    <s v="SKU-1046"/>
    <s v="Sugar (Bulk)"/>
    <x v="2"/>
    <s v="kg"/>
    <n v="392"/>
    <n v="0"/>
    <n v="165"/>
    <n v="227"/>
    <n v="247"/>
    <x v="1"/>
    <n v="202.67"/>
    <n v="46005.56"/>
    <s v="Northstar Enterprises"/>
    <s v="OK"/>
    <s v="OK"/>
    <s v="OK"/>
  </r>
  <r>
    <x v="0"/>
    <x v="4"/>
    <s v="SKU-1047"/>
    <s v="Wheat Atta"/>
    <x v="2"/>
    <s v="kg"/>
    <n v="425"/>
    <n v="0"/>
    <n v="198"/>
    <n v="227"/>
    <n v="261"/>
    <x v="1"/>
    <n v="40.21"/>
    <n v="9127.5499999999993"/>
    <s v="Greenleaf Supplies"/>
    <s v="OK"/>
    <s v="OK"/>
    <s v="OK"/>
  </r>
  <r>
    <x v="0"/>
    <x v="4"/>
    <s v="SKU-1049"/>
    <s v="Sunflower Oil (L)"/>
    <x v="2"/>
    <s v="kg"/>
    <n v="183"/>
    <n v="0"/>
    <n v="63"/>
    <n v="120"/>
    <n v="126"/>
    <x v="1"/>
    <n v="138.72999999999999"/>
    <n v="16647.7"/>
    <s v="Greenleaf Supplies"/>
    <s v="OK"/>
    <s v="OK"/>
    <s v="OK"/>
  </r>
  <r>
    <x v="0"/>
    <x v="4"/>
    <s v="SKU-1050"/>
    <s v="Sunflower Oil (L) (Bulk)"/>
    <x v="2"/>
    <s v="kg"/>
    <n v="75"/>
    <n v="0"/>
    <n v="33"/>
    <n v="42"/>
    <n v="43"/>
    <x v="1"/>
    <n v="602.99"/>
    <n v="25325.67"/>
    <s v="Unity Traders"/>
    <s v="OK"/>
    <s v="OK"/>
    <s v="OK"/>
  </r>
  <r>
    <x v="0"/>
    <x v="4"/>
    <s v="SKU-1051"/>
    <s v="Tea Leaves"/>
    <x v="2"/>
    <s v="kg"/>
    <n v="438"/>
    <n v="0"/>
    <n v="194"/>
    <n v="244"/>
    <n v="122"/>
    <x v="0"/>
    <n v="434.91"/>
    <n v="106117.46"/>
    <s v="Northstar Enterprises"/>
    <s v="OK"/>
    <s v="OK"/>
    <s v="OK"/>
  </r>
  <r>
    <x v="0"/>
    <x v="4"/>
    <s v="SKU-1052"/>
    <s v="Tea Leaves (Bulk)"/>
    <x v="2"/>
    <s v="kg"/>
    <n v="284"/>
    <n v="0"/>
    <n v="113"/>
    <n v="171"/>
    <n v="128"/>
    <x v="0"/>
    <n v="1905.13"/>
    <n v="325776.89"/>
    <s v="Lotus Agencies"/>
    <s v="OK"/>
    <s v="OK"/>
    <s v="OK"/>
  </r>
  <r>
    <x v="0"/>
    <x v="4"/>
    <s v="SKU-1053"/>
    <s v="Salt"/>
    <x v="2"/>
    <s v="kg"/>
    <n v="34"/>
    <n v="0"/>
    <n v="19"/>
    <n v="15"/>
    <n v="16"/>
    <x v="1"/>
    <n v="22.08"/>
    <n v="331.24"/>
    <s v="Apex Trading Co."/>
    <s v="OK"/>
    <s v="OK"/>
    <s v="OK"/>
  </r>
  <r>
    <x v="0"/>
    <x v="4"/>
    <s v="SKU-1054"/>
    <s v="Salt (Bulk)"/>
    <x v="2"/>
    <s v="kg"/>
    <n v="253"/>
    <n v="0"/>
    <n v="150"/>
    <n v="103"/>
    <n v="161"/>
    <x v="1"/>
    <n v="99"/>
    <n v="10196.65"/>
    <s v="Northstar Enterprises"/>
    <s v="OK"/>
    <s v="OK"/>
    <s v="OK"/>
  </r>
  <r>
    <x v="0"/>
    <x v="4"/>
    <s v="SKU-1055"/>
    <s v="Poha"/>
    <x v="2"/>
    <s v="kg"/>
    <n v="346"/>
    <n v="0"/>
    <n v="179"/>
    <n v="167"/>
    <n v="210"/>
    <x v="1"/>
    <n v="58.14"/>
    <n v="9709.31"/>
    <s v="Prime Packaging Works"/>
    <s v="OK"/>
    <s v="OK"/>
    <s v="OK"/>
  </r>
  <r>
    <x v="0"/>
    <x v="4"/>
    <s v="SKU-1056"/>
    <s v="Poha (Bulk)"/>
    <x v="2"/>
    <s v="kg"/>
    <n v="36"/>
    <n v="41"/>
    <n v="22"/>
    <n v="55"/>
    <n v="17"/>
    <x v="0"/>
    <n v="301.49"/>
    <n v="16581.810000000001"/>
    <s v="Northstar Enterprises"/>
    <s v="OK"/>
    <s v="OK"/>
    <s v="OK"/>
  </r>
  <r>
    <x v="0"/>
    <x v="4"/>
    <s v="SKU-1058"/>
    <s v="Chana Dal (Bulk)"/>
    <x v="2"/>
    <s v="kg"/>
    <n v="49"/>
    <n v="86"/>
    <n v="36"/>
    <n v="99"/>
    <n v="56"/>
    <x v="0"/>
    <n v="398.42"/>
    <n v="39444.03"/>
    <s v="Lotus Agencies"/>
    <s v="OK"/>
    <s v="OK"/>
    <s v="OK"/>
  </r>
  <r>
    <x v="0"/>
    <x v="4"/>
    <s v="SKU-1062"/>
    <s v="Hammer (Bulk)"/>
    <x v="3"/>
    <s v="pcs"/>
    <n v="212"/>
    <n v="258"/>
    <n v="102"/>
    <n v="368"/>
    <n v="102"/>
    <x v="0"/>
    <n v="1190.3"/>
    <n v="438029.69"/>
    <s v="Apex Trading Co."/>
    <s v="OK"/>
    <s v="OK"/>
    <s v="OK"/>
  </r>
  <r>
    <x v="0"/>
    <x v="4"/>
    <s v="SKU-1063"/>
    <s v="Screwdriver Set"/>
    <x v="3"/>
    <s v="pcs"/>
    <n v="171"/>
    <n v="0"/>
    <n v="77"/>
    <n v="94"/>
    <n v="134"/>
    <x v="1"/>
    <n v="307.22000000000003"/>
    <n v="28878.39"/>
    <s v="Sunrise Distributors"/>
    <s v="OK"/>
    <s v="OK"/>
    <s v="OK"/>
  </r>
  <r>
    <x v="0"/>
    <x v="4"/>
    <s v="SKU-1064"/>
    <s v="Screwdriver Set (Bulk)"/>
    <x v="3"/>
    <s v="pcs"/>
    <n v="488"/>
    <n v="0"/>
    <n v="147"/>
    <n v="341"/>
    <n v="159"/>
    <x v="0"/>
    <n v="1515.56"/>
    <n v="516806.76"/>
    <s v="Northstar Enterprises"/>
    <s v="OK"/>
    <s v="OK"/>
    <s v="OK"/>
  </r>
  <r>
    <x v="0"/>
    <x v="4"/>
    <s v="SKU-1065"/>
    <s v="Wall Plug Pack"/>
    <x v="3"/>
    <s v="pcs"/>
    <n v="456"/>
    <n v="0"/>
    <n v="189"/>
    <n v="267"/>
    <n v="140"/>
    <x v="0"/>
    <n v="42.7"/>
    <n v="11399.62"/>
    <s v="Metro Wholesale"/>
    <s v="OK"/>
    <s v="OK"/>
    <s v="OK"/>
  </r>
  <r>
    <x v="0"/>
    <x v="4"/>
    <s v="SKU-1066"/>
    <s v="Wall Plug Pack (Bulk)"/>
    <x v="3"/>
    <s v="pcs"/>
    <n v="107"/>
    <n v="0"/>
    <n v="57"/>
    <n v="50"/>
    <n v="46"/>
    <x v="0"/>
    <n v="225.98"/>
    <n v="11299.02"/>
    <s v="Lotus Agencies"/>
    <s v="OK"/>
    <s v="OK"/>
    <s v="OK"/>
  </r>
  <r>
    <x v="0"/>
    <x v="4"/>
    <s v="SKU-1067"/>
    <s v="Padlock"/>
    <x v="3"/>
    <s v="pcs"/>
    <n v="85"/>
    <n v="0"/>
    <n v="40"/>
    <n v="45"/>
    <n v="67"/>
    <x v="1"/>
    <n v="215.9"/>
    <n v="9715.51"/>
    <s v="Metro Wholesale"/>
    <s v="OK"/>
    <s v="OK"/>
    <s v="OK"/>
  </r>
  <r>
    <x v="0"/>
    <x v="4"/>
    <s v="SKU-1068"/>
    <s v="Padlock (Bulk)"/>
    <x v="3"/>
    <s v="pcs"/>
    <n v="230"/>
    <n v="0"/>
    <n v="76"/>
    <n v="154"/>
    <n v="84"/>
    <x v="0"/>
    <n v="907.52"/>
    <n v="139758.54999999999"/>
    <s v="Apex Trading Co."/>
    <s v="OK"/>
    <s v="OK"/>
    <s v="OK"/>
  </r>
  <r>
    <x v="0"/>
    <x v="4"/>
    <s v="SKU-1069"/>
    <s v="Measuring Tape 5m"/>
    <x v="3"/>
    <s v="pcs"/>
    <n v="328"/>
    <n v="0"/>
    <n v="131"/>
    <n v="197"/>
    <n v="146"/>
    <x v="0"/>
    <n v="131.76"/>
    <n v="25957.11"/>
    <s v="Unity Traders"/>
    <s v="OK"/>
    <s v="OK"/>
    <s v="OK"/>
  </r>
  <r>
    <x v="0"/>
    <x v="4"/>
    <s v="SKU-1070"/>
    <s v="Measuring Tape 5m (Bulk)"/>
    <x v="3"/>
    <s v="pcs"/>
    <n v="190"/>
    <n v="488"/>
    <n v="130"/>
    <n v="548"/>
    <n v="231"/>
    <x v="0"/>
    <n v="592.71"/>
    <n v="324802.7"/>
    <s v="Northstar Enterprises"/>
    <s v="OK"/>
    <s v="OK"/>
    <s v="OK"/>
  </r>
  <r>
    <x v="0"/>
    <x v="4"/>
    <s v="SKU-1071"/>
    <s v="Spanner Set"/>
    <x v="3"/>
    <s v="pcs"/>
    <n v="320"/>
    <n v="0"/>
    <n v="219"/>
    <n v="101"/>
    <n v="180"/>
    <x v="1"/>
    <n v="644.48"/>
    <n v="65092.639999999999"/>
    <s v="Prime Packaging Works"/>
    <s v="OK"/>
    <s v="OK"/>
    <s v="OK"/>
  </r>
  <r>
    <x v="0"/>
    <x v="4"/>
    <s v="SKU-1072"/>
    <s v="Spanner Set (Bulk)"/>
    <x v="3"/>
    <s v="pcs"/>
    <n v="141"/>
    <n v="0"/>
    <n v="76"/>
    <n v="65"/>
    <n v="96"/>
    <x v="1"/>
    <n v="3073.19"/>
    <n v="199757.15"/>
    <s v="Greenleaf Supplies"/>
    <s v="OK"/>
    <s v="OK"/>
    <s v="OK"/>
  </r>
  <r>
    <x v="0"/>
    <x v="4"/>
    <s v="SKU-1073"/>
    <s v="Drill Bit Set"/>
    <x v="3"/>
    <s v="pcs"/>
    <n v="298"/>
    <n v="294"/>
    <n v="90"/>
    <n v="502"/>
    <n v="168"/>
    <x v="0"/>
    <n v="465.4"/>
    <n v="233631.18"/>
    <s v="Lotus Agencies"/>
    <s v="OK"/>
    <s v="OK"/>
    <s v="OK"/>
  </r>
  <r>
    <x v="0"/>
    <x v="4"/>
    <s v="SKU-1074"/>
    <s v="Drill Bit Set (Bulk)"/>
    <x v="3"/>
    <s v="pcs"/>
    <n v="494"/>
    <n v="0"/>
    <n v="198"/>
    <n v="296"/>
    <n v="232"/>
    <x v="0"/>
    <n v="2298.96"/>
    <n v="680493.48"/>
    <s v="Prime Packaging Works"/>
    <s v="OK"/>
    <s v="OK"/>
    <s v="OK"/>
  </r>
  <r>
    <x v="0"/>
    <x v="4"/>
    <s v="SKU-1075"/>
    <s v="Wood Screws Pack"/>
    <x v="3"/>
    <s v="pcs"/>
    <n v="88"/>
    <n v="165"/>
    <n v="66"/>
    <n v="187"/>
    <n v="93"/>
    <x v="0"/>
    <n v="64.88"/>
    <n v="12131.68"/>
    <s v="Prime Packaging Works"/>
    <s v="OK"/>
    <s v="OK"/>
    <s v="OK"/>
  </r>
  <r>
    <x v="0"/>
    <x v="4"/>
    <s v="SKU-1076"/>
    <s v="Wood Screws Pack (Bulk)"/>
    <x v="3"/>
    <s v="pcs"/>
    <n v="53"/>
    <n v="0"/>
    <n v="39"/>
    <n v="14"/>
    <n v="39"/>
    <x v="1"/>
    <n v="334.46"/>
    <n v="4682.3999999999996"/>
    <s v="Northstar Enterprises"/>
    <s v="OK"/>
    <s v="OK"/>
    <s v="OK"/>
  </r>
  <r>
    <x v="0"/>
    <x v="4"/>
    <s v="SKU-1077"/>
    <s v="Door Hinge"/>
    <x v="3"/>
    <s v="pcs"/>
    <n v="152"/>
    <n v="378"/>
    <n v="98"/>
    <n v="432"/>
    <n v="130"/>
    <x v="0"/>
    <n v="53.72"/>
    <n v="23207.39"/>
    <s v="Unity Traders"/>
    <s v="OK"/>
    <s v="OK"/>
    <s v="OK"/>
  </r>
  <r>
    <x v="0"/>
    <x v="4"/>
    <s v="SKU-1078"/>
    <s v="Door Hinge (Bulk)"/>
    <x v="3"/>
    <s v="pcs"/>
    <n v="126"/>
    <n v="148"/>
    <n v="40"/>
    <n v="234"/>
    <n v="66"/>
    <x v="0"/>
    <n v="260.35000000000002"/>
    <n v="60921.94"/>
    <s v="Northstar Enterprises"/>
    <s v="OK"/>
    <s v="OK"/>
    <s v="OK"/>
  </r>
  <r>
    <x v="0"/>
    <x v="4"/>
    <s v="SKU-1079"/>
    <s v="Paint Brush"/>
    <x v="3"/>
    <s v="pcs"/>
    <n v="435"/>
    <n v="0"/>
    <n v="233"/>
    <n v="202"/>
    <n v="261"/>
    <x v="1"/>
    <n v="78.89"/>
    <n v="15934.78"/>
    <s v="Unity Traders"/>
    <s v="OK"/>
    <s v="OK"/>
    <s v="OK"/>
  </r>
  <r>
    <x v="0"/>
    <x v="4"/>
    <s v="SKU-1080"/>
    <s v="Paint Brush (Bulk)"/>
    <x v="3"/>
    <s v="pcs"/>
    <n v="88"/>
    <n v="247"/>
    <n v="60"/>
    <n v="275"/>
    <n v="88"/>
    <x v="0"/>
    <n v="379.98"/>
    <n v="104493.64"/>
    <s v="Sunrise Distributors"/>
    <s v="OK"/>
    <s v="OK"/>
    <s v="OK"/>
  </r>
  <r>
    <x v="0"/>
    <x v="4"/>
    <s v="SKU-1081"/>
    <s v="Floor Cleaner 1L"/>
    <x v="4"/>
    <s v="pcs"/>
    <n v="44"/>
    <n v="0"/>
    <n v="18"/>
    <n v="26"/>
    <n v="15"/>
    <x v="0"/>
    <n v="131.13"/>
    <n v="3409.43"/>
    <s v="Lotus Agencies"/>
    <s v="OK"/>
    <s v="OK"/>
    <s v="OK"/>
  </r>
  <r>
    <x v="0"/>
    <x v="4"/>
    <s v="SKU-1082"/>
    <s v="Floor Cleaner 1L (Bulk)"/>
    <x v="4"/>
    <s v="pcs"/>
    <n v="281"/>
    <n v="0"/>
    <n v="127"/>
    <n v="154"/>
    <n v="135"/>
    <x v="0"/>
    <n v="542.69000000000005"/>
    <n v="83573.58"/>
    <s v="Apex Trading Co."/>
    <s v="OK"/>
    <s v="OK"/>
    <s v="OK"/>
  </r>
  <r>
    <x v="0"/>
    <x v="4"/>
    <s v="SKU-1085"/>
    <s v="Phenyl 1L"/>
    <x v="4"/>
    <s v="pcs"/>
    <n v="218"/>
    <n v="453"/>
    <n v="221"/>
    <n v="450"/>
    <n v="213"/>
    <x v="0"/>
    <n v="63.43"/>
    <n v="28544.42"/>
    <s v="Greenleaf Supplies"/>
    <s v="OK"/>
    <s v="OK"/>
    <s v="OK"/>
  </r>
  <r>
    <x v="0"/>
    <x v="4"/>
    <s v="SKU-1086"/>
    <s v="Phenyl 1L (Bulk)"/>
    <x v="4"/>
    <s v="pcs"/>
    <n v="265"/>
    <n v="0"/>
    <n v="140"/>
    <n v="125"/>
    <n v="171"/>
    <x v="1"/>
    <n v="324.42"/>
    <n v="40552.75"/>
    <s v="Sunrise Distributors"/>
    <s v="OK"/>
    <s v="OK"/>
    <s v="OK"/>
  </r>
  <r>
    <x v="0"/>
    <x v="4"/>
    <s v="SKU-1087"/>
    <s v="Broom"/>
    <x v="4"/>
    <s v="pcs"/>
    <n v="122"/>
    <n v="0"/>
    <n v="50"/>
    <n v="72"/>
    <n v="55"/>
    <x v="0"/>
    <n v="115.85"/>
    <n v="8341.2199999999993"/>
    <s v="Apex Trading Co."/>
    <s v="OK"/>
    <s v="OK"/>
    <s v="OK"/>
  </r>
  <r>
    <x v="0"/>
    <x v="4"/>
    <s v="SKU-1088"/>
    <s v="Broom (Bulk)"/>
    <x v="4"/>
    <s v="pcs"/>
    <n v="156"/>
    <n v="0"/>
    <n v="130"/>
    <n v="26"/>
    <n v="112"/>
    <x v="1"/>
    <n v="533.84"/>
    <n v="13879.88"/>
    <s v="Apex Trading Co."/>
    <s v="OK"/>
    <s v="OK"/>
    <s v="OK"/>
  </r>
  <r>
    <x v="0"/>
    <x v="4"/>
    <s v="SKU-1089"/>
    <s v="Mop with Bucket"/>
    <x v="4"/>
    <s v="pcs"/>
    <n v="486"/>
    <n v="0"/>
    <n v="221"/>
    <n v="265"/>
    <n v="194"/>
    <x v="0"/>
    <n v="862.91"/>
    <n v="228670.09"/>
    <s v="Greenleaf Supplies"/>
    <s v="OK"/>
    <s v="OK"/>
    <s v="OK"/>
  </r>
  <r>
    <x v="0"/>
    <x v="4"/>
    <s v="SKU-1090"/>
    <s v="Mop with Bucket (Bulk)"/>
    <x v="4"/>
    <s v="pcs"/>
    <n v="483"/>
    <n v="0"/>
    <n v="211"/>
    <n v="272"/>
    <n v="192"/>
    <x v="0"/>
    <n v="4022.51"/>
    <n v="1094123.26"/>
    <s v="Greenleaf Supplies"/>
    <s v="OK"/>
    <s v="OK"/>
    <s v="OK"/>
  </r>
  <r>
    <x v="0"/>
    <x v="4"/>
    <s v="SKU-1091"/>
    <s v="Garbage Bags Roll"/>
    <x v="4"/>
    <s v="pcs"/>
    <n v="295"/>
    <n v="0"/>
    <n v="173"/>
    <n v="122"/>
    <n v="245"/>
    <x v="1"/>
    <n v="93.49"/>
    <n v="11405.57"/>
    <s v="Apex Trading Co."/>
    <s v="OK"/>
    <s v="OK"/>
    <s v="OK"/>
  </r>
  <r>
    <x v="0"/>
    <x v="4"/>
    <s v="SKU-1092"/>
    <s v="Garbage Bags Roll (Bulk)"/>
    <x v="4"/>
    <s v="pcs"/>
    <n v="282"/>
    <n v="0"/>
    <n v="147"/>
    <n v="135"/>
    <n v="111"/>
    <x v="0"/>
    <n v="386.24"/>
    <n v="52141.760000000002"/>
    <s v="Metro Wholesale"/>
    <s v="OK"/>
    <s v="OK"/>
    <s v="OK"/>
  </r>
  <r>
    <x v="0"/>
    <x v="4"/>
    <s v="SKU-1094"/>
    <s v="Hand Wash 250ml (Bulk)"/>
    <x v="4"/>
    <s v="pcs"/>
    <n v="322"/>
    <n v="595"/>
    <n v="171"/>
    <n v="746"/>
    <n v="293"/>
    <x v="0"/>
    <n v="366.44"/>
    <n v="273363.11"/>
    <s v="Metro Wholesale"/>
    <s v="OK"/>
    <s v="OK"/>
    <s v="OK"/>
  </r>
  <r>
    <x v="0"/>
    <x v="4"/>
    <s v="SKU-1095"/>
    <s v="Glass Cleaner"/>
    <x v="4"/>
    <s v="pcs"/>
    <n v="328"/>
    <n v="0"/>
    <n v="166"/>
    <n v="162"/>
    <n v="141"/>
    <x v="0"/>
    <n v="101.63"/>
    <n v="16463.88"/>
    <s v="Lotus Agencies"/>
    <s v="OK"/>
    <s v="OK"/>
    <s v="OK"/>
  </r>
  <r>
    <x v="0"/>
    <x v="4"/>
    <s v="SKU-1096"/>
    <s v="Glass Cleaner (Bulk)"/>
    <x v="4"/>
    <s v="pcs"/>
    <n v="69"/>
    <n v="0"/>
    <n v="46"/>
    <n v="23"/>
    <n v="43"/>
    <x v="1"/>
    <n v="428.71"/>
    <n v="9860.2900000000009"/>
    <s v="Sunrise Distributors"/>
    <s v="OK"/>
    <s v="OK"/>
    <s v="OK"/>
  </r>
  <r>
    <x v="0"/>
    <x v="4"/>
    <s v="SKU-1097"/>
    <s v="Scrub Pad Pack"/>
    <x v="4"/>
    <s v="pcs"/>
    <n v="42"/>
    <n v="0"/>
    <n v="13"/>
    <n v="29"/>
    <n v="28"/>
    <x v="0"/>
    <n v="40.31"/>
    <n v="1168.99"/>
    <s v="Greenleaf Supplies"/>
    <s v="OK"/>
    <s v="OK"/>
    <s v="OK"/>
  </r>
  <r>
    <x v="0"/>
    <x v="4"/>
    <s v="SKU-1098"/>
    <s v="Scrub Pad Pack (Bulk)"/>
    <x v="4"/>
    <s v="pcs"/>
    <n v="128"/>
    <n v="0"/>
    <n v="88"/>
    <n v="40"/>
    <n v="105"/>
    <x v="1"/>
    <n v="175.44"/>
    <n v="7017.53"/>
    <s v="Lotus Agencies"/>
    <s v="OK"/>
    <s v="OK"/>
    <s v="OK"/>
  </r>
  <r>
    <x v="0"/>
    <x v="4"/>
    <s v="SKU-1099"/>
    <s v="Dustbin 20L"/>
    <x v="4"/>
    <s v="pcs"/>
    <n v="450"/>
    <n v="0"/>
    <n v="219"/>
    <n v="231"/>
    <n v="284"/>
    <x v="1"/>
    <n v="312.48"/>
    <n v="72181.8"/>
    <s v="Unity Traders"/>
    <s v="OK"/>
    <s v="OK"/>
    <s v="OK"/>
  </r>
  <r>
    <x v="0"/>
    <x v="4"/>
    <s v="SKU-1100"/>
    <s v="Dustbin 20L (Bulk)"/>
    <x v="4"/>
    <s v="pcs"/>
    <n v="602"/>
    <n v="0"/>
    <n v="203"/>
    <n v="399"/>
    <n v="286"/>
    <x v="0"/>
    <n v="1718.05"/>
    <n v="685501.83"/>
    <s v="Prime Packaging Works"/>
    <s v="OK"/>
    <s v="OK"/>
    <s v="OK"/>
  </r>
  <r>
    <x v="0"/>
    <x v="4"/>
    <s v="SKU-1101"/>
    <s v="Corrugated Box Small"/>
    <x v="5"/>
    <s v="pcs"/>
    <n v="526"/>
    <n v="411"/>
    <n v="165"/>
    <n v="772"/>
    <n v="171"/>
    <x v="0"/>
    <n v="17.100000000000001"/>
    <n v="13200.3"/>
    <s v="Metro Wholesale"/>
    <s v="OK"/>
    <s v="OK"/>
    <s v="OK"/>
  </r>
  <r>
    <x v="0"/>
    <x v="4"/>
    <s v="SKU-1102"/>
    <s v="Corrugated Box Small (Bulk)"/>
    <x v="5"/>
    <s v="pcs"/>
    <n v="405"/>
    <n v="0"/>
    <n v="147"/>
    <n v="258"/>
    <n v="221"/>
    <x v="0"/>
    <n v="85.72"/>
    <n v="22115.360000000001"/>
    <s v="Sunrise Distributors"/>
    <s v="OK"/>
    <s v="OK"/>
    <s v="OK"/>
  </r>
  <r>
    <x v="0"/>
    <x v="4"/>
    <s v="SKU-1103"/>
    <s v="Corrugated Box Large"/>
    <x v="5"/>
    <s v="pcs"/>
    <n v="177"/>
    <n v="237"/>
    <n v="119"/>
    <n v="295"/>
    <n v="138"/>
    <x v="0"/>
    <n v="41.28"/>
    <n v="12177.45"/>
    <s v="Metro Wholesale"/>
    <s v="OK"/>
    <s v="OK"/>
    <s v="OK"/>
  </r>
  <r>
    <x v="0"/>
    <x v="4"/>
    <s v="SKU-1104"/>
    <s v="Corrugated Box Large (Bulk)"/>
    <x v="5"/>
    <s v="pcs"/>
    <n v="297"/>
    <n v="0"/>
    <n v="83"/>
    <n v="214"/>
    <n v="133"/>
    <x v="0"/>
    <n v="177.48"/>
    <n v="37980.120000000003"/>
    <s v="Unity Traders"/>
    <s v="OK"/>
    <s v="OK"/>
    <s v="OK"/>
  </r>
  <r>
    <x v="0"/>
    <x v="4"/>
    <s v="SKU-1106"/>
    <s v="Bubble Wrap Roll (Bulk)"/>
    <x v="5"/>
    <s v="pcs"/>
    <n v="346"/>
    <n v="0"/>
    <n v="96"/>
    <n v="250"/>
    <n v="120"/>
    <x v="0"/>
    <n v="1702.23"/>
    <n v="425556.82"/>
    <s v="Apex Trading Co."/>
    <s v="OK"/>
    <s v="OK"/>
    <s v="OK"/>
  </r>
  <r>
    <x v="0"/>
    <x v="4"/>
    <s v="SKU-1107"/>
    <s v="Packing Tape"/>
    <x v="5"/>
    <s v="pcs"/>
    <n v="210"/>
    <n v="677"/>
    <n v="173"/>
    <n v="714"/>
    <n v="215"/>
    <x v="0"/>
    <n v="47.47"/>
    <n v="33891.589999999997"/>
    <s v="Unity Traders"/>
    <s v="OK"/>
    <s v="OK"/>
    <s v="OK"/>
  </r>
  <r>
    <x v="0"/>
    <x v="4"/>
    <s v="SKU-1108"/>
    <s v="Packing Tape (Bulk)"/>
    <x v="5"/>
    <s v="pcs"/>
    <n v="316"/>
    <n v="0"/>
    <n v="130"/>
    <n v="186"/>
    <n v="216"/>
    <x v="1"/>
    <n v="213.8"/>
    <n v="39765.97"/>
    <s v="Northstar Enterprises"/>
    <s v="OK"/>
    <s v="OK"/>
    <s v="OK"/>
  </r>
  <r>
    <x v="0"/>
    <x v="4"/>
    <s v="SKU-1110"/>
    <s v="Courier Bag Pack (Bulk)"/>
    <x v="5"/>
    <s v="pcs"/>
    <n v="182"/>
    <n v="0"/>
    <n v="117"/>
    <n v="65"/>
    <n v="74"/>
    <x v="1"/>
    <n v="694.46"/>
    <n v="45140.2"/>
    <s v="Greenleaf Supplies"/>
    <s v="OK"/>
    <s v="OK"/>
    <s v="OK"/>
  </r>
  <r>
    <x v="0"/>
    <x v="4"/>
    <s v="SKU-1111"/>
    <s v="Stretch Film Roll"/>
    <x v="5"/>
    <s v="pcs"/>
    <n v="158"/>
    <n v="0"/>
    <n v="110"/>
    <n v="48"/>
    <n v="97"/>
    <x v="1"/>
    <n v="554.15"/>
    <n v="26599.09"/>
    <s v="Sunrise Distributors"/>
    <s v="OK"/>
    <s v="OK"/>
    <s v="OK"/>
  </r>
  <r>
    <x v="0"/>
    <x v="4"/>
    <s v="SKU-1112"/>
    <s v="Stretch Film Roll (Bulk)"/>
    <x v="5"/>
    <s v="pcs"/>
    <n v="179"/>
    <n v="198"/>
    <n v="96"/>
    <n v="281"/>
    <n v="101"/>
    <x v="0"/>
    <n v="2384.9899999999998"/>
    <n v="670180.97"/>
    <s v="Greenleaf Supplies"/>
    <s v="OK"/>
    <s v="OK"/>
    <s v="OK"/>
  </r>
  <r>
    <x v="0"/>
    <x v="4"/>
    <s v="SKU-1114"/>
    <s v="Kraft Paper Roll (Bulk)"/>
    <x v="5"/>
    <s v="pcs"/>
    <n v="93"/>
    <n v="270"/>
    <n v="85"/>
    <n v="278"/>
    <n v="109"/>
    <x v="0"/>
    <n v="1269.48"/>
    <n v="352916.17"/>
    <s v="Unity Traders"/>
    <s v="OK"/>
    <s v="OK"/>
    <s v="OK"/>
  </r>
  <r>
    <x v="0"/>
    <x v="4"/>
    <s v="SKU-1115"/>
    <s v="Label Sticker Roll"/>
    <x v="5"/>
    <s v="pcs"/>
    <n v="219"/>
    <n v="455"/>
    <n v="130"/>
    <n v="544"/>
    <n v="197"/>
    <x v="0"/>
    <n v="235.74"/>
    <n v="128240.75"/>
    <s v="Sunrise Distributors"/>
    <s v="OK"/>
    <s v="OK"/>
    <s v="OK"/>
  </r>
  <r>
    <x v="0"/>
    <x v="4"/>
    <s v="SKU-1116"/>
    <s v="Label Sticker Roll (Bulk)"/>
    <x v="5"/>
    <s v="pcs"/>
    <n v="307"/>
    <n v="225"/>
    <n v="89"/>
    <n v="443"/>
    <n v="84"/>
    <x v="0"/>
    <n v="951.75"/>
    <n v="421624.9"/>
    <s v="Apex Trading Co."/>
    <s v="OK"/>
    <s v="OK"/>
    <s v="OK"/>
  </r>
  <r>
    <x v="0"/>
    <x v="4"/>
    <s v="SKU-1117"/>
    <s v="Thermocol Sheet"/>
    <x v="5"/>
    <s v="pcs"/>
    <n v="359"/>
    <n v="0"/>
    <n v="187"/>
    <n v="172"/>
    <n v="139"/>
    <x v="0"/>
    <n v="32.61"/>
    <n v="5609.41"/>
    <s v="Prime Packaging Works"/>
    <s v="OK"/>
    <s v="OK"/>
    <s v="OK"/>
  </r>
  <r>
    <x v="0"/>
    <x v="4"/>
    <s v="SKU-1118"/>
    <s v="Thermocol Sheet (Bulk)"/>
    <x v="5"/>
    <s v="pcs"/>
    <n v="476"/>
    <n v="0"/>
    <n v="181"/>
    <n v="295"/>
    <n v="204"/>
    <x v="0"/>
    <n v="152.96"/>
    <n v="45123.95"/>
    <s v="Northstar Enterprises"/>
    <s v="OK"/>
    <s v="OK"/>
    <s v="OK"/>
  </r>
  <r>
    <x v="0"/>
    <x v="4"/>
    <s v="SKU-1119"/>
    <s v="Twine Roll"/>
    <x v="5"/>
    <s v="pcs"/>
    <n v="121"/>
    <n v="209"/>
    <n v="118"/>
    <n v="212"/>
    <n v="130"/>
    <x v="0"/>
    <n v="58.76"/>
    <n v="12456.29"/>
    <s v="Prime Packaging Works"/>
    <s v="OK"/>
    <s v="OK"/>
    <s v="OK"/>
  </r>
  <r>
    <x v="0"/>
    <x v="4"/>
    <s v="SKU-1120"/>
    <s v="Twine Roll (Bulk)"/>
    <x v="5"/>
    <s v="pcs"/>
    <n v="113"/>
    <n v="202"/>
    <n v="66"/>
    <n v="249"/>
    <n v="100"/>
    <x v="0"/>
    <n v="284.58"/>
    <n v="70861.11"/>
    <s v="Sunrise Distributors"/>
    <s v="OK"/>
    <s v="OK"/>
    <s v="OK"/>
  </r>
  <r>
    <x v="1"/>
    <x v="0"/>
    <s v="SKU-1001"/>
    <s v="A4 Paper Ream"/>
    <x v="0"/>
    <s v="pcs"/>
    <n v="168"/>
    <n v="289"/>
    <n v="169"/>
    <n v="288"/>
    <n v="123"/>
    <x v="0"/>
    <n v="277.2"/>
    <n v="79834.149999999994"/>
    <s v="Lotus Agencies"/>
    <s v="OK"/>
    <s v="OK"/>
    <s v="OK"/>
  </r>
  <r>
    <x v="1"/>
    <x v="0"/>
    <s v="SKU-1002"/>
    <s v="A4 Paper Ream (Bulk)"/>
    <x v="0"/>
    <s v="pcs"/>
    <n v="47"/>
    <n v="121"/>
    <n v="31"/>
    <n v="137"/>
    <n v="53"/>
    <x v="0"/>
    <n v="1285.03"/>
    <n v="176048.76"/>
    <s v="Prime Packaging Works"/>
    <s v="OK"/>
    <s v="OK"/>
    <s v="OK"/>
  </r>
  <r>
    <x v="1"/>
    <x v="0"/>
    <s v="SKU-1003"/>
    <s v="Ball Pen Box"/>
    <x v="0"/>
    <s v="pcs"/>
    <n v="672"/>
    <n v="0"/>
    <n v="124"/>
    <n v="548"/>
    <n v="176"/>
    <x v="0"/>
    <n v="98.88"/>
    <n v="54184.639999999999"/>
    <s v="Lotus Agencies"/>
    <s v="OK"/>
    <s v="OK"/>
    <s v="OK"/>
  </r>
  <r>
    <x v="1"/>
    <x v="0"/>
    <s v="SKU-1004"/>
    <s v="Ball Pen Box (Bulk)"/>
    <x v="0"/>
    <s v="pcs"/>
    <n v="272"/>
    <n v="0"/>
    <n v="27"/>
    <n v="245"/>
    <n v="96"/>
    <x v="0"/>
    <n v="414.53"/>
    <n v="101559.95"/>
    <s v="Northstar Enterprises"/>
    <s v="OK"/>
    <s v="OK"/>
    <s v="OK"/>
  </r>
  <r>
    <x v="1"/>
    <x v="0"/>
    <s v="SKU-1005"/>
    <s v="Stapler"/>
    <x v="0"/>
    <s v="pcs"/>
    <n v="360"/>
    <n v="0"/>
    <n v="76"/>
    <n v="284"/>
    <n v="136"/>
    <x v="0"/>
    <n v="129.80000000000001"/>
    <n v="36862.910000000003"/>
    <s v="Lotus Agencies"/>
    <s v="OK"/>
    <s v="OK"/>
    <s v="OK"/>
  </r>
  <r>
    <x v="1"/>
    <x v="0"/>
    <s v="SKU-1006"/>
    <s v="Stapler (Bulk)"/>
    <x v="0"/>
    <s v="pcs"/>
    <n v="888"/>
    <n v="402"/>
    <n v="198"/>
    <n v="1092"/>
    <n v="159"/>
    <x v="0"/>
    <n v="528.46"/>
    <n v="577073.81000000006"/>
    <s v="Metro Wholesale"/>
    <s v="OK"/>
    <s v="OK"/>
    <s v="OK"/>
  </r>
  <r>
    <x v="1"/>
    <x v="0"/>
    <s v="SKU-1007"/>
    <s v="Box File"/>
    <x v="0"/>
    <s v="pcs"/>
    <n v="446"/>
    <n v="0"/>
    <n v="151"/>
    <n v="295"/>
    <n v="135"/>
    <x v="0"/>
    <n v="67.94"/>
    <n v="20041.54"/>
    <s v="Lotus Agencies"/>
    <s v="OK"/>
    <s v="OK"/>
    <s v="OK"/>
  </r>
  <r>
    <x v="1"/>
    <x v="0"/>
    <s v="SKU-1008"/>
    <s v="Box File (Bulk)"/>
    <x v="0"/>
    <s v="pcs"/>
    <n v="35"/>
    <n v="468"/>
    <n v="186"/>
    <n v="317"/>
    <n v="175"/>
    <x v="0"/>
    <n v="367.48"/>
    <n v="116491.47"/>
    <s v="Lotus Agencies"/>
    <s v="OK"/>
    <s v="OK"/>
    <s v="OK"/>
  </r>
  <r>
    <x v="1"/>
    <x v="0"/>
    <s v="SKU-1009"/>
    <s v="Whiteboard Marker Set"/>
    <x v="0"/>
    <s v="pcs"/>
    <n v="127"/>
    <n v="235"/>
    <n v="124"/>
    <n v="238"/>
    <n v="120"/>
    <x v="0"/>
    <n v="153.6"/>
    <n v="36555.78"/>
    <s v="Unity Traders"/>
    <s v="OK"/>
    <s v="OK"/>
    <s v="OK"/>
  </r>
  <r>
    <x v="1"/>
    <x v="0"/>
    <s v="SKU-1010"/>
    <s v="Whiteboard Marker Set (Bulk)"/>
    <x v="0"/>
    <s v="pcs"/>
    <n v="56"/>
    <n v="51"/>
    <n v="17"/>
    <n v="90"/>
    <n v="25"/>
    <x v="0"/>
    <n v="776.32"/>
    <n v="69869.2"/>
    <s v="Greenleaf Supplies"/>
    <s v="OK"/>
    <s v="OK"/>
    <s v="OK"/>
  </r>
  <r>
    <x v="1"/>
    <x v="0"/>
    <s v="SKU-1011"/>
    <s v="Sticky Notes Pack"/>
    <x v="0"/>
    <s v="pcs"/>
    <n v="406"/>
    <n v="391"/>
    <n v="88"/>
    <n v="709"/>
    <n v="153"/>
    <x v="0"/>
    <n v="62.04"/>
    <n v="43983.1"/>
    <s v="Unity Traders"/>
    <s v="OK"/>
    <s v="OK"/>
    <s v="OK"/>
  </r>
  <r>
    <x v="1"/>
    <x v="0"/>
    <s v="SKU-1012"/>
    <s v="Sticky Notes Pack (Bulk)"/>
    <x v="0"/>
    <s v="pcs"/>
    <n v="458"/>
    <n v="0"/>
    <n v="119"/>
    <n v="339"/>
    <n v="156"/>
    <x v="0"/>
    <n v="261.62"/>
    <n v="88687.74"/>
    <s v="Lotus Agencies"/>
    <s v="OK"/>
    <s v="OK"/>
    <s v="OK"/>
  </r>
  <r>
    <x v="1"/>
    <x v="0"/>
    <s v="SKU-1013"/>
    <s v="Notebook 200 pages"/>
    <x v="0"/>
    <s v="pcs"/>
    <n v="518"/>
    <n v="0"/>
    <n v="195"/>
    <n v="323"/>
    <n v="159"/>
    <x v="0"/>
    <n v="55.1"/>
    <n v="17797.22"/>
    <s v="Greenleaf Supplies"/>
    <s v="OK"/>
    <s v="OK"/>
    <s v="OK"/>
  </r>
  <r>
    <x v="1"/>
    <x v="0"/>
    <s v="SKU-1014"/>
    <s v="Notebook 200 pages (Bulk)"/>
    <x v="0"/>
    <s v="pcs"/>
    <n v="165"/>
    <n v="0"/>
    <n v="104"/>
    <n v="61"/>
    <n v="135"/>
    <x v="1"/>
    <n v="246.72"/>
    <n v="15050.1"/>
    <s v="Unity Traders"/>
    <s v="OK"/>
    <s v="OK"/>
    <s v="OK"/>
  </r>
  <r>
    <x v="1"/>
    <x v="0"/>
    <s v="SKU-1015"/>
    <s v="Calculator"/>
    <x v="0"/>
    <s v="pcs"/>
    <n v="47"/>
    <n v="367"/>
    <n v="167"/>
    <n v="247"/>
    <n v="157"/>
    <x v="0"/>
    <n v="417.36"/>
    <n v="103089"/>
    <s v="Lotus Agencies"/>
    <s v="OK"/>
    <s v="OK"/>
    <s v="OK"/>
  </r>
  <r>
    <x v="1"/>
    <x v="0"/>
    <s v="SKU-1016"/>
    <s v="Calculator (Bulk)"/>
    <x v="0"/>
    <s v="pcs"/>
    <n v="74"/>
    <n v="0"/>
    <n v="64"/>
    <n v="10"/>
    <n v="48"/>
    <x v="1"/>
    <n v="2191.87"/>
    <n v="21918.67"/>
    <s v="Sunrise Distributors"/>
    <s v="OK"/>
    <s v="OK"/>
    <s v="OK"/>
  </r>
  <r>
    <x v="1"/>
    <x v="0"/>
    <s v="SKU-1017"/>
    <s v="Glue Stick"/>
    <x v="0"/>
    <s v="pcs"/>
    <n v="53"/>
    <n v="179"/>
    <n v="44"/>
    <n v="188"/>
    <n v="50"/>
    <x v="0"/>
    <n v="26.4"/>
    <n v="4964.03"/>
    <s v="Unity Traders"/>
    <s v="OK"/>
    <s v="OK"/>
    <s v="OK"/>
  </r>
  <r>
    <x v="1"/>
    <x v="0"/>
    <s v="SKU-1018"/>
    <s v="Glue Stick (Bulk)"/>
    <x v="0"/>
    <s v="pcs"/>
    <n v="105"/>
    <n v="677"/>
    <n v="144"/>
    <n v="638"/>
    <n v="251"/>
    <x v="0"/>
    <n v="106.44"/>
    <n v="67909.03"/>
    <s v="Greenleaf Supplies"/>
    <s v="OK"/>
    <s v="OK"/>
    <s v="OK"/>
  </r>
  <r>
    <x v="1"/>
    <x v="0"/>
    <s v="SKU-1019"/>
    <s v="Envelope Pack"/>
    <x v="0"/>
    <s v="pcs"/>
    <n v="184"/>
    <n v="149"/>
    <n v="43"/>
    <n v="290"/>
    <n v="52"/>
    <x v="0"/>
    <n v="73.069999999999993"/>
    <n v="21191.39"/>
    <s v="Unity Traders"/>
    <s v="OK"/>
    <s v="OK"/>
    <s v="OK"/>
  </r>
  <r>
    <x v="1"/>
    <x v="0"/>
    <s v="SKU-1020"/>
    <s v="Envelope Pack (Bulk)"/>
    <x v="0"/>
    <s v="pcs"/>
    <n v="264"/>
    <n v="0"/>
    <n v="99"/>
    <n v="165"/>
    <n v="123"/>
    <x v="0"/>
    <n v="376.1"/>
    <n v="62055.75"/>
    <s v="Prime Packaging Works"/>
    <s v="OK"/>
    <s v="OK"/>
    <s v="OK"/>
  </r>
  <r>
    <x v="1"/>
    <x v="0"/>
    <s v="SKU-1021"/>
    <s v="LED Bulb 9W"/>
    <x v="1"/>
    <s v="pcs"/>
    <n v="828"/>
    <n v="0"/>
    <n v="245"/>
    <n v="583"/>
    <n v="140"/>
    <x v="0"/>
    <n v="95.6"/>
    <n v="55737.03"/>
    <s v="Prime Packaging Works"/>
    <s v="OK"/>
    <s v="OK"/>
    <s v="OK"/>
  </r>
  <r>
    <x v="1"/>
    <x v="0"/>
    <s v="SKU-1022"/>
    <s v="LED Bulb 9W (Bulk)"/>
    <x v="1"/>
    <s v="pcs"/>
    <n v="201"/>
    <n v="452"/>
    <n v="183"/>
    <n v="470"/>
    <n v="233"/>
    <x v="0"/>
    <n v="436.74"/>
    <n v="205268.99"/>
    <s v="Sunrise Distributors"/>
    <s v="OK"/>
    <s v="OK"/>
    <s v="OK"/>
  </r>
  <r>
    <x v="1"/>
    <x v="0"/>
    <s v="SKU-1023"/>
    <s v="LED Tube Light 20W"/>
    <x v="1"/>
    <s v="pcs"/>
    <n v="95"/>
    <n v="168"/>
    <n v="36"/>
    <n v="227"/>
    <n v="44"/>
    <x v="0"/>
    <n v="239.68"/>
    <n v="54407.98"/>
    <s v="Metro Wholesale"/>
    <s v="OK"/>
    <s v="OK"/>
    <s v="OK"/>
  </r>
  <r>
    <x v="1"/>
    <x v="0"/>
    <s v="SKU-1024"/>
    <s v="LED Tube Light 20W (Bulk)"/>
    <x v="1"/>
    <s v="pcs"/>
    <n v="403"/>
    <n v="0"/>
    <n v="191"/>
    <n v="212"/>
    <n v="198"/>
    <x v="0"/>
    <n v="1133.4000000000001"/>
    <n v="240281.53"/>
    <s v="Metro Wholesale"/>
    <s v="OK"/>
    <s v="OK"/>
    <s v="OK"/>
  </r>
  <r>
    <x v="1"/>
    <x v="0"/>
    <s v="SKU-1025"/>
    <s v="Extension Board"/>
    <x v="1"/>
    <s v="pcs"/>
    <n v="39"/>
    <n v="0"/>
    <n v="35"/>
    <n v="4"/>
    <n v="23"/>
    <x v="1"/>
    <n v="367.29"/>
    <n v="1469.15"/>
    <s v="Greenleaf Supplies"/>
    <s v="OK"/>
    <s v="OK"/>
    <s v="OK"/>
  </r>
  <r>
    <x v="1"/>
    <x v="0"/>
    <s v="SKU-1026"/>
    <s v="Extension Board (Bulk)"/>
    <x v="1"/>
    <s v="pcs"/>
    <n v="338"/>
    <n v="0"/>
    <n v="206"/>
    <n v="132"/>
    <n v="193"/>
    <x v="1"/>
    <n v="1800.2"/>
    <n v="237626.78"/>
    <s v="Northstar Enterprises"/>
    <s v="OK"/>
    <s v="OK"/>
    <s v="OK"/>
  </r>
  <r>
    <x v="1"/>
    <x v="0"/>
    <s v="SKU-1027"/>
    <s v="Ceiling Fan"/>
    <x v="1"/>
    <s v="pcs"/>
    <n v="708"/>
    <n v="0"/>
    <n v="142"/>
    <n v="566"/>
    <n v="169"/>
    <x v="0"/>
    <n v="1838.5"/>
    <n v="1040592.24"/>
    <s v="Metro Wholesale"/>
    <s v="OK"/>
    <s v="OK"/>
    <s v="OK"/>
  </r>
  <r>
    <x v="1"/>
    <x v="0"/>
    <s v="SKU-1028"/>
    <s v="Ceiling Fan (Bulk)"/>
    <x v="1"/>
    <s v="pcs"/>
    <n v="224"/>
    <n v="0"/>
    <n v="94"/>
    <n v="130"/>
    <n v="148"/>
    <x v="1"/>
    <n v="8198.7000000000007"/>
    <n v="1065831"/>
    <s v="Greenleaf Supplies"/>
    <s v="OK"/>
    <s v="OK"/>
    <s v="OK"/>
  </r>
  <r>
    <x v="1"/>
    <x v="0"/>
    <s v="SKU-1029"/>
    <s v="Modular Switch"/>
    <x v="1"/>
    <s v="pcs"/>
    <n v="245"/>
    <n v="0"/>
    <n v="94"/>
    <n v="151"/>
    <n v="174"/>
    <x v="1"/>
    <n v="49.4"/>
    <n v="7459.63"/>
    <s v="Sunrise Distributors"/>
    <s v="OK"/>
    <s v="OK"/>
    <s v="OK"/>
  </r>
  <r>
    <x v="1"/>
    <x v="0"/>
    <s v="SKU-1030"/>
    <s v="Modular Switch (Bulk)"/>
    <x v="1"/>
    <s v="pcs"/>
    <n v="79"/>
    <n v="0"/>
    <n v="61"/>
    <n v="18"/>
    <n v="54"/>
    <x v="1"/>
    <n v="194.38"/>
    <n v="3498.8"/>
    <s v="Northstar Enterprises"/>
    <s v="OK"/>
    <s v="OK"/>
    <s v="OK"/>
  </r>
  <r>
    <x v="1"/>
    <x v="0"/>
    <s v="SKU-1031"/>
    <s v="Copper Wire 90m"/>
    <x v="1"/>
    <s v="pcs"/>
    <n v="112"/>
    <n v="0"/>
    <n v="33"/>
    <n v="79"/>
    <n v="43"/>
    <x v="0"/>
    <n v="1650.26"/>
    <n v="130370.57"/>
    <s v="Northstar Enterprises"/>
    <s v="OK"/>
    <s v="OK"/>
    <s v="OK"/>
  </r>
  <r>
    <x v="1"/>
    <x v="0"/>
    <s v="SKU-1033"/>
    <s v="MCB 32A"/>
    <x v="1"/>
    <s v="pcs"/>
    <n v="407"/>
    <n v="0"/>
    <n v="184"/>
    <n v="223"/>
    <n v="137"/>
    <x v="0"/>
    <n v="272.17"/>
    <n v="60694.67"/>
    <s v="Lotus Agencies"/>
    <s v="OK"/>
    <s v="OK"/>
    <s v="OK"/>
  </r>
  <r>
    <x v="1"/>
    <x v="0"/>
    <s v="SKU-1034"/>
    <s v="MCB 32A (Bulk)"/>
    <x v="1"/>
    <s v="pcs"/>
    <n v="245"/>
    <n v="0"/>
    <n v="161"/>
    <n v="84"/>
    <n v="177"/>
    <x v="1"/>
    <n v="1308.95"/>
    <n v="109951.53"/>
    <s v="Northstar Enterprises"/>
    <s v="OK"/>
    <s v="OK"/>
    <s v="OK"/>
  </r>
  <r>
    <x v="1"/>
    <x v="0"/>
    <s v="SKU-1035"/>
    <s v="Emergency Light"/>
    <x v="1"/>
    <s v="pcs"/>
    <n v="257"/>
    <n v="415"/>
    <n v="196"/>
    <n v="476"/>
    <n v="218"/>
    <x v="0"/>
    <n v="761.8"/>
    <n v="362618.67"/>
    <s v="Apex Trading Co."/>
    <s v="OK"/>
    <s v="OK"/>
    <s v="OK"/>
  </r>
  <r>
    <x v="1"/>
    <x v="0"/>
    <s v="SKU-1036"/>
    <s v="Emergency Light (Bulk)"/>
    <x v="1"/>
    <s v="pcs"/>
    <n v="137"/>
    <n v="262"/>
    <n v="141"/>
    <n v="258"/>
    <n v="120"/>
    <x v="0"/>
    <n v="3522.85"/>
    <n v="908895.15"/>
    <s v="Greenleaf Supplies"/>
    <s v="OK"/>
    <s v="OK"/>
    <s v="OK"/>
  </r>
  <r>
    <x v="1"/>
    <x v="0"/>
    <s v="SKU-1037"/>
    <s v="Wall Socket"/>
    <x v="1"/>
    <s v="pcs"/>
    <n v="87"/>
    <n v="591"/>
    <n v="276"/>
    <n v="402"/>
    <n v="156"/>
    <x v="0"/>
    <n v="58.23"/>
    <n v="23409.83"/>
    <s v="Northstar Enterprises"/>
    <s v="OK"/>
    <s v="OK"/>
    <s v="OK"/>
  </r>
  <r>
    <x v="1"/>
    <x v="0"/>
    <s v="SKU-1039"/>
    <s v="Table Lamp"/>
    <x v="1"/>
    <s v="pcs"/>
    <n v="86"/>
    <n v="463"/>
    <n v="250"/>
    <n v="299"/>
    <n v="201"/>
    <x v="0"/>
    <n v="485.44"/>
    <n v="145146.79999999999"/>
    <s v="Apex Trading Co."/>
    <s v="OK"/>
    <s v="OK"/>
    <s v="OK"/>
  </r>
  <r>
    <x v="1"/>
    <x v="0"/>
    <s v="SKU-1040"/>
    <s v="Table Lamp (Bulk)"/>
    <x v="1"/>
    <s v="pcs"/>
    <n v="277"/>
    <n v="0"/>
    <n v="154"/>
    <n v="123"/>
    <n v="201"/>
    <x v="1"/>
    <n v="2417.67"/>
    <n v="297373.65000000002"/>
    <s v="Northstar Enterprises"/>
    <s v="OK"/>
    <s v="OK"/>
    <s v="OK"/>
  </r>
  <r>
    <x v="1"/>
    <x v="0"/>
    <s v="SKU-1041"/>
    <s v="Basmati Rice"/>
    <x v="2"/>
    <s v="kg"/>
    <n v="0"/>
    <n v="284"/>
    <n v="81"/>
    <n v="203"/>
    <n v="99"/>
    <x v="0"/>
    <n v="94.01"/>
    <n v="19084.919999999998"/>
    <s v="Lotus Agencies"/>
    <s v="OK"/>
    <s v="OK"/>
    <s v="OK"/>
  </r>
  <r>
    <x v="1"/>
    <x v="0"/>
    <s v="SKU-1042"/>
    <s v="Basmati Rice (Bulk)"/>
    <x v="2"/>
    <s v="kg"/>
    <n v="256"/>
    <n v="0"/>
    <n v="71"/>
    <n v="185"/>
    <n v="79"/>
    <x v="0"/>
    <n v="480.67"/>
    <n v="88924.76"/>
    <s v="Apex Trading Co."/>
    <s v="OK"/>
    <s v="OK"/>
    <s v="OK"/>
  </r>
  <r>
    <x v="1"/>
    <x v="0"/>
    <s v="SKU-1043"/>
    <s v="Toor Dal"/>
    <x v="2"/>
    <s v="kg"/>
    <n v="888"/>
    <n v="0"/>
    <n v="121"/>
    <n v="767"/>
    <n v="224"/>
    <x v="0"/>
    <n v="155.04"/>
    <n v="118912.27"/>
    <s v="Prime Packaging Works"/>
    <s v="OK"/>
    <s v="OK"/>
    <s v="OK"/>
  </r>
  <r>
    <x v="1"/>
    <x v="0"/>
    <s v="SKU-1044"/>
    <s v="Toor Dal (Bulk)"/>
    <x v="2"/>
    <s v="kg"/>
    <n v="367"/>
    <n v="0"/>
    <n v="160"/>
    <n v="207"/>
    <n v="151"/>
    <x v="0"/>
    <n v="679.08"/>
    <n v="140569.56"/>
    <s v="Unity Traders"/>
    <s v="OK"/>
    <s v="OK"/>
    <s v="OK"/>
  </r>
  <r>
    <x v="1"/>
    <x v="0"/>
    <s v="SKU-1045"/>
    <s v="Sugar"/>
    <x v="2"/>
    <s v="kg"/>
    <n v="525"/>
    <n v="0"/>
    <n v="131"/>
    <n v="394"/>
    <n v="139"/>
    <x v="0"/>
    <n v="41.45"/>
    <n v="16330.77"/>
    <s v="Northstar Enterprises"/>
    <s v="OK"/>
    <s v="OK"/>
    <s v="OK"/>
  </r>
  <r>
    <x v="1"/>
    <x v="0"/>
    <s v="SKU-1046"/>
    <s v="Sugar (Bulk)"/>
    <x v="2"/>
    <s v="kg"/>
    <n v="600"/>
    <n v="445"/>
    <n v="124"/>
    <n v="921"/>
    <n v="167"/>
    <x v="0"/>
    <n v="186.4"/>
    <n v="171673.39"/>
    <s v="Northstar Enterprises"/>
    <s v="OK"/>
    <s v="OK"/>
    <s v="OK"/>
  </r>
  <r>
    <x v="1"/>
    <x v="0"/>
    <s v="SKU-1047"/>
    <s v="Wheat Atta"/>
    <x v="2"/>
    <s v="kg"/>
    <n v="125"/>
    <n v="0"/>
    <n v="58"/>
    <n v="67"/>
    <n v="89"/>
    <x v="1"/>
    <n v="41.17"/>
    <n v="2758.64"/>
    <s v="Greenleaf Supplies"/>
    <s v="OK"/>
    <s v="OK"/>
    <s v="OK"/>
  </r>
  <r>
    <x v="1"/>
    <x v="0"/>
    <s v="SKU-1048"/>
    <s v="Wheat Atta (Bulk)"/>
    <x v="2"/>
    <s v="kg"/>
    <n v="40"/>
    <n v="261"/>
    <n v="68"/>
    <n v="233"/>
    <n v="106"/>
    <x v="0"/>
    <n v="191.63"/>
    <n v="44649.07"/>
    <s v="Lotus Agencies"/>
    <s v="OK"/>
    <s v="OK"/>
    <s v="OK"/>
  </r>
  <r>
    <x v="1"/>
    <x v="0"/>
    <s v="SKU-1049"/>
    <s v="Sunflower Oil (L)"/>
    <x v="2"/>
    <s v="kg"/>
    <n v="168"/>
    <n v="547"/>
    <n v="107"/>
    <n v="608"/>
    <n v="215"/>
    <x v="0"/>
    <n v="130.49"/>
    <n v="79340.320000000007"/>
    <s v="Greenleaf Supplies"/>
    <s v="OK"/>
    <s v="OK"/>
    <s v="OK"/>
  </r>
  <r>
    <x v="1"/>
    <x v="0"/>
    <s v="SKU-1050"/>
    <s v="Sunflower Oil (L) (Bulk)"/>
    <x v="2"/>
    <s v="kg"/>
    <n v="86"/>
    <n v="208"/>
    <n v="83"/>
    <n v="211"/>
    <n v="120"/>
    <x v="0"/>
    <n v="628.20000000000005"/>
    <n v="132549.38"/>
    <s v="Unity Traders"/>
    <s v="OK"/>
    <s v="OK"/>
    <s v="OK"/>
  </r>
  <r>
    <x v="1"/>
    <x v="0"/>
    <s v="SKU-1051"/>
    <s v="Tea Leaves"/>
    <x v="2"/>
    <s v="kg"/>
    <n v="190"/>
    <n v="641"/>
    <n v="237"/>
    <n v="594"/>
    <n v="274"/>
    <x v="0"/>
    <n v="415.2"/>
    <n v="246628.31"/>
    <s v="Northstar Enterprises"/>
    <s v="OK"/>
    <s v="OK"/>
    <s v="OK"/>
  </r>
  <r>
    <x v="1"/>
    <x v="0"/>
    <s v="SKU-1052"/>
    <s v="Tea Leaves (Bulk)"/>
    <x v="2"/>
    <s v="kg"/>
    <n v="75"/>
    <n v="0"/>
    <n v="59"/>
    <n v="16"/>
    <n v="56"/>
    <x v="1"/>
    <n v="1984.72"/>
    <n v="31755.52"/>
    <s v="Lotus Agencies"/>
    <s v="OK"/>
    <s v="OK"/>
    <s v="OK"/>
  </r>
  <r>
    <x v="1"/>
    <x v="0"/>
    <s v="SKU-1053"/>
    <s v="Salt"/>
    <x v="2"/>
    <s v="kg"/>
    <n v="82"/>
    <n v="488"/>
    <n v="180"/>
    <n v="390"/>
    <n v="160"/>
    <x v="0"/>
    <n v="23.9"/>
    <n v="9321.59"/>
    <s v="Apex Trading Co."/>
    <s v="OK"/>
    <s v="OK"/>
    <s v="OK"/>
  </r>
  <r>
    <x v="1"/>
    <x v="0"/>
    <s v="SKU-1054"/>
    <s v="Salt (Bulk)"/>
    <x v="2"/>
    <s v="kg"/>
    <n v="315"/>
    <n v="0"/>
    <n v="96"/>
    <n v="219"/>
    <n v="135"/>
    <x v="0"/>
    <n v="111.15"/>
    <n v="24342.240000000002"/>
    <s v="Northstar Enterprises"/>
    <s v="OK"/>
    <s v="OK"/>
    <s v="OK"/>
  </r>
  <r>
    <x v="1"/>
    <x v="0"/>
    <s v="SKU-1055"/>
    <s v="Poha"/>
    <x v="2"/>
    <s v="kg"/>
    <n v="65"/>
    <n v="340"/>
    <n v="134"/>
    <n v="271"/>
    <n v="135"/>
    <x v="0"/>
    <n v="60.62"/>
    <n v="16426.900000000001"/>
    <s v="Prime Packaging Works"/>
    <s v="OK"/>
    <s v="OK"/>
    <s v="OK"/>
  </r>
  <r>
    <x v="1"/>
    <x v="0"/>
    <s v="SKU-1056"/>
    <s v="Poha (Bulk)"/>
    <x v="2"/>
    <s v="kg"/>
    <n v="218"/>
    <n v="0"/>
    <n v="174"/>
    <n v="44"/>
    <n v="110"/>
    <x v="1"/>
    <n v="300.82"/>
    <n v="13235.87"/>
    <s v="Northstar Enterprises"/>
    <s v="OK"/>
    <s v="OK"/>
    <s v="OK"/>
  </r>
  <r>
    <x v="1"/>
    <x v="0"/>
    <s v="SKU-1057"/>
    <s v="Chana Dal"/>
    <x v="2"/>
    <s v="kg"/>
    <n v="204"/>
    <n v="0"/>
    <n v="48"/>
    <n v="156"/>
    <n v="96"/>
    <x v="0"/>
    <n v="90.61"/>
    <n v="14135.09"/>
    <s v="Metro Wholesale"/>
    <s v="OK"/>
    <s v="OK"/>
    <s v="OK"/>
  </r>
  <r>
    <x v="1"/>
    <x v="0"/>
    <s v="SKU-1058"/>
    <s v="Chana Dal (Bulk)"/>
    <x v="2"/>
    <s v="kg"/>
    <n v="120"/>
    <n v="368"/>
    <n v="107"/>
    <n v="381"/>
    <n v="187"/>
    <x v="0"/>
    <n v="445.81"/>
    <n v="169853.78"/>
    <s v="Lotus Agencies"/>
    <s v="OK"/>
    <s v="OK"/>
    <s v="OK"/>
  </r>
  <r>
    <x v="1"/>
    <x v="0"/>
    <s v="SKU-1059"/>
    <s v="Jaggery"/>
    <x v="2"/>
    <s v="kg"/>
    <n v="165"/>
    <n v="667"/>
    <n v="148"/>
    <n v="684"/>
    <n v="209"/>
    <x v="0"/>
    <n v="63.67"/>
    <n v="43552.58"/>
    <s v="Metro Wholesale"/>
    <s v="OK"/>
    <s v="OK"/>
    <s v="OK"/>
  </r>
  <r>
    <x v="1"/>
    <x v="0"/>
    <s v="SKU-1060"/>
    <s v="Jaggery (Bulk)"/>
    <x v="2"/>
    <s v="kg"/>
    <n v="942"/>
    <n v="459"/>
    <n v="100"/>
    <n v="1301"/>
    <n v="235"/>
    <x v="0"/>
    <n v="321.67"/>
    <n v="418487.03999999998"/>
    <s v="Apex Trading Co."/>
    <s v="OK"/>
    <s v="OK"/>
    <s v="OK"/>
  </r>
  <r>
    <x v="1"/>
    <x v="0"/>
    <s v="SKU-1061"/>
    <s v="Hammer"/>
    <x v="3"/>
    <s v="pcs"/>
    <n v="40"/>
    <n v="150"/>
    <n v="87"/>
    <n v="103"/>
    <n v="96"/>
    <x v="0"/>
    <n v="285.81"/>
    <n v="29437.99"/>
    <s v="Northstar Enterprises"/>
    <s v="OK"/>
    <s v="OK"/>
    <s v="OK"/>
  </r>
  <r>
    <x v="1"/>
    <x v="0"/>
    <s v="SKU-1062"/>
    <s v="Hammer (Bulk)"/>
    <x v="3"/>
    <s v="pcs"/>
    <n v="357"/>
    <n v="0"/>
    <n v="93"/>
    <n v="264"/>
    <n v="163"/>
    <x v="0"/>
    <n v="1156.8699999999999"/>
    <n v="305413.18"/>
    <s v="Apex Trading Co."/>
    <s v="OK"/>
    <s v="OK"/>
    <s v="OK"/>
  </r>
  <r>
    <x v="1"/>
    <x v="0"/>
    <s v="SKU-1063"/>
    <s v="Screwdriver Set"/>
    <x v="3"/>
    <s v="pcs"/>
    <n v="134"/>
    <n v="287"/>
    <n v="133"/>
    <n v="288"/>
    <n v="202"/>
    <x v="0"/>
    <n v="299.39999999999998"/>
    <n v="86227.66"/>
    <s v="Sunrise Distributors"/>
    <s v="OK"/>
    <s v="OK"/>
    <s v="OK"/>
  </r>
  <r>
    <x v="1"/>
    <x v="0"/>
    <s v="SKU-1064"/>
    <s v="Screwdriver Set (Bulk)"/>
    <x v="3"/>
    <s v="pcs"/>
    <n v="153"/>
    <n v="417"/>
    <n v="143"/>
    <n v="427"/>
    <n v="130"/>
    <x v="0"/>
    <n v="1493.55"/>
    <n v="637746.92000000004"/>
    <s v="Northstar Enterprises"/>
    <s v="OK"/>
    <s v="OK"/>
    <s v="OK"/>
  </r>
  <r>
    <x v="1"/>
    <x v="0"/>
    <s v="SKU-1065"/>
    <s v="Wall Plug Pack"/>
    <x v="3"/>
    <s v="pcs"/>
    <n v="422"/>
    <n v="0"/>
    <n v="100"/>
    <n v="322"/>
    <n v="111"/>
    <x v="0"/>
    <n v="47.29"/>
    <n v="15228.87"/>
    <s v="Metro Wholesale"/>
    <s v="OK"/>
    <s v="OK"/>
    <s v="OK"/>
  </r>
  <r>
    <x v="1"/>
    <x v="0"/>
    <s v="SKU-1066"/>
    <s v="Wall Plug Pack (Bulk)"/>
    <x v="3"/>
    <s v="pcs"/>
    <n v="219"/>
    <n v="0"/>
    <n v="177"/>
    <n v="42"/>
    <n v="127"/>
    <x v="1"/>
    <n v="189.28"/>
    <n v="7949.77"/>
    <s v="Lotus Agencies"/>
    <s v="OK"/>
    <s v="OK"/>
    <s v="OK"/>
  </r>
  <r>
    <x v="1"/>
    <x v="0"/>
    <s v="SKU-1067"/>
    <s v="Padlock"/>
    <x v="3"/>
    <s v="pcs"/>
    <n v="351"/>
    <n v="0"/>
    <n v="191"/>
    <n v="160"/>
    <n v="216"/>
    <x v="1"/>
    <n v="205.42"/>
    <n v="32867.9"/>
    <s v="Metro Wholesale"/>
    <s v="OK"/>
    <s v="OK"/>
    <s v="OK"/>
  </r>
  <r>
    <x v="1"/>
    <x v="0"/>
    <s v="SKU-1068"/>
    <s v="Padlock (Bulk)"/>
    <x v="3"/>
    <s v="pcs"/>
    <n v="555"/>
    <n v="0"/>
    <n v="125"/>
    <n v="430"/>
    <n v="207"/>
    <x v="0"/>
    <n v="974.59"/>
    <n v="419075.26"/>
    <s v="Apex Trading Co."/>
    <s v="OK"/>
    <s v="OK"/>
    <s v="OK"/>
  </r>
  <r>
    <x v="1"/>
    <x v="0"/>
    <s v="SKU-1069"/>
    <s v="Measuring Tape 5m"/>
    <x v="3"/>
    <s v="pcs"/>
    <n v="104"/>
    <n v="0"/>
    <n v="8"/>
    <n v="96"/>
    <n v="26"/>
    <x v="0"/>
    <n v="150.78"/>
    <n v="14474.76"/>
    <s v="Unity Traders"/>
    <s v="OK"/>
    <s v="OK"/>
    <s v="OK"/>
  </r>
  <r>
    <x v="1"/>
    <x v="0"/>
    <s v="SKU-1071"/>
    <s v="Spanner Set"/>
    <x v="3"/>
    <s v="pcs"/>
    <n v="155"/>
    <n v="439"/>
    <n v="237"/>
    <n v="357"/>
    <n v="215"/>
    <x v="0"/>
    <n v="646.84"/>
    <n v="230920.65"/>
    <s v="Prime Packaging Works"/>
    <s v="OK"/>
    <s v="OK"/>
    <s v="OK"/>
  </r>
  <r>
    <x v="1"/>
    <x v="0"/>
    <s v="SKU-1072"/>
    <s v="Spanner Set (Bulk)"/>
    <x v="3"/>
    <s v="pcs"/>
    <n v="234"/>
    <n v="0"/>
    <n v="128"/>
    <n v="106"/>
    <n v="177"/>
    <x v="1"/>
    <n v="2793.93"/>
    <n v="296156.69"/>
    <s v="Greenleaf Supplies"/>
    <s v="OK"/>
    <s v="OK"/>
    <s v="OK"/>
  </r>
  <r>
    <x v="1"/>
    <x v="0"/>
    <s v="SKU-1073"/>
    <s v="Drill Bit Set"/>
    <x v="3"/>
    <s v="pcs"/>
    <n v="385"/>
    <n v="0"/>
    <n v="84"/>
    <n v="301"/>
    <n v="164"/>
    <x v="0"/>
    <n v="498.95"/>
    <n v="150182.87"/>
    <s v="Lotus Agencies"/>
    <s v="OK"/>
    <s v="OK"/>
    <s v="OK"/>
  </r>
  <r>
    <x v="1"/>
    <x v="0"/>
    <s v="SKU-1074"/>
    <s v="Drill Bit Set (Bulk)"/>
    <x v="3"/>
    <s v="pcs"/>
    <n v="243"/>
    <n v="373"/>
    <n v="83"/>
    <n v="533"/>
    <n v="206"/>
    <x v="0"/>
    <n v="2371.1"/>
    <n v="1263795.8799999999"/>
    <s v="Prime Packaging Works"/>
    <s v="OK"/>
    <s v="OK"/>
    <s v="OK"/>
  </r>
  <r>
    <x v="1"/>
    <x v="0"/>
    <s v="SKU-1075"/>
    <s v="Wood Screws Pack"/>
    <x v="3"/>
    <s v="pcs"/>
    <n v="164"/>
    <n v="0"/>
    <n v="82"/>
    <n v="82"/>
    <n v="94"/>
    <x v="1"/>
    <n v="74.040000000000006"/>
    <n v="6071.56"/>
    <s v="Prime Packaging Works"/>
    <s v="OK"/>
    <s v="OK"/>
    <s v="OK"/>
  </r>
  <r>
    <x v="1"/>
    <x v="0"/>
    <s v="SKU-1076"/>
    <s v="Wood Screws Pack (Bulk)"/>
    <x v="3"/>
    <s v="pcs"/>
    <n v="149"/>
    <n v="475"/>
    <n v="282"/>
    <n v="342"/>
    <n v="159"/>
    <x v="0"/>
    <n v="331.27"/>
    <n v="113294.38"/>
    <s v="Northstar Enterprises"/>
    <s v="OK"/>
    <s v="OK"/>
    <s v="OK"/>
  </r>
  <r>
    <x v="1"/>
    <x v="0"/>
    <s v="SKU-1077"/>
    <s v="Door Hinge"/>
    <x v="3"/>
    <s v="pcs"/>
    <n v="334"/>
    <n v="512"/>
    <n v="203"/>
    <n v="643"/>
    <n v="305"/>
    <x v="0"/>
    <n v="54.45"/>
    <n v="35008.959999999999"/>
    <s v="Unity Traders"/>
    <s v="OK"/>
    <s v="OK"/>
    <s v="OK"/>
  </r>
  <r>
    <x v="1"/>
    <x v="0"/>
    <s v="SKU-1078"/>
    <s v="Door Hinge (Bulk)"/>
    <x v="3"/>
    <s v="pcs"/>
    <n v="146"/>
    <n v="119"/>
    <n v="44"/>
    <n v="221"/>
    <n v="43"/>
    <x v="0"/>
    <n v="252.24"/>
    <n v="55745.49"/>
    <s v="Northstar Enterprises"/>
    <s v="OK"/>
    <s v="OK"/>
    <s v="OK"/>
  </r>
  <r>
    <x v="1"/>
    <x v="0"/>
    <s v="SKU-1080"/>
    <s v="Paint Brush (Bulk)"/>
    <x v="3"/>
    <s v="pcs"/>
    <n v="406"/>
    <n v="0"/>
    <n v="142"/>
    <n v="264"/>
    <n v="225"/>
    <x v="0"/>
    <n v="418.31"/>
    <n v="110434.6"/>
    <s v="Sunrise Distributors"/>
    <s v="OK"/>
    <s v="OK"/>
    <s v="OK"/>
  </r>
  <r>
    <x v="1"/>
    <x v="0"/>
    <s v="SKU-1081"/>
    <s v="Floor Cleaner 1L"/>
    <x v="4"/>
    <s v="pcs"/>
    <n v="10"/>
    <n v="176"/>
    <n v="93"/>
    <n v="93"/>
    <n v="79"/>
    <x v="0"/>
    <n v="121.26"/>
    <n v="11277.5"/>
    <s v="Lotus Agencies"/>
    <s v="OK"/>
    <s v="OK"/>
    <s v="OK"/>
  </r>
  <r>
    <x v="1"/>
    <x v="0"/>
    <s v="SKU-1082"/>
    <s v="Floor Cleaner 1L (Bulk)"/>
    <x v="4"/>
    <s v="pcs"/>
    <n v="393"/>
    <n v="0"/>
    <n v="132"/>
    <n v="261"/>
    <n v="177"/>
    <x v="0"/>
    <n v="509.63"/>
    <n v="133012.4"/>
    <s v="Apex Trading Co."/>
    <s v="OK"/>
    <s v="OK"/>
    <s v="OK"/>
  </r>
  <r>
    <x v="1"/>
    <x v="0"/>
    <s v="SKU-1083"/>
    <s v="Dishwash Liquid 500ml"/>
    <x v="4"/>
    <s v="pcs"/>
    <n v="81"/>
    <n v="434"/>
    <n v="189"/>
    <n v="326"/>
    <n v="238"/>
    <x v="0"/>
    <n v="103.34"/>
    <n v="33689.760000000002"/>
    <s v="Apex Trading Co."/>
    <s v="OK"/>
    <s v="OK"/>
    <s v="OK"/>
  </r>
  <r>
    <x v="1"/>
    <x v="0"/>
    <s v="SKU-1084"/>
    <s v="Dishwash Liquid 500ml (Bulk)"/>
    <x v="4"/>
    <s v="pcs"/>
    <n v="22"/>
    <n v="106"/>
    <n v="33"/>
    <n v="95"/>
    <n v="49"/>
    <x v="0"/>
    <n v="419.35"/>
    <n v="39837.919999999998"/>
    <s v="Prime Packaging Works"/>
    <s v="OK"/>
    <s v="OK"/>
    <s v="OK"/>
  </r>
  <r>
    <x v="1"/>
    <x v="0"/>
    <s v="SKU-1085"/>
    <s v="Phenyl 1L"/>
    <x v="4"/>
    <s v="pcs"/>
    <n v="38"/>
    <n v="0"/>
    <n v="17"/>
    <n v="21"/>
    <n v="23"/>
    <x v="1"/>
    <n v="72.61"/>
    <n v="1524.77"/>
    <s v="Greenleaf Supplies"/>
    <s v="OK"/>
    <s v="OK"/>
    <s v="OK"/>
  </r>
  <r>
    <x v="1"/>
    <x v="0"/>
    <s v="SKU-1087"/>
    <s v="Broom"/>
    <x v="4"/>
    <s v="pcs"/>
    <n v="181"/>
    <n v="0"/>
    <n v="21"/>
    <n v="160"/>
    <n v="52"/>
    <x v="0"/>
    <n v="113.25"/>
    <n v="18119.41"/>
    <s v="Apex Trading Co."/>
    <s v="OK"/>
    <s v="OK"/>
    <s v="OK"/>
  </r>
  <r>
    <x v="1"/>
    <x v="0"/>
    <s v="SKU-1088"/>
    <s v="Broom (Bulk)"/>
    <x v="4"/>
    <s v="pcs"/>
    <n v="581"/>
    <n v="0"/>
    <n v="159"/>
    <n v="422"/>
    <n v="160"/>
    <x v="0"/>
    <n v="545.13"/>
    <n v="230044.7"/>
    <s v="Apex Trading Co."/>
    <s v="OK"/>
    <s v="OK"/>
    <s v="OK"/>
  </r>
  <r>
    <x v="1"/>
    <x v="0"/>
    <s v="SKU-1089"/>
    <s v="Mop with Bucket"/>
    <x v="4"/>
    <s v="pcs"/>
    <n v="39"/>
    <n v="126"/>
    <n v="42"/>
    <n v="123"/>
    <n v="59"/>
    <x v="0"/>
    <n v="902.86"/>
    <n v="111052.34"/>
    <s v="Greenleaf Supplies"/>
    <s v="OK"/>
    <s v="OK"/>
    <s v="OK"/>
  </r>
  <r>
    <x v="1"/>
    <x v="0"/>
    <s v="SKU-1090"/>
    <s v="Mop with Bucket (Bulk)"/>
    <x v="4"/>
    <s v="pcs"/>
    <n v="250"/>
    <n v="0"/>
    <n v="112"/>
    <n v="138"/>
    <n v="159"/>
    <x v="1"/>
    <n v="4236.42"/>
    <n v="584626.01"/>
    <s v="Greenleaf Supplies"/>
    <s v="OK"/>
    <s v="OK"/>
    <s v="OK"/>
  </r>
  <r>
    <x v="1"/>
    <x v="0"/>
    <s v="SKU-1091"/>
    <s v="Garbage Bags Roll"/>
    <x v="4"/>
    <s v="pcs"/>
    <n v="115"/>
    <n v="491"/>
    <n v="186"/>
    <n v="420"/>
    <n v="271"/>
    <x v="0"/>
    <n v="86.25"/>
    <n v="36226.629999999997"/>
    <s v="Apex Trading Co."/>
    <s v="OK"/>
    <s v="OK"/>
    <s v="OK"/>
  </r>
  <r>
    <x v="1"/>
    <x v="0"/>
    <s v="SKU-1093"/>
    <s v="Hand Wash 250ml"/>
    <x v="4"/>
    <s v="pcs"/>
    <n v="520"/>
    <n v="436"/>
    <n v="162"/>
    <n v="794"/>
    <n v="205"/>
    <x v="0"/>
    <n v="76.64"/>
    <n v="60848.46"/>
    <s v="Greenleaf Supplies"/>
    <s v="OK"/>
    <s v="OK"/>
    <s v="OK"/>
  </r>
  <r>
    <x v="1"/>
    <x v="0"/>
    <s v="SKU-1094"/>
    <s v="Hand Wash 250ml (Bulk)"/>
    <x v="4"/>
    <s v="pcs"/>
    <n v="404"/>
    <n v="0"/>
    <n v="129"/>
    <n v="275"/>
    <n v="167"/>
    <x v="0"/>
    <n v="366.36"/>
    <n v="100748.56"/>
    <s v="Metro Wholesale"/>
    <s v="OK"/>
    <s v="OK"/>
    <s v="OK"/>
  </r>
  <r>
    <x v="1"/>
    <x v="0"/>
    <s v="SKU-1096"/>
    <s v="Glass Cleaner (Bulk)"/>
    <x v="4"/>
    <s v="pcs"/>
    <n v="162"/>
    <n v="327"/>
    <n v="163"/>
    <n v="326"/>
    <n v="145"/>
    <x v="0"/>
    <n v="466.58"/>
    <n v="152103.70000000001"/>
    <s v="Sunrise Distributors"/>
    <s v="OK"/>
    <s v="OK"/>
    <s v="OK"/>
  </r>
  <r>
    <x v="1"/>
    <x v="0"/>
    <s v="SKU-1099"/>
    <s v="Dustbin 20L"/>
    <x v="4"/>
    <s v="pcs"/>
    <n v="237"/>
    <n v="379"/>
    <n v="190"/>
    <n v="426"/>
    <n v="200"/>
    <x v="0"/>
    <n v="363.76"/>
    <n v="154961.63"/>
    <s v="Unity Traders"/>
    <s v="OK"/>
    <s v="OK"/>
    <s v="OK"/>
  </r>
  <r>
    <x v="1"/>
    <x v="0"/>
    <s v="SKU-1100"/>
    <s v="Dustbin 20L (Bulk)"/>
    <x v="4"/>
    <s v="pcs"/>
    <n v="175"/>
    <n v="502"/>
    <n v="81"/>
    <n v="596"/>
    <n v="205"/>
    <x v="0"/>
    <n v="1520.18"/>
    <n v="906027.71"/>
    <s v="Prime Packaging Works"/>
    <s v="OK"/>
    <s v="OK"/>
    <s v="OK"/>
  </r>
  <r>
    <x v="1"/>
    <x v="0"/>
    <s v="SKU-1101"/>
    <s v="Corrugated Box Small"/>
    <x v="5"/>
    <s v="pcs"/>
    <n v="442"/>
    <n v="0"/>
    <n v="115"/>
    <n v="327"/>
    <n v="127"/>
    <x v="0"/>
    <n v="16.57"/>
    <n v="5419.44"/>
    <s v="Metro Wholesale"/>
    <s v="OK"/>
    <s v="OK"/>
    <s v="OK"/>
  </r>
  <r>
    <x v="1"/>
    <x v="0"/>
    <s v="SKU-1102"/>
    <s v="Corrugated Box Small (Bulk)"/>
    <x v="5"/>
    <s v="pcs"/>
    <n v="231"/>
    <n v="238"/>
    <n v="94"/>
    <n v="375"/>
    <n v="99"/>
    <x v="0"/>
    <n v="76.760000000000005"/>
    <n v="28786.76"/>
    <s v="Sunrise Distributors"/>
    <s v="OK"/>
    <s v="OK"/>
    <s v="OK"/>
  </r>
  <r>
    <x v="1"/>
    <x v="0"/>
    <s v="SKU-1103"/>
    <s v="Corrugated Box Large"/>
    <x v="5"/>
    <s v="pcs"/>
    <n v="112"/>
    <n v="409"/>
    <n v="140"/>
    <n v="381"/>
    <n v="185"/>
    <x v="0"/>
    <n v="45.55"/>
    <n v="17353.86"/>
    <s v="Metro Wholesale"/>
    <s v="OK"/>
    <s v="OK"/>
    <s v="OK"/>
  </r>
  <r>
    <x v="1"/>
    <x v="0"/>
    <s v="SKU-1104"/>
    <s v="Corrugated Box Large (Bulk)"/>
    <x v="5"/>
    <s v="pcs"/>
    <n v="263"/>
    <n v="0"/>
    <n v="242"/>
    <n v="21"/>
    <n v="181"/>
    <x v="1"/>
    <n v="193.96"/>
    <n v="4073.07"/>
    <s v="Unity Traders"/>
    <s v="OK"/>
    <s v="OK"/>
    <s v="OK"/>
  </r>
  <r>
    <x v="1"/>
    <x v="0"/>
    <s v="SKU-1105"/>
    <s v="Bubble Wrap Roll"/>
    <x v="5"/>
    <s v="pcs"/>
    <n v="159"/>
    <n v="569"/>
    <n v="233"/>
    <n v="495"/>
    <n v="238"/>
    <x v="0"/>
    <n v="354.1"/>
    <n v="175278.72"/>
    <s v="Sunrise Distributors"/>
    <s v="OK"/>
    <s v="OK"/>
    <s v="OK"/>
  </r>
  <r>
    <x v="1"/>
    <x v="0"/>
    <s v="SKU-1107"/>
    <s v="Packing Tape"/>
    <x v="5"/>
    <s v="pcs"/>
    <n v="400"/>
    <n v="0"/>
    <n v="270"/>
    <n v="130"/>
    <n v="190"/>
    <x v="1"/>
    <n v="48.56"/>
    <n v="6312.34"/>
    <s v="Unity Traders"/>
    <s v="OK"/>
    <s v="OK"/>
    <s v="OK"/>
  </r>
  <r>
    <x v="1"/>
    <x v="0"/>
    <s v="SKU-1108"/>
    <s v="Packing Tape (Bulk)"/>
    <x v="5"/>
    <s v="pcs"/>
    <n v="354"/>
    <n v="0"/>
    <n v="172"/>
    <n v="182"/>
    <n v="242"/>
    <x v="1"/>
    <n v="222.02"/>
    <n v="40406.75"/>
    <s v="Northstar Enterprises"/>
    <s v="OK"/>
    <s v="OK"/>
    <s v="OK"/>
  </r>
  <r>
    <x v="1"/>
    <x v="0"/>
    <s v="SKU-1109"/>
    <s v="Courier Bag Pack"/>
    <x v="5"/>
    <s v="pcs"/>
    <n v="260"/>
    <n v="0"/>
    <n v="81"/>
    <n v="179"/>
    <n v="121"/>
    <x v="0"/>
    <n v="161.79"/>
    <n v="28959.88"/>
    <s v="Northstar Enterprises"/>
    <s v="OK"/>
    <s v="OK"/>
    <s v="OK"/>
  </r>
  <r>
    <x v="1"/>
    <x v="0"/>
    <s v="SKU-1112"/>
    <s v="Stretch Film Roll (Bulk)"/>
    <x v="5"/>
    <s v="pcs"/>
    <n v="134"/>
    <n v="318"/>
    <n v="86"/>
    <n v="366"/>
    <n v="137"/>
    <x v="0"/>
    <n v="2458.6"/>
    <n v="899847.75"/>
    <s v="Greenleaf Supplies"/>
    <s v="OK"/>
    <s v="OK"/>
    <s v="OK"/>
  </r>
  <r>
    <x v="1"/>
    <x v="0"/>
    <s v="SKU-1116"/>
    <s v="Label Sticker Roll (Bulk)"/>
    <x v="5"/>
    <s v="pcs"/>
    <n v="489"/>
    <n v="0"/>
    <n v="148"/>
    <n v="341"/>
    <n v="267"/>
    <x v="0"/>
    <n v="964.21"/>
    <n v="328796.53000000003"/>
    <s v="Apex Trading Co."/>
    <s v="OK"/>
    <s v="OK"/>
    <s v="OK"/>
  </r>
  <r>
    <x v="1"/>
    <x v="0"/>
    <s v="SKU-1118"/>
    <s v="Thermocol Sheet (Bulk)"/>
    <x v="5"/>
    <s v="pcs"/>
    <n v="17"/>
    <n v="46"/>
    <n v="19"/>
    <n v="44"/>
    <n v="28"/>
    <x v="0"/>
    <n v="176.46"/>
    <n v="7764.37"/>
    <s v="Northstar Enterprises"/>
    <s v="OK"/>
    <s v="OK"/>
    <s v="OK"/>
  </r>
  <r>
    <x v="1"/>
    <x v="0"/>
    <s v="SKU-1119"/>
    <s v="Twine Roll"/>
    <x v="5"/>
    <s v="pcs"/>
    <n v="81"/>
    <n v="0"/>
    <n v="61"/>
    <n v="20"/>
    <n v="50"/>
    <x v="1"/>
    <n v="65.12"/>
    <n v="1302.4100000000001"/>
    <s v="Prime Packaging Works"/>
    <s v="OK"/>
    <s v="OK"/>
    <s v="OK"/>
  </r>
  <r>
    <x v="1"/>
    <x v="0"/>
    <s v="SKU-1120"/>
    <s v="Twine Roll (Bulk)"/>
    <x v="5"/>
    <s v="pcs"/>
    <n v="253"/>
    <n v="0"/>
    <n v="86"/>
    <n v="167"/>
    <n v="83"/>
    <x v="0"/>
    <n v="303.94"/>
    <n v="50758.44"/>
    <s v="Sunrise Distributors"/>
    <s v="OK"/>
    <s v="OK"/>
    <s v="OK"/>
  </r>
  <r>
    <x v="1"/>
    <x v="1"/>
    <s v="SKU-1001"/>
    <s v="A4 Paper Ream"/>
    <x v="0"/>
    <s v="pcs"/>
    <n v="162"/>
    <n v="0"/>
    <n v="102"/>
    <n v="60"/>
    <n v="88"/>
    <x v="1"/>
    <n v="282.98"/>
    <n v="16978.990000000002"/>
    <s v="Lotus Agencies"/>
    <s v="OK"/>
    <s v="OK"/>
    <s v="OK"/>
  </r>
  <r>
    <x v="1"/>
    <x v="1"/>
    <s v="SKU-1002"/>
    <s v="A4 Paper Ream (Bulk)"/>
    <x v="0"/>
    <s v="pcs"/>
    <n v="58"/>
    <n v="135"/>
    <n v="55"/>
    <n v="138"/>
    <n v="47"/>
    <x v="0"/>
    <n v="1259.5"/>
    <n v="173810.85"/>
    <s v="Prime Packaging Works"/>
    <s v="OK"/>
    <s v="OK"/>
    <s v="OK"/>
  </r>
  <r>
    <x v="1"/>
    <x v="1"/>
    <s v="SKU-1003"/>
    <s v="Ball Pen Box"/>
    <x v="0"/>
    <s v="pcs"/>
    <n v="292"/>
    <n v="0"/>
    <n v="193"/>
    <n v="99"/>
    <n v="228"/>
    <x v="1"/>
    <n v="84.38"/>
    <n v="8353.33"/>
    <s v="Lotus Agencies"/>
    <s v="OK"/>
    <s v="OK"/>
    <s v="OK"/>
  </r>
  <r>
    <x v="1"/>
    <x v="1"/>
    <s v="SKU-1004"/>
    <s v="Ball Pen Box (Bulk)"/>
    <x v="0"/>
    <s v="pcs"/>
    <n v="110"/>
    <n v="292"/>
    <n v="107"/>
    <n v="295"/>
    <n v="86"/>
    <x v="0"/>
    <n v="409.79"/>
    <n v="120889.26"/>
    <s v="Northstar Enterprises"/>
    <s v="OK"/>
    <s v="OK"/>
    <s v="OK"/>
  </r>
  <r>
    <x v="1"/>
    <x v="1"/>
    <s v="SKU-1005"/>
    <s v="Stapler"/>
    <x v="0"/>
    <s v="pcs"/>
    <n v="75"/>
    <n v="734"/>
    <n v="197"/>
    <n v="612"/>
    <n v="172"/>
    <x v="0"/>
    <n v="119.99"/>
    <n v="73434.02"/>
    <s v="Lotus Agencies"/>
    <s v="OK"/>
    <s v="OK"/>
    <s v="OK"/>
  </r>
  <r>
    <x v="1"/>
    <x v="1"/>
    <s v="SKU-1006"/>
    <s v="Stapler (Bulk)"/>
    <x v="0"/>
    <s v="pcs"/>
    <n v="624"/>
    <n v="0"/>
    <n v="196"/>
    <n v="428"/>
    <n v="293"/>
    <x v="0"/>
    <n v="576.37"/>
    <n v="246685.36"/>
    <s v="Metro Wholesale"/>
    <s v="OK"/>
    <s v="OK"/>
    <s v="OK"/>
  </r>
  <r>
    <x v="1"/>
    <x v="1"/>
    <s v="SKU-1009"/>
    <s v="Whiteboard Marker Set"/>
    <x v="0"/>
    <s v="pcs"/>
    <n v="314"/>
    <n v="297"/>
    <n v="182"/>
    <n v="429"/>
    <n v="187"/>
    <x v="0"/>
    <n v="157.66999999999999"/>
    <n v="67638.84"/>
    <s v="Unity Traders"/>
    <s v="OK"/>
    <s v="OK"/>
    <s v="OK"/>
  </r>
  <r>
    <x v="1"/>
    <x v="1"/>
    <s v="SKU-1010"/>
    <s v="Whiteboard Marker Set (Bulk)"/>
    <x v="0"/>
    <s v="pcs"/>
    <n v="94"/>
    <n v="0"/>
    <n v="51"/>
    <n v="43"/>
    <n v="47"/>
    <x v="1"/>
    <n v="733.63"/>
    <n v="31545.95"/>
    <s v="Greenleaf Supplies"/>
    <s v="OK"/>
    <s v="OK"/>
    <s v="OK"/>
  </r>
  <r>
    <x v="1"/>
    <x v="1"/>
    <s v="SKU-1011"/>
    <s v="Sticky Notes Pack"/>
    <x v="0"/>
    <s v="pcs"/>
    <n v="526"/>
    <n v="0"/>
    <n v="137"/>
    <n v="389"/>
    <n v="188"/>
    <x v="0"/>
    <n v="54.26"/>
    <n v="21105.87"/>
    <s v="Unity Traders"/>
    <s v="OK"/>
    <s v="OK"/>
    <s v="OK"/>
  </r>
  <r>
    <x v="1"/>
    <x v="1"/>
    <s v="SKU-1012"/>
    <s v="Sticky Notes Pack (Bulk)"/>
    <x v="0"/>
    <s v="pcs"/>
    <n v="0"/>
    <n v="590"/>
    <n v="137"/>
    <n v="453"/>
    <n v="171"/>
    <x v="0"/>
    <n v="280.24"/>
    <n v="126948.98"/>
    <s v="Lotus Agencies"/>
    <s v="OK"/>
    <s v="OK"/>
    <s v="OK"/>
  </r>
  <r>
    <x v="1"/>
    <x v="1"/>
    <s v="SKU-1013"/>
    <s v="Notebook 200 pages"/>
    <x v="0"/>
    <s v="pcs"/>
    <n v="79"/>
    <n v="0"/>
    <n v="25"/>
    <n v="54"/>
    <n v="38"/>
    <x v="0"/>
    <n v="52.4"/>
    <n v="2829.66"/>
    <s v="Greenleaf Supplies"/>
    <s v="OK"/>
    <s v="OK"/>
    <s v="OK"/>
  </r>
  <r>
    <x v="1"/>
    <x v="1"/>
    <s v="SKU-1014"/>
    <s v="Notebook 200 pages (Bulk)"/>
    <x v="0"/>
    <s v="pcs"/>
    <n v="163"/>
    <n v="440"/>
    <n v="265"/>
    <n v="338"/>
    <n v="199"/>
    <x v="0"/>
    <n v="273.33999999999997"/>
    <n v="92388.49"/>
    <s v="Unity Traders"/>
    <s v="OK"/>
    <s v="OK"/>
    <s v="OK"/>
  </r>
  <r>
    <x v="1"/>
    <x v="1"/>
    <s v="SKU-1016"/>
    <s v="Calculator (Bulk)"/>
    <x v="0"/>
    <s v="pcs"/>
    <n v="43"/>
    <n v="0"/>
    <n v="14"/>
    <n v="29"/>
    <n v="21"/>
    <x v="0"/>
    <n v="1936.29"/>
    <n v="56152.33"/>
    <s v="Sunrise Distributors"/>
    <s v="OK"/>
    <s v="OK"/>
    <s v="OK"/>
  </r>
  <r>
    <x v="1"/>
    <x v="1"/>
    <s v="SKU-1017"/>
    <s v="Glue Stick"/>
    <x v="0"/>
    <s v="pcs"/>
    <n v="102"/>
    <n v="0"/>
    <n v="97"/>
    <n v="5"/>
    <n v="61"/>
    <x v="1"/>
    <n v="22.89"/>
    <n v="114.45"/>
    <s v="Unity Traders"/>
    <s v="OK"/>
    <s v="OK"/>
    <s v="OK"/>
  </r>
  <r>
    <x v="1"/>
    <x v="1"/>
    <s v="SKU-1018"/>
    <s v="Glue Stick (Bulk)"/>
    <x v="0"/>
    <s v="pcs"/>
    <n v="50"/>
    <n v="0"/>
    <n v="17"/>
    <n v="33"/>
    <n v="24"/>
    <x v="0"/>
    <n v="111.08"/>
    <n v="3665.68"/>
    <s v="Greenleaf Supplies"/>
    <s v="OK"/>
    <s v="OK"/>
    <s v="OK"/>
  </r>
  <r>
    <x v="1"/>
    <x v="1"/>
    <s v="SKU-1019"/>
    <s v="Envelope Pack"/>
    <x v="0"/>
    <s v="pcs"/>
    <n v="79"/>
    <n v="149"/>
    <n v="60"/>
    <n v="168"/>
    <n v="42"/>
    <x v="0"/>
    <n v="80.55"/>
    <n v="13532.24"/>
    <s v="Unity Traders"/>
    <s v="OK"/>
    <s v="OK"/>
    <s v="OK"/>
  </r>
  <r>
    <x v="1"/>
    <x v="1"/>
    <s v="SKU-1020"/>
    <s v="Envelope Pack (Bulk)"/>
    <x v="0"/>
    <s v="pcs"/>
    <n v="191"/>
    <n v="382"/>
    <n v="250"/>
    <n v="323"/>
    <n v="190"/>
    <x v="0"/>
    <n v="373.23"/>
    <n v="120552.59"/>
    <s v="Prime Packaging Works"/>
    <s v="OK"/>
    <s v="OK"/>
    <s v="OK"/>
  </r>
  <r>
    <x v="1"/>
    <x v="1"/>
    <s v="SKU-1021"/>
    <s v="LED Bulb 9W"/>
    <x v="1"/>
    <s v="pcs"/>
    <n v="75"/>
    <n v="0"/>
    <n v="39"/>
    <n v="36"/>
    <n v="43"/>
    <x v="1"/>
    <n v="86.5"/>
    <n v="3114.16"/>
    <s v="Prime Packaging Works"/>
    <s v="OK"/>
    <s v="OK"/>
    <s v="OK"/>
  </r>
  <r>
    <x v="1"/>
    <x v="1"/>
    <s v="SKU-1022"/>
    <s v="LED Bulb 9W (Bulk)"/>
    <x v="1"/>
    <s v="pcs"/>
    <n v="218"/>
    <n v="524"/>
    <n v="133"/>
    <n v="609"/>
    <n v="246"/>
    <x v="0"/>
    <n v="437.43"/>
    <n v="266391.99"/>
    <s v="Sunrise Distributors"/>
    <s v="OK"/>
    <s v="OK"/>
    <s v="OK"/>
  </r>
  <r>
    <x v="1"/>
    <x v="1"/>
    <s v="SKU-1024"/>
    <s v="LED Tube Light 20W (Bulk)"/>
    <x v="1"/>
    <s v="pcs"/>
    <n v="318"/>
    <n v="0"/>
    <n v="199"/>
    <n v="119"/>
    <n v="179"/>
    <x v="1"/>
    <n v="1089.93"/>
    <n v="129701.19"/>
    <s v="Metro Wholesale"/>
    <s v="OK"/>
    <s v="OK"/>
    <s v="OK"/>
  </r>
  <r>
    <x v="1"/>
    <x v="1"/>
    <s v="SKU-1025"/>
    <s v="Extension Board"/>
    <x v="1"/>
    <s v="pcs"/>
    <n v="304"/>
    <n v="0"/>
    <n v="131"/>
    <n v="173"/>
    <n v="177"/>
    <x v="1"/>
    <n v="348.12"/>
    <n v="60224.15"/>
    <s v="Greenleaf Supplies"/>
    <s v="OK"/>
    <s v="OK"/>
    <s v="OK"/>
  </r>
  <r>
    <x v="1"/>
    <x v="1"/>
    <s v="SKU-1026"/>
    <s v="Extension Board (Bulk)"/>
    <x v="1"/>
    <s v="pcs"/>
    <n v="90"/>
    <n v="0"/>
    <n v="41"/>
    <n v="49"/>
    <n v="38"/>
    <x v="0"/>
    <n v="1688.35"/>
    <n v="82729.240000000005"/>
    <s v="Northstar Enterprises"/>
    <s v="OK"/>
    <s v="OK"/>
    <s v="OK"/>
  </r>
  <r>
    <x v="1"/>
    <x v="1"/>
    <s v="SKU-1028"/>
    <s v="Ceiling Fan (Bulk)"/>
    <x v="1"/>
    <s v="pcs"/>
    <n v="184"/>
    <n v="470"/>
    <n v="195"/>
    <n v="459"/>
    <n v="171"/>
    <x v="0"/>
    <n v="9460.17"/>
    <n v="4342218.76"/>
    <s v="Greenleaf Supplies"/>
    <s v="OK"/>
    <s v="OK"/>
    <s v="OK"/>
  </r>
  <r>
    <x v="1"/>
    <x v="1"/>
    <s v="SKU-1029"/>
    <s v="Modular Switch"/>
    <x v="1"/>
    <s v="pcs"/>
    <n v="446"/>
    <n v="0"/>
    <n v="169"/>
    <n v="277"/>
    <n v="138"/>
    <x v="0"/>
    <n v="41.85"/>
    <n v="11592.48"/>
    <s v="Sunrise Distributors"/>
    <s v="OK"/>
    <s v="OK"/>
    <s v="OK"/>
  </r>
  <r>
    <x v="1"/>
    <x v="1"/>
    <s v="SKU-1030"/>
    <s v="Modular Switch (Bulk)"/>
    <x v="1"/>
    <s v="pcs"/>
    <n v="197"/>
    <n v="453"/>
    <n v="188"/>
    <n v="462"/>
    <n v="221"/>
    <x v="0"/>
    <n v="220.59"/>
    <n v="101911.17"/>
    <s v="Northstar Enterprises"/>
    <s v="OK"/>
    <s v="OK"/>
    <s v="OK"/>
  </r>
  <r>
    <x v="1"/>
    <x v="1"/>
    <s v="SKU-1031"/>
    <s v="Copper Wire 90m"/>
    <x v="1"/>
    <s v="pcs"/>
    <n v="602"/>
    <n v="0"/>
    <n v="111"/>
    <n v="491"/>
    <n v="154"/>
    <x v="0"/>
    <n v="1564.86"/>
    <n v="768345.92"/>
    <s v="Northstar Enterprises"/>
    <s v="OK"/>
    <s v="OK"/>
    <s v="OK"/>
  </r>
  <r>
    <x v="1"/>
    <x v="1"/>
    <s v="SKU-1032"/>
    <s v="Copper Wire 90m (Bulk)"/>
    <x v="1"/>
    <s v="pcs"/>
    <n v="48"/>
    <n v="215"/>
    <n v="78"/>
    <n v="185"/>
    <n v="94"/>
    <x v="0"/>
    <n v="6982.77"/>
    <n v="1291811.8999999999"/>
    <s v="Prime Packaging Works"/>
    <s v="OK"/>
    <s v="OK"/>
    <s v="OK"/>
  </r>
  <r>
    <x v="1"/>
    <x v="1"/>
    <s v="SKU-1033"/>
    <s v="MCB 32A"/>
    <x v="1"/>
    <s v="pcs"/>
    <n v="31"/>
    <n v="237"/>
    <n v="96"/>
    <n v="172"/>
    <n v="129"/>
    <x v="0"/>
    <n v="243.79"/>
    <n v="41932.339999999997"/>
    <s v="Lotus Agencies"/>
    <s v="OK"/>
    <s v="OK"/>
    <s v="OK"/>
  </r>
  <r>
    <x v="1"/>
    <x v="1"/>
    <s v="SKU-1034"/>
    <s v="MCB 32A (Bulk)"/>
    <x v="1"/>
    <s v="pcs"/>
    <n v="377"/>
    <n v="0"/>
    <n v="284"/>
    <n v="93"/>
    <n v="172"/>
    <x v="1"/>
    <n v="1101.99"/>
    <n v="102485.13"/>
    <s v="Northstar Enterprises"/>
    <s v="OK"/>
    <s v="OK"/>
    <s v="OK"/>
  </r>
  <r>
    <x v="1"/>
    <x v="1"/>
    <s v="SKU-1035"/>
    <s v="Emergency Light"/>
    <x v="1"/>
    <s v="pcs"/>
    <n v="136"/>
    <n v="0"/>
    <n v="42"/>
    <n v="94"/>
    <n v="45"/>
    <x v="0"/>
    <n v="708.81"/>
    <n v="66628.100000000006"/>
    <s v="Apex Trading Co."/>
    <s v="OK"/>
    <s v="OK"/>
    <s v="OK"/>
  </r>
  <r>
    <x v="1"/>
    <x v="1"/>
    <s v="SKU-1036"/>
    <s v="Emergency Light (Bulk)"/>
    <x v="1"/>
    <s v="pcs"/>
    <n v="447"/>
    <n v="0"/>
    <n v="99"/>
    <n v="348"/>
    <n v="161"/>
    <x v="0"/>
    <n v="3008.31"/>
    <n v="1046893.16"/>
    <s v="Greenleaf Supplies"/>
    <s v="OK"/>
    <s v="OK"/>
    <s v="OK"/>
  </r>
  <r>
    <x v="1"/>
    <x v="1"/>
    <s v="SKU-1037"/>
    <s v="Wall Socket"/>
    <x v="1"/>
    <s v="pcs"/>
    <n v="188"/>
    <n v="0"/>
    <n v="112"/>
    <n v="76"/>
    <n v="110"/>
    <x v="1"/>
    <n v="64.709999999999994"/>
    <n v="4917.95"/>
    <s v="Northstar Enterprises"/>
    <s v="OK"/>
    <s v="OK"/>
    <s v="OK"/>
  </r>
  <r>
    <x v="1"/>
    <x v="1"/>
    <s v="SKU-1038"/>
    <s v="Wall Socket (Bulk)"/>
    <x v="1"/>
    <s v="pcs"/>
    <n v="158"/>
    <n v="342"/>
    <n v="130"/>
    <n v="370"/>
    <n v="240"/>
    <x v="0"/>
    <n v="270.58999999999997"/>
    <n v="100117.45"/>
    <s v="Northstar Enterprises"/>
    <s v="OK"/>
    <s v="OK"/>
    <s v="OK"/>
  </r>
  <r>
    <x v="1"/>
    <x v="1"/>
    <s v="SKU-1039"/>
    <s v="Table Lamp"/>
    <x v="1"/>
    <s v="pcs"/>
    <n v="152"/>
    <n v="412"/>
    <n v="209"/>
    <n v="355"/>
    <n v="126"/>
    <x v="0"/>
    <n v="495.37"/>
    <n v="175857.37"/>
    <s v="Apex Trading Co."/>
    <s v="OK"/>
    <s v="OK"/>
    <s v="OK"/>
  </r>
  <r>
    <x v="1"/>
    <x v="1"/>
    <s v="SKU-1041"/>
    <s v="Basmati Rice"/>
    <x v="2"/>
    <s v="kg"/>
    <n v="11"/>
    <n v="84"/>
    <n v="30"/>
    <n v="65"/>
    <n v="51"/>
    <x v="0"/>
    <n v="100.34"/>
    <n v="6522.32"/>
    <s v="Lotus Agencies"/>
    <s v="OK"/>
    <s v="OK"/>
    <s v="OK"/>
  </r>
  <r>
    <x v="1"/>
    <x v="1"/>
    <s v="SKU-1042"/>
    <s v="Basmati Rice (Bulk)"/>
    <x v="2"/>
    <s v="kg"/>
    <n v="195"/>
    <n v="300"/>
    <n v="128"/>
    <n v="367"/>
    <n v="181"/>
    <x v="0"/>
    <n v="483.94"/>
    <n v="177605.81"/>
    <s v="Apex Trading Co."/>
    <s v="OK"/>
    <s v="OK"/>
    <s v="OK"/>
  </r>
  <r>
    <x v="1"/>
    <x v="1"/>
    <s v="SKU-1043"/>
    <s v="Toor Dal"/>
    <x v="2"/>
    <s v="kg"/>
    <n v="699"/>
    <n v="0"/>
    <n v="234"/>
    <n v="465"/>
    <n v="224"/>
    <x v="0"/>
    <n v="127.57"/>
    <n v="59318.69"/>
    <s v="Prime Packaging Works"/>
    <s v="OK"/>
    <s v="OK"/>
    <s v="OK"/>
  </r>
  <r>
    <x v="1"/>
    <x v="1"/>
    <s v="SKU-1045"/>
    <s v="Sugar"/>
    <x v="2"/>
    <s v="kg"/>
    <n v="738"/>
    <n v="0"/>
    <n v="250"/>
    <n v="488"/>
    <n v="283"/>
    <x v="0"/>
    <n v="41.23"/>
    <n v="20122.04"/>
    <s v="Northstar Enterprises"/>
    <s v="OK"/>
    <s v="OK"/>
    <s v="OK"/>
  </r>
  <r>
    <x v="1"/>
    <x v="1"/>
    <s v="SKU-1046"/>
    <s v="Sugar (Bulk)"/>
    <x v="2"/>
    <s v="kg"/>
    <n v="143"/>
    <n v="528"/>
    <n v="171"/>
    <n v="500"/>
    <n v="161"/>
    <x v="0"/>
    <n v="182.48"/>
    <n v="91237.5"/>
    <s v="Northstar Enterprises"/>
    <s v="OK"/>
    <s v="OK"/>
    <s v="OK"/>
  </r>
  <r>
    <x v="1"/>
    <x v="1"/>
    <s v="SKU-1049"/>
    <s v="Sunflower Oil (L)"/>
    <x v="2"/>
    <s v="kg"/>
    <n v="192"/>
    <n v="484"/>
    <n v="219"/>
    <n v="457"/>
    <n v="231"/>
    <x v="0"/>
    <n v="125.58"/>
    <n v="57389.5"/>
    <s v="Greenleaf Supplies"/>
    <s v="OK"/>
    <s v="OK"/>
    <s v="OK"/>
  </r>
  <r>
    <x v="1"/>
    <x v="1"/>
    <s v="SKU-1050"/>
    <s v="Sunflower Oil (L) (Bulk)"/>
    <x v="2"/>
    <s v="kg"/>
    <n v="206"/>
    <n v="0"/>
    <n v="113"/>
    <n v="93"/>
    <n v="118"/>
    <x v="1"/>
    <n v="587.05999999999995"/>
    <n v="54596.95"/>
    <s v="Unity Traders"/>
    <s v="OK"/>
    <s v="OK"/>
    <s v="OK"/>
  </r>
  <r>
    <x v="1"/>
    <x v="1"/>
    <s v="SKU-1051"/>
    <s v="Tea Leaves"/>
    <x v="2"/>
    <s v="kg"/>
    <n v="65"/>
    <n v="352"/>
    <n v="109"/>
    <n v="308"/>
    <n v="104"/>
    <x v="0"/>
    <n v="442.28"/>
    <n v="136223.37"/>
    <s v="Northstar Enterprises"/>
    <s v="OK"/>
    <s v="OK"/>
    <s v="OK"/>
  </r>
  <r>
    <x v="1"/>
    <x v="1"/>
    <s v="SKU-1052"/>
    <s v="Tea Leaves (Bulk)"/>
    <x v="2"/>
    <s v="kg"/>
    <n v="571"/>
    <n v="0"/>
    <n v="178"/>
    <n v="393"/>
    <n v="208"/>
    <x v="0"/>
    <n v="1765.07"/>
    <n v="693672.85"/>
    <s v="Lotus Agencies"/>
    <s v="OK"/>
    <s v="OK"/>
    <s v="OK"/>
  </r>
  <r>
    <x v="1"/>
    <x v="1"/>
    <s v="SKU-1053"/>
    <s v="Salt"/>
    <x v="2"/>
    <s v="kg"/>
    <n v="72"/>
    <n v="0"/>
    <n v="34"/>
    <n v="38"/>
    <n v="58"/>
    <x v="1"/>
    <n v="21.01"/>
    <n v="798.37"/>
    <s v="Apex Trading Co."/>
    <s v="OK"/>
    <s v="OK"/>
    <s v="OK"/>
  </r>
  <r>
    <x v="1"/>
    <x v="1"/>
    <s v="SKU-1054"/>
    <s v="Salt (Bulk)"/>
    <x v="2"/>
    <s v="kg"/>
    <n v="121"/>
    <n v="349"/>
    <n v="159"/>
    <n v="311"/>
    <n v="171"/>
    <x v="0"/>
    <n v="97.03"/>
    <n v="30175.46"/>
    <s v="Northstar Enterprises"/>
    <s v="OK"/>
    <s v="OK"/>
    <s v="OK"/>
  </r>
  <r>
    <x v="1"/>
    <x v="1"/>
    <s v="SKU-1055"/>
    <s v="Poha"/>
    <x v="2"/>
    <s v="kg"/>
    <n v="166"/>
    <n v="584"/>
    <n v="73"/>
    <n v="677"/>
    <n v="149"/>
    <x v="0"/>
    <n v="57.6"/>
    <n v="38996.449999999997"/>
    <s v="Prime Packaging Works"/>
    <s v="OK"/>
    <s v="OK"/>
    <s v="OK"/>
  </r>
  <r>
    <x v="1"/>
    <x v="1"/>
    <s v="SKU-1057"/>
    <s v="Chana Dal"/>
    <x v="2"/>
    <s v="kg"/>
    <n v="226"/>
    <n v="0"/>
    <n v="137"/>
    <n v="89"/>
    <n v="175"/>
    <x v="1"/>
    <n v="81.84"/>
    <n v="7284.01"/>
    <s v="Metro Wholesale"/>
    <s v="OK"/>
    <s v="OK"/>
    <s v="OK"/>
  </r>
  <r>
    <x v="1"/>
    <x v="1"/>
    <s v="SKU-1058"/>
    <s v="Chana Dal (Bulk)"/>
    <x v="2"/>
    <s v="kg"/>
    <n v="227"/>
    <n v="0"/>
    <n v="28"/>
    <n v="199"/>
    <n v="117"/>
    <x v="0"/>
    <n v="398.95"/>
    <n v="79390.98"/>
    <s v="Lotus Agencies"/>
    <s v="OK"/>
    <s v="OK"/>
    <s v="OK"/>
  </r>
  <r>
    <x v="1"/>
    <x v="1"/>
    <s v="SKU-1059"/>
    <s v="Jaggery"/>
    <x v="2"/>
    <s v="kg"/>
    <n v="225"/>
    <n v="0"/>
    <n v="55"/>
    <n v="170"/>
    <n v="52"/>
    <x v="0"/>
    <n v="63.13"/>
    <n v="10732.78"/>
    <s v="Metro Wholesale"/>
    <s v="OK"/>
    <s v="OK"/>
    <s v="OK"/>
  </r>
  <r>
    <x v="1"/>
    <x v="1"/>
    <s v="SKU-1060"/>
    <s v="Jaggery (Bulk)"/>
    <x v="2"/>
    <s v="kg"/>
    <n v="51"/>
    <n v="53"/>
    <n v="19"/>
    <n v="85"/>
    <n v="21"/>
    <x v="0"/>
    <n v="292.16000000000003"/>
    <n v="24833.22"/>
    <s v="Apex Trading Co."/>
    <s v="OK"/>
    <s v="OK"/>
    <s v="OK"/>
  </r>
  <r>
    <x v="1"/>
    <x v="1"/>
    <s v="SKU-1061"/>
    <s v="Hammer"/>
    <x v="3"/>
    <s v="pcs"/>
    <n v="232"/>
    <n v="0"/>
    <n v="111"/>
    <n v="121"/>
    <n v="183"/>
    <x v="1"/>
    <n v="277.14999999999998"/>
    <n v="33534.61"/>
    <s v="Northstar Enterprises"/>
    <s v="OK"/>
    <s v="OK"/>
    <s v="OK"/>
  </r>
  <r>
    <x v="1"/>
    <x v="1"/>
    <s v="SKU-1062"/>
    <s v="Hammer (Bulk)"/>
    <x v="3"/>
    <s v="pcs"/>
    <n v="68"/>
    <n v="0"/>
    <n v="26"/>
    <n v="42"/>
    <n v="41"/>
    <x v="0"/>
    <n v="1084.3"/>
    <n v="45540.52"/>
    <s v="Apex Trading Co."/>
    <s v="OK"/>
    <s v="OK"/>
    <s v="OK"/>
  </r>
  <r>
    <x v="1"/>
    <x v="1"/>
    <s v="SKU-1063"/>
    <s v="Screwdriver Set"/>
    <x v="3"/>
    <s v="pcs"/>
    <n v="229"/>
    <n v="516"/>
    <n v="235"/>
    <n v="510"/>
    <n v="286"/>
    <x v="0"/>
    <n v="324.94"/>
    <n v="165718.25"/>
    <s v="Sunrise Distributors"/>
    <s v="OK"/>
    <s v="OK"/>
    <s v="OK"/>
  </r>
  <r>
    <x v="1"/>
    <x v="1"/>
    <s v="SKU-1064"/>
    <s v="Screwdriver Set (Bulk)"/>
    <x v="3"/>
    <s v="pcs"/>
    <n v="507"/>
    <n v="0"/>
    <n v="189"/>
    <n v="318"/>
    <n v="175"/>
    <x v="0"/>
    <n v="1341.6"/>
    <n v="426628.96"/>
    <s v="Northstar Enterprises"/>
    <s v="OK"/>
    <s v="OK"/>
    <s v="OK"/>
  </r>
  <r>
    <x v="1"/>
    <x v="1"/>
    <s v="SKU-1065"/>
    <s v="Wall Plug Pack"/>
    <x v="3"/>
    <s v="pcs"/>
    <n v="358"/>
    <n v="212"/>
    <n v="110"/>
    <n v="460"/>
    <n v="111"/>
    <x v="0"/>
    <n v="48.33"/>
    <n v="22230.799999999999"/>
    <s v="Metro Wholesale"/>
    <s v="OK"/>
    <s v="OK"/>
    <s v="OK"/>
  </r>
  <r>
    <x v="1"/>
    <x v="1"/>
    <s v="SKU-1066"/>
    <s v="Wall Plug Pack (Bulk)"/>
    <x v="3"/>
    <s v="pcs"/>
    <n v="379"/>
    <n v="0"/>
    <n v="162"/>
    <n v="217"/>
    <n v="175"/>
    <x v="0"/>
    <n v="198.35"/>
    <n v="43042.95"/>
    <s v="Lotus Agencies"/>
    <s v="OK"/>
    <s v="OK"/>
    <s v="OK"/>
  </r>
  <r>
    <x v="1"/>
    <x v="1"/>
    <s v="SKU-1067"/>
    <s v="Padlock"/>
    <x v="3"/>
    <s v="pcs"/>
    <n v="144"/>
    <n v="439"/>
    <n v="119"/>
    <n v="464"/>
    <n v="158"/>
    <x v="0"/>
    <n v="204.13"/>
    <n v="94717.81"/>
    <s v="Metro Wholesale"/>
    <s v="OK"/>
    <s v="OK"/>
    <s v="OK"/>
  </r>
  <r>
    <x v="1"/>
    <x v="1"/>
    <s v="SKU-1068"/>
    <s v="Padlock (Bulk)"/>
    <x v="3"/>
    <s v="pcs"/>
    <n v="16"/>
    <n v="244"/>
    <n v="58"/>
    <n v="202"/>
    <n v="87"/>
    <x v="0"/>
    <n v="978.27"/>
    <n v="197609.92"/>
    <s v="Apex Trading Co."/>
    <s v="OK"/>
    <s v="OK"/>
    <s v="OK"/>
  </r>
  <r>
    <x v="1"/>
    <x v="1"/>
    <s v="SKU-1069"/>
    <s v="Measuring Tape 5m"/>
    <x v="3"/>
    <s v="pcs"/>
    <n v="51"/>
    <n v="118"/>
    <n v="34"/>
    <n v="135"/>
    <n v="44"/>
    <x v="0"/>
    <n v="136.94999999999999"/>
    <n v="18487.759999999998"/>
    <s v="Unity Traders"/>
    <s v="OK"/>
    <s v="OK"/>
    <s v="OK"/>
  </r>
  <r>
    <x v="1"/>
    <x v="1"/>
    <s v="SKU-1070"/>
    <s v="Measuring Tape 5m (Bulk)"/>
    <x v="3"/>
    <s v="pcs"/>
    <n v="225"/>
    <n v="517"/>
    <n v="156"/>
    <n v="586"/>
    <n v="225"/>
    <x v="0"/>
    <n v="616.62"/>
    <n v="361341.14"/>
    <s v="Northstar Enterprises"/>
    <s v="OK"/>
    <s v="OK"/>
    <s v="OK"/>
  </r>
  <r>
    <x v="1"/>
    <x v="1"/>
    <s v="SKU-1071"/>
    <s v="Spanner Set"/>
    <x v="3"/>
    <s v="pcs"/>
    <n v="61"/>
    <n v="0"/>
    <n v="25"/>
    <n v="36"/>
    <n v="42"/>
    <x v="1"/>
    <n v="684.82"/>
    <n v="24653.34"/>
    <s v="Prime Packaging Works"/>
    <s v="OK"/>
    <s v="OK"/>
    <s v="OK"/>
  </r>
  <r>
    <x v="1"/>
    <x v="1"/>
    <s v="SKU-1072"/>
    <s v="Spanner Set (Bulk)"/>
    <x v="3"/>
    <s v="pcs"/>
    <n v="278"/>
    <n v="0"/>
    <n v="187"/>
    <n v="91"/>
    <n v="138"/>
    <x v="1"/>
    <n v="2992.68"/>
    <n v="272333.65999999997"/>
    <s v="Greenleaf Supplies"/>
    <s v="OK"/>
    <s v="OK"/>
    <s v="OK"/>
  </r>
  <r>
    <x v="1"/>
    <x v="1"/>
    <s v="SKU-1073"/>
    <s v="Drill Bit Set"/>
    <x v="3"/>
    <s v="pcs"/>
    <n v="76"/>
    <n v="492"/>
    <n v="242"/>
    <n v="326"/>
    <n v="225"/>
    <x v="0"/>
    <n v="521.51"/>
    <n v="170011.38"/>
    <s v="Lotus Agencies"/>
    <s v="OK"/>
    <s v="OK"/>
    <s v="OK"/>
  </r>
  <r>
    <x v="1"/>
    <x v="1"/>
    <s v="SKU-1074"/>
    <s v="Drill Bit Set (Bulk)"/>
    <x v="3"/>
    <s v="pcs"/>
    <n v="173"/>
    <n v="321"/>
    <n v="134"/>
    <n v="360"/>
    <n v="162"/>
    <x v="0"/>
    <n v="2396.94"/>
    <n v="862900.01"/>
    <s v="Prime Packaging Works"/>
    <s v="OK"/>
    <s v="OK"/>
    <s v="OK"/>
  </r>
  <r>
    <x v="1"/>
    <x v="1"/>
    <s v="SKU-1075"/>
    <s v="Wood Screws Pack"/>
    <x v="3"/>
    <s v="pcs"/>
    <n v="0"/>
    <n v="403"/>
    <n v="168"/>
    <n v="235"/>
    <n v="130"/>
    <x v="0"/>
    <n v="69.88"/>
    <n v="16422.61"/>
    <s v="Prime Packaging Works"/>
    <s v="OK"/>
    <s v="OK"/>
    <s v="OK"/>
  </r>
  <r>
    <x v="1"/>
    <x v="1"/>
    <s v="SKU-1076"/>
    <s v="Wood Screws Pack (Bulk)"/>
    <x v="3"/>
    <s v="pcs"/>
    <n v="192"/>
    <n v="238"/>
    <n v="95"/>
    <n v="335"/>
    <n v="76"/>
    <x v="0"/>
    <n v="326"/>
    <n v="109209"/>
    <s v="Northstar Enterprises"/>
    <s v="OK"/>
    <s v="OK"/>
    <s v="OK"/>
  </r>
  <r>
    <x v="1"/>
    <x v="1"/>
    <s v="SKU-1078"/>
    <s v="Door Hinge (Bulk)"/>
    <x v="3"/>
    <s v="pcs"/>
    <n v="256"/>
    <n v="0"/>
    <n v="59"/>
    <n v="197"/>
    <n v="87"/>
    <x v="0"/>
    <n v="271.07"/>
    <n v="53400.84"/>
    <s v="Northstar Enterprises"/>
    <s v="OK"/>
    <s v="OK"/>
    <s v="OK"/>
  </r>
  <r>
    <x v="1"/>
    <x v="1"/>
    <s v="SKU-1079"/>
    <s v="Paint Brush"/>
    <x v="3"/>
    <s v="pcs"/>
    <n v="50"/>
    <n v="74"/>
    <n v="25"/>
    <n v="99"/>
    <n v="43"/>
    <x v="0"/>
    <n v="87.24"/>
    <n v="8637.09"/>
    <s v="Unity Traders"/>
    <s v="OK"/>
    <s v="OK"/>
    <s v="OK"/>
  </r>
  <r>
    <x v="1"/>
    <x v="1"/>
    <s v="SKU-1080"/>
    <s v="Paint Brush (Bulk)"/>
    <x v="3"/>
    <s v="pcs"/>
    <n v="95"/>
    <n v="261"/>
    <n v="152"/>
    <n v="204"/>
    <n v="133"/>
    <x v="0"/>
    <n v="416.91"/>
    <n v="85050.49"/>
    <s v="Sunrise Distributors"/>
    <s v="OK"/>
    <s v="OK"/>
    <s v="OK"/>
  </r>
  <r>
    <x v="1"/>
    <x v="1"/>
    <s v="SKU-1081"/>
    <s v="Floor Cleaner 1L"/>
    <x v="4"/>
    <s v="pcs"/>
    <n v="384"/>
    <n v="0"/>
    <n v="230"/>
    <n v="154"/>
    <n v="221"/>
    <x v="1"/>
    <n v="124.27"/>
    <n v="19137.07"/>
    <s v="Lotus Agencies"/>
    <s v="OK"/>
    <s v="OK"/>
    <s v="OK"/>
  </r>
  <r>
    <x v="1"/>
    <x v="1"/>
    <s v="SKU-1082"/>
    <s v="Floor Cleaner 1L (Bulk)"/>
    <x v="4"/>
    <s v="pcs"/>
    <n v="221"/>
    <n v="0"/>
    <n v="82"/>
    <n v="139"/>
    <n v="91"/>
    <x v="0"/>
    <n v="508.21"/>
    <n v="70641.77"/>
    <s v="Apex Trading Co."/>
    <s v="OK"/>
    <s v="OK"/>
    <s v="OK"/>
  </r>
  <r>
    <x v="1"/>
    <x v="1"/>
    <s v="SKU-1083"/>
    <s v="Dishwash Liquid 500ml"/>
    <x v="4"/>
    <s v="pcs"/>
    <n v="139"/>
    <n v="0"/>
    <n v="31"/>
    <n v="108"/>
    <n v="51"/>
    <x v="0"/>
    <n v="100.17"/>
    <n v="10818.53"/>
    <s v="Apex Trading Co."/>
    <s v="OK"/>
    <s v="OK"/>
    <s v="OK"/>
  </r>
  <r>
    <x v="1"/>
    <x v="1"/>
    <s v="SKU-1086"/>
    <s v="Phenyl 1L (Bulk)"/>
    <x v="4"/>
    <s v="pcs"/>
    <n v="39"/>
    <n v="352"/>
    <n v="132"/>
    <n v="259"/>
    <n v="109"/>
    <x v="0"/>
    <n v="320.04000000000002"/>
    <n v="82889.210000000006"/>
    <s v="Sunrise Distributors"/>
    <s v="OK"/>
    <s v="OK"/>
    <s v="OK"/>
  </r>
  <r>
    <x v="1"/>
    <x v="1"/>
    <s v="SKU-1087"/>
    <s v="Broom"/>
    <x v="4"/>
    <s v="pcs"/>
    <n v="285"/>
    <n v="0"/>
    <n v="139"/>
    <n v="146"/>
    <n v="122"/>
    <x v="0"/>
    <n v="107.73"/>
    <n v="15728.77"/>
    <s v="Apex Trading Co."/>
    <s v="OK"/>
    <s v="OK"/>
    <s v="OK"/>
  </r>
  <r>
    <x v="1"/>
    <x v="1"/>
    <s v="SKU-1088"/>
    <s v="Broom (Bulk)"/>
    <x v="4"/>
    <s v="pcs"/>
    <n v="74"/>
    <n v="231"/>
    <n v="54"/>
    <n v="251"/>
    <n v="79"/>
    <x v="0"/>
    <n v="516.14"/>
    <n v="129550.64"/>
    <s v="Apex Trading Co."/>
    <s v="OK"/>
    <s v="OK"/>
    <s v="OK"/>
  </r>
  <r>
    <x v="1"/>
    <x v="1"/>
    <s v="SKU-1089"/>
    <s v="Mop with Bucket"/>
    <x v="4"/>
    <s v="pcs"/>
    <n v="444"/>
    <n v="0"/>
    <n v="266"/>
    <n v="178"/>
    <n v="221"/>
    <x v="1"/>
    <n v="874.46"/>
    <n v="155654.42000000001"/>
    <s v="Greenleaf Supplies"/>
    <s v="OK"/>
    <s v="OK"/>
    <s v="OK"/>
  </r>
  <r>
    <x v="1"/>
    <x v="1"/>
    <s v="SKU-1090"/>
    <s v="Mop with Bucket (Bulk)"/>
    <x v="4"/>
    <s v="pcs"/>
    <n v="227"/>
    <n v="0"/>
    <n v="131"/>
    <n v="96"/>
    <n v="153"/>
    <x v="1"/>
    <n v="4554.95"/>
    <n v="437274.91"/>
    <s v="Greenleaf Supplies"/>
    <s v="OK"/>
    <s v="OK"/>
    <s v="OK"/>
  </r>
  <r>
    <x v="1"/>
    <x v="1"/>
    <s v="SKU-1091"/>
    <s v="Garbage Bags Roll"/>
    <x v="4"/>
    <s v="pcs"/>
    <n v="648"/>
    <n v="0"/>
    <n v="261"/>
    <n v="387"/>
    <n v="283"/>
    <x v="0"/>
    <n v="86.65"/>
    <n v="33534.68"/>
    <s v="Apex Trading Co."/>
    <s v="OK"/>
    <s v="OK"/>
    <s v="OK"/>
  </r>
  <r>
    <x v="1"/>
    <x v="1"/>
    <s v="SKU-1092"/>
    <s v="Garbage Bags Roll (Bulk)"/>
    <x v="4"/>
    <s v="pcs"/>
    <n v="65"/>
    <n v="0"/>
    <n v="55"/>
    <n v="10"/>
    <n v="45"/>
    <x v="1"/>
    <n v="406.62"/>
    <n v="4066.2"/>
    <s v="Metro Wholesale"/>
    <s v="OK"/>
    <s v="OK"/>
    <s v="OK"/>
  </r>
  <r>
    <x v="1"/>
    <x v="1"/>
    <s v="SKU-1093"/>
    <s v="Hand Wash 250ml"/>
    <x v="4"/>
    <s v="pcs"/>
    <n v="203"/>
    <n v="307"/>
    <n v="93"/>
    <n v="417"/>
    <n v="115"/>
    <x v="0"/>
    <n v="72.41"/>
    <n v="30193.34"/>
    <s v="Greenleaf Supplies"/>
    <s v="OK"/>
    <s v="OK"/>
    <s v="OK"/>
  </r>
  <r>
    <x v="1"/>
    <x v="1"/>
    <s v="SKU-1094"/>
    <s v="Hand Wash 250ml (Bulk)"/>
    <x v="4"/>
    <s v="pcs"/>
    <n v="186"/>
    <n v="0"/>
    <n v="94"/>
    <n v="92"/>
    <n v="124"/>
    <x v="1"/>
    <n v="357.16"/>
    <n v="32858.58"/>
    <s v="Metro Wholesale"/>
    <s v="OK"/>
    <s v="OK"/>
    <s v="OK"/>
  </r>
  <r>
    <x v="1"/>
    <x v="1"/>
    <s v="SKU-1096"/>
    <s v="Glass Cleaner (Bulk)"/>
    <x v="4"/>
    <s v="pcs"/>
    <n v="250"/>
    <n v="385"/>
    <n v="94"/>
    <n v="541"/>
    <n v="243"/>
    <x v="0"/>
    <n v="458.54"/>
    <n v="248071.32"/>
    <s v="Sunrise Distributors"/>
    <s v="OK"/>
    <s v="OK"/>
    <s v="OK"/>
  </r>
  <r>
    <x v="1"/>
    <x v="1"/>
    <s v="SKU-1099"/>
    <s v="Dustbin 20L"/>
    <x v="4"/>
    <s v="pcs"/>
    <n v="172"/>
    <n v="499"/>
    <n v="193"/>
    <n v="478"/>
    <n v="161"/>
    <x v="0"/>
    <n v="331.73"/>
    <n v="158564.87"/>
    <s v="Unity Traders"/>
    <s v="OK"/>
    <s v="OK"/>
    <s v="OK"/>
  </r>
  <r>
    <x v="1"/>
    <x v="1"/>
    <s v="SKU-1102"/>
    <s v="Corrugated Box Small (Bulk)"/>
    <x v="5"/>
    <s v="pcs"/>
    <n v="90"/>
    <n v="0"/>
    <n v="34"/>
    <n v="56"/>
    <n v="49"/>
    <x v="0"/>
    <n v="83.21"/>
    <n v="4659.8900000000003"/>
    <s v="Sunrise Distributors"/>
    <s v="OK"/>
    <s v="OK"/>
    <s v="OK"/>
  </r>
  <r>
    <x v="1"/>
    <x v="1"/>
    <s v="SKU-1103"/>
    <s v="Corrugated Box Large"/>
    <x v="5"/>
    <s v="pcs"/>
    <n v="2"/>
    <n v="164"/>
    <n v="71"/>
    <n v="95"/>
    <n v="55"/>
    <x v="0"/>
    <n v="45.29"/>
    <n v="4302.7700000000004"/>
    <s v="Metro Wholesale"/>
    <s v="OK"/>
    <s v="OK"/>
    <s v="OK"/>
  </r>
  <r>
    <x v="1"/>
    <x v="1"/>
    <s v="SKU-1107"/>
    <s v="Packing Tape"/>
    <x v="5"/>
    <s v="pcs"/>
    <n v="44"/>
    <n v="82"/>
    <n v="36"/>
    <n v="90"/>
    <n v="47"/>
    <x v="0"/>
    <n v="48.96"/>
    <n v="4406.16"/>
    <s v="Unity Traders"/>
    <s v="OK"/>
    <s v="OK"/>
    <s v="OK"/>
  </r>
  <r>
    <x v="1"/>
    <x v="1"/>
    <s v="SKU-1108"/>
    <s v="Packing Tape (Bulk)"/>
    <x v="5"/>
    <s v="pcs"/>
    <n v="38"/>
    <n v="0"/>
    <n v="13"/>
    <n v="25"/>
    <n v="23"/>
    <x v="0"/>
    <n v="192.44"/>
    <n v="4811.03"/>
    <s v="Northstar Enterprises"/>
    <s v="OK"/>
    <s v="OK"/>
    <s v="OK"/>
  </r>
  <r>
    <x v="1"/>
    <x v="1"/>
    <s v="SKU-1110"/>
    <s v="Courier Bag Pack (Bulk)"/>
    <x v="5"/>
    <s v="pcs"/>
    <n v="155"/>
    <n v="0"/>
    <n v="96"/>
    <n v="59"/>
    <n v="84"/>
    <x v="1"/>
    <n v="777.17"/>
    <n v="45852.95"/>
    <s v="Greenleaf Supplies"/>
    <s v="OK"/>
    <s v="OK"/>
    <s v="OK"/>
  </r>
  <r>
    <x v="1"/>
    <x v="1"/>
    <s v="SKU-1111"/>
    <s v="Stretch Film Roll"/>
    <x v="5"/>
    <s v="pcs"/>
    <n v="151"/>
    <n v="519"/>
    <n v="173"/>
    <n v="497"/>
    <n v="165"/>
    <x v="0"/>
    <n v="511.91"/>
    <n v="254419.62"/>
    <s v="Sunrise Distributors"/>
    <s v="OK"/>
    <s v="OK"/>
    <s v="OK"/>
  </r>
  <r>
    <x v="1"/>
    <x v="1"/>
    <s v="SKU-1112"/>
    <s v="Stretch Film Roll (Bulk)"/>
    <x v="5"/>
    <s v="pcs"/>
    <n v="143"/>
    <n v="372"/>
    <n v="143"/>
    <n v="372"/>
    <n v="148"/>
    <x v="0"/>
    <n v="2312.1"/>
    <n v="860101.46"/>
    <s v="Greenleaf Supplies"/>
    <s v="OK"/>
    <s v="OK"/>
    <s v="OK"/>
  </r>
  <r>
    <x v="1"/>
    <x v="1"/>
    <s v="SKU-1113"/>
    <s v="Kraft Paper Roll"/>
    <x v="5"/>
    <s v="pcs"/>
    <n v="271"/>
    <n v="0"/>
    <n v="226"/>
    <n v="45"/>
    <n v="187"/>
    <x v="1"/>
    <n v="291.01"/>
    <n v="13095.36"/>
    <s v="Sunrise Distributors"/>
    <s v="OK"/>
    <s v="OK"/>
    <s v="OK"/>
  </r>
  <r>
    <x v="1"/>
    <x v="1"/>
    <s v="SKU-1116"/>
    <s v="Label Sticker Roll (Bulk)"/>
    <x v="5"/>
    <s v="pcs"/>
    <n v="274"/>
    <n v="0"/>
    <n v="202"/>
    <n v="72"/>
    <n v="203"/>
    <x v="1"/>
    <n v="994.99"/>
    <n v="71639.09"/>
    <s v="Apex Trading Co."/>
    <s v="OK"/>
    <s v="OK"/>
    <s v="OK"/>
  </r>
  <r>
    <x v="1"/>
    <x v="1"/>
    <s v="SKU-1117"/>
    <s v="Thermocol Sheet"/>
    <x v="5"/>
    <s v="pcs"/>
    <n v="211"/>
    <n v="685"/>
    <n v="153"/>
    <n v="743"/>
    <n v="311"/>
    <x v="0"/>
    <n v="33.479999999999997"/>
    <n v="24879.119999999999"/>
    <s v="Prime Packaging Works"/>
    <s v="OK"/>
    <s v="OK"/>
    <s v="OK"/>
  </r>
  <r>
    <x v="1"/>
    <x v="1"/>
    <s v="SKU-1118"/>
    <s v="Thermocol Sheet (Bulk)"/>
    <x v="5"/>
    <s v="pcs"/>
    <n v="189"/>
    <n v="0"/>
    <n v="53"/>
    <n v="136"/>
    <n v="109"/>
    <x v="0"/>
    <n v="172.42"/>
    <n v="23449.71"/>
    <s v="Northstar Enterprises"/>
    <s v="OK"/>
    <s v="OK"/>
    <s v="OK"/>
  </r>
  <r>
    <x v="1"/>
    <x v="1"/>
    <s v="SKU-1120"/>
    <s v="Twine Roll (Bulk)"/>
    <x v="5"/>
    <s v="pcs"/>
    <n v="48"/>
    <n v="420"/>
    <n v="89"/>
    <n v="379"/>
    <n v="160"/>
    <x v="0"/>
    <n v="284.98"/>
    <n v="108009.01"/>
    <s v="Sunrise Distributors"/>
    <s v="OK"/>
    <s v="OK"/>
    <s v="OK"/>
  </r>
  <r>
    <x v="1"/>
    <x v="2"/>
    <s v="SKU-1001"/>
    <s v="A4 Paper Ream"/>
    <x v="0"/>
    <s v="pcs"/>
    <n v="523"/>
    <n v="0"/>
    <n v="284"/>
    <n v="239"/>
    <n v="230"/>
    <x v="0"/>
    <n v="280.97000000000003"/>
    <n v="67151.899999999994"/>
    <s v="Lotus Agencies"/>
    <s v="OK"/>
    <s v="OK"/>
    <s v="OK"/>
  </r>
  <r>
    <x v="1"/>
    <x v="2"/>
    <s v="SKU-1002"/>
    <s v="A4 Paper Ream (Bulk)"/>
    <x v="0"/>
    <s v="pcs"/>
    <n v="304"/>
    <n v="0"/>
    <n v="211"/>
    <n v="93"/>
    <n v="189"/>
    <x v="1"/>
    <n v="1146.95"/>
    <n v="106666.12"/>
    <s v="Prime Packaging Works"/>
    <s v="OK"/>
    <s v="OK"/>
    <s v="OK"/>
  </r>
  <r>
    <x v="1"/>
    <x v="2"/>
    <s v="SKU-1003"/>
    <s v="Ball Pen Box"/>
    <x v="0"/>
    <s v="pcs"/>
    <n v="214"/>
    <n v="679"/>
    <n v="255"/>
    <n v="638"/>
    <n v="181"/>
    <x v="0"/>
    <n v="98.71"/>
    <n v="62976.12"/>
    <s v="Lotus Agencies"/>
    <s v="OK"/>
    <s v="OK"/>
    <s v="OK"/>
  </r>
  <r>
    <x v="1"/>
    <x v="2"/>
    <s v="SKU-1005"/>
    <s v="Stapler"/>
    <x v="0"/>
    <s v="pcs"/>
    <n v="28"/>
    <n v="143"/>
    <n v="47"/>
    <n v="124"/>
    <n v="67"/>
    <x v="0"/>
    <n v="109.52"/>
    <n v="13580.92"/>
    <s v="Lotus Agencies"/>
    <s v="OK"/>
    <s v="OK"/>
    <s v="OK"/>
  </r>
  <r>
    <x v="1"/>
    <x v="2"/>
    <s v="SKU-1006"/>
    <s v="Stapler (Bulk)"/>
    <x v="0"/>
    <s v="pcs"/>
    <n v="20"/>
    <n v="57"/>
    <n v="24"/>
    <n v="53"/>
    <n v="29"/>
    <x v="0"/>
    <n v="609.58000000000004"/>
    <n v="32307.55"/>
    <s v="Metro Wholesale"/>
    <s v="OK"/>
    <s v="OK"/>
    <s v="OK"/>
  </r>
  <r>
    <x v="1"/>
    <x v="2"/>
    <s v="SKU-1007"/>
    <s v="Box File"/>
    <x v="0"/>
    <s v="pcs"/>
    <n v="461"/>
    <n v="0"/>
    <n v="79"/>
    <n v="382"/>
    <n v="75"/>
    <x v="0"/>
    <n v="80.959999999999994"/>
    <n v="30928.12"/>
    <s v="Lotus Agencies"/>
    <s v="OK"/>
    <s v="OK"/>
    <s v="OK"/>
  </r>
  <r>
    <x v="1"/>
    <x v="2"/>
    <s v="SKU-1009"/>
    <s v="Whiteboard Marker Set"/>
    <x v="0"/>
    <s v="pcs"/>
    <n v="486"/>
    <n v="0"/>
    <n v="128"/>
    <n v="358"/>
    <n v="200"/>
    <x v="0"/>
    <n v="154.29"/>
    <n v="55234.080000000002"/>
    <s v="Unity Traders"/>
    <s v="OK"/>
    <s v="OK"/>
    <s v="OK"/>
  </r>
  <r>
    <x v="1"/>
    <x v="2"/>
    <s v="SKU-1010"/>
    <s v="Whiteboard Marker Set (Bulk)"/>
    <x v="0"/>
    <s v="pcs"/>
    <n v="425"/>
    <n v="0"/>
    <n v="255"/>
    <n v="170"/>
    <n v="238"/>
    <x v="1"/>
    <n v="769.06"/>
    <n v="130740.82"/>
    <s v="Greenleaf Supplies"/>
    <s v="OK"/>
    <s v="OK"/>
    <s v="OK"/>
  </r>
  <r>
    <x v="1"/>
    <x v="2"/>
    <s v="SKU-1012"/>
    <s v="Sticky Notes Pack (Bulk)"/>
    <x v="0"/>
    <s v="pcs"/>
    <n v="0"/>
    <n v="218"/>
    <n v="68"/>
    <n v="150"/>
    <n v="85"/>
    <x v="0"/>
    <n v="264.55"/>
    <n v="39682.78"/>
    <s v="Lotus Agencies"/>
    <s v="OK"/>
    <s v="OK"/>
    <s v="OK"/>
  </r>
  <r>
    <x v="1"/>
    <x v="2"/>
    <s v="SKU-1013"/>
    <s v="Notebook 200 pages"/>
    <x v="0"/>
    <s v="pcs"/>
    <n v="301"/>
    <n v="0"/>
    <n v="243"/>
    <n v="58"/>
    <n v="220"/>
    <x v="1"/>
    <n v="55.47"/>
    <n v="3217.42"/>
    <s v="Greenleaf Supplies"/>
    <s v="OK"/>
    <s v="OK"/>
    <s v="OK"/>
  </r>
  <r>
    <x v="1"/>
    <x v="2"/>
    <s v="SKU-1015"/>
    <s v="Calculator"/>
    <x v="0"/>
    <s v="pcs"/>
    <n v="17"/>
    <n v="80"/>
    <n v="54"/>
    <n v="43"/>
    <n v="37"/>
    <x v="0"/>
    <n v="412.62"/>
    <n v="17742.810000000001"/>
    <s v="Lotus Agencies"/>
    <s v="OK"/>
    <s v="OK"/>
    <s v="OK"/>
  </r>
  <r>
    <x v="1"/>
    <x v="2"/>
    <s v="SKU-1016"/>
    <s v="Calculator (Bulk)"/>
    <x v="0"/>
    <s v="pcs"/>
    <n v="102"/>
    <n v="347"/>
    <n v="74"/>
    <n v="375"/>
    <n v="137"/>
    <x v="0"/>
    <n v="1920.61"/>
    <n v="720229.61"/>
    <s v="Sunrise Distributors"/>
    <s v="OK"/>
    <s v="OK"/>
    <s v="OK"/>
  </r>
  <r>
    <x v="1"/>
    <x v="2"/>
    <s v="SKU-1017"/>
    <s v="Glue Stick"/>
    <x v="0"/>
    <s v="pcs"/>
    <n v="593"/>
    <n v="0"/>
    <n v="154"/>
    <n v="439"/>
    <n v="244"/>
    <x v="0"/>
    <n v="25.33"/>
    <n v="11120.15"/>
    <s v="Unity Traders"/>
    <s v="OK"/>
    <s v="OK"/>
    <s v="OK"/>
  </r>
  <r>
    <x v="1"/>
    <x v="2"/>
    <s v="SKU-1018"/>
    <s v="Glue Stick (Bulk)"/>
    <x v="0"/>
    <s v="pcs"/>
    <n v="69"/>
    <n v="223"/>
    <n v="76"/>
    <n v="216"/>
    <n v="58"/>
    <x v="0"/>
    <n v="118.06"/>
    <n v="25501.39"/>
    <s v="Greenleaf Supplies"/>
    <s v="OK"/>
    <s v="OK"/>
    <s v="OK"/>
  </r>
  <r>
    <x v="1"/>
    <x v="2"/>
    <s v="SKU-1019"/>
    <s v="Envelope Pack"/>
    <x v="0"/>
    <s v="pcs"/>
    <n v="237"/>
    <n v="0"/>
    <n v="56"/>
    <n v="181"/>
    <n v="70"/>
    <x v="0"/>
    <n v="74.239999999999995"/>
    <n v="13437.44"/>
    <s v="Unity Traders"/>
    <s v="OK"/>
    <s v="OK"/>
    <s v="OK"/>
  </r>
  <r>
    <x v="1"/>
    <x v="2"/>
    <s v="SKU-1021"/>
    <s v="LED Bulb 9W"/>
    <x v="1"/>
    <s v="pcs"/>
    <n v="199"/>
    <n v="604"/>
    <n v="247"/>
    <n v="556"/>
    <n v="182"/>
    <x v="0"/>
    <n v="95.95"/>
    <n v="53348.79"/>
    <s v="Prime Packaging Works"/>
    <s v="OK"/>
    <s v="OK"/>
    <s v="OK"/>
  </r>
  <r>
    <x v="1"/>
    <x v="2"/>
    <s v="SKU-1024"/>
    <s v="LED Tube Light 20W (Bulk)"/>
    <x v="1"/>
    <s v="pcs"/>
    <n v="202"/>
    <n v="665"/>
    <n v="114"/>
    <n v="753"/>
    <n v="258"/>
    <x v="0"/>
    <n v="1101.3399999999999"/>
    <n v="829309.45"/>
    <s v="Metro Wholesale"/>
    <s v="OK"/>
    <s v="OK"/>
    <s v="OK"/>
  </r>
  <r>
    <x v="1"/>
    <x v="2"/>
    <s v="SKU-1025"/>
    <s v="Extension Board"/>
    <x v="1"/>
    <s v="pcs"/>
    <n v="390"/>
    <n v="507"/>
    <n v="165"/>
    <n v="732"/>
    <n v="216"/>
    <x v="0"/>
    <n v="346.55"/>
    <n v="253675.94"/>
    <s v="Greenleaf Supplies"/>
    <s v="OK"/>
    <s v="OK"/>
    <s v="OK"/>
  </r>
  <r>
    <x v="1"/>
    <x v="2"/>
    <s v="SKU-1026"/>
    <s v="Extension Board (Bulk)"/>
    <x v="1"/>
    <s v="pcs"/>
    <n v="353"/>
    <n v="0"/>
    <n v="172"/>
    <n v="181"/>
    <n v="183"/>
    <x v="1"/>
    <n v="1805.75"/>
    <n v="326840.34999999998"/>
    <s v="Northstar Enterprises"/>
    <s v="OK"/>
    <s v="OK"/>
    <s v="OK"/>
  </r>
  <r>
    <x v="1"/>
    <x v="2"/>
    <s v="SKU-1027"/>
    <s v="Ceiling Fan"/>
    <x v="1"/>
    <s v="pcs"/>
    <n v="145"/>
    <n v="491"/>
    <n v="193"/>
    <n v="443"/>
    <n v="227"/>
    <x v="0"/>
    <n v="1694.63"/>
    <n v="750720.26"/>
    <s v="Metro Wholesale"/>
    <s v="OK"/>
    <s v="OK"/>
    <s v="OK"/>
  </r>
  <r>
    <x v="1"/>
    <x v="2"/>
    <s v="SKU-1031"/>
    <s v="Copper Wire 90m"/>
    <x v="1"/>
    <s v="pcs"/>
    <n v="534"/>
    <n v="0"/>
    <n v="121"/>
    <n v="413"/>
    <n v="173"/>
    <x v="0"/>
    <n v="1747.54"/>
    <n v="721734.21"/>
    <s v="Northstar Enterprises"/>
    <s v="OK"/>
    <s v="OK"/>
    <s v="OK"/>
  </r>
  <r>
    <x v="1"/>
    <x v="2"/>
    <s v="SKU-1032"/>
    <s v="Copper Wire 90m (Bulk)"/>
    <x v="1"/>
    <s v="pcs"/>
    <n v="145"/>
    <n v="347"/>
    <n v="131"/>
    <n v="361"/>
    <n v="141"/>
    <x v="0"/>
    <n v="8131.36"/>
    <n v="2935421.74"/>
    <s v="Prime Packaging Works"/>
    <s v="OK"/>
    <s v="OK"/>
    <s v="OK"/>
  </r>
  <r>
    <x v="1"/>
    <x v="2"/>
    <s v="SKU-1033"/>
    <s v="MCB 32A"/>
    <x v="1"/>
    <s v="pcs"/>
    <n v="24"/>
    <n v="74"/>
    <n v="22"/>
    <n v="76"/>
    <n v="37"/>
    <x v="0"/>
    <n v="249.83"/>
    <n v="18986.86"/>
    <s v="Lotus Agencies"/>
    <s v="OK"/>
    <s v="OK"/>
    <s v="OK"/>
  </r>
  <r>
    <x v="1"/>
    <x v="2"/>
    <s v="SKU-1034"/>
    <s v="MCB 32A (Bulk)"/>
    <x v="1"/>
    <s v="pcs"/>
    <n v="74"/>
    <n v="0"/>
    <n v="28"/>
    <n v="46"/>
    <n v="22"/>
    <x v="0"/>
    <n v="1311.9"/>
    <n v="60347.56"/>
    <s v="Northstar Enterprises"/>
    <s v="OK"/>
    <s v="OK"/>
    <s v="OK"/>
  </r>
  <r>
    <x v="1"/>
    <x v="2"/>
    <s v="SKU-1035"/>
    <s v="Emergency Light"/>
    <x v="1"/>
    <s v="pcs"/>
    <n v="94"/>
    <n v="260"/>
    <n v="110"/>
    <n v="244"/>
    <n v="180"/>
    <x v="0"/>
    <n v="670.83"/>
    <n v="163682.32"/>
    <s v="Apex Trading Co."/>
    <s v="OK"/>
    <s v="OK"/>
    <s v="OK"/>
  </r>
  <r>
    <x v="1"/>
    <x v="2"/>
    <s v="SKU-1036"/>
    <s v="Emergency Light (Bulk)"/>
    <x v="1"/>
    <s v="pcs"/>
    <n v="75"/>
    <n v="532"/>
    <n v="143"/>
    <n v="464"/>
    <n v="158"/>
    <x v="0"/>
    <n v="3436.63"/>
    <n v="1594597.26"/>
    <s v="Greenleaf Supplies"/>
    <s v="OK"/>
    <s v="OK"/>
    <s v="OK"/>
  </r>
  <r>
    <x v="1"/>
    <x v="2"/>
    <s v="SKU-1037"/>
    <s v="Wall Socket"/>
    <x v="1"/>
    <s v="pcs"/>
    <n v="124"/>
    <n v="451"/>
    <n v="167"/>
    <n v="408"/>
    <n v="198"/>
    <x v="0"/>
    <n v="58.48"/>
    <n v="23861.74"/>
    <s v="Northstar Enterprises"/>
    <s v="OK"/>
    <s v="OK"/>
    <s v="OK"/>
  </r>
  <r>
    <x v="1"/>
    <x v="2"/>
    <s v="SKU-1038"/>
    <s v="Wall Socket (Bulk)"/>
    <x v="1"/>
    <s v="pcs"/>
    <n v="794"/>
    <n v="0"/>
    <n v="149"/>
    <n v="645"/>
    <n v="260"/>
    <x v="0"/>
    <n v="270.33999999999997"/>
    <n v="174366.31"/>
    <s v="Northstar Enterprises"/>
    <s v="OK"/>
    <s v="OK"/>
    <s v="OK"/>
  </r>
  <r>
    <x v="1"/>
    <x v="2"/>
    <s v="SKU-1039"/>
    <s v="Table Lamp"/>
    <x v="1"/>
    <s v="pcs"/>
    <n v="299"/>
    <n v="0"/>
    <n v="277"/>
    <n v="22"/>
    <n v="246"/>
    <x v="1"/>
    <n v="566.4"/>
    <n v="12460.81"/>
    <s v="Apex Trading Co."/>
    <s v="OK"/>
    <s v="OK"/>
    <s v="OK"/>
  </r>
  <r>
    <x v="1"/>
    <x v="2"/>
    <s v="SKU-1040"/>
    <s v="Table Lamp (Bulk)"/>
    <x v="1"/>
    <s v="pcs"/>
    <n v="485"/>
    <n v="0"/>
    <n v="79"/>
    <n v="406"/>
    <n v="165"/>
    <x v="0"/>
    <n v="2211.27"/>
    <n v="897777.64"/>
    <s v="Northstar Enterprises"/>
    <s v="OK"/>
    <s v="OK"/>
    <s v="OK"/>
  </r>
  <r>
    <x v="1"/>
    <x v="2"/>
    <s v="SKU-1041"/>
    <s v="Basmati Rice"/>
    <x v="2"/>
    <s v="kg"/>
    <n v="181"/>
    <n v="305"/>
    <n v="186"/>
    <n v="300"/>
    <n v="190"/>
    <x v="0"/>
    <n v="91.89"/>
    <n v="27566.83"/>
    <s v="Lotus Agencies"/>
    <s v="OK"/>
    <s v="OK"/>
    <s v="OK"/>
  </r>
  <r>
    <x v="1"/>
    <x v="2"/>
    <s v="SKU-1042"/>
    <s v="Basmati Rice (Bulk)"/>
    <x v="2"/>
    <s v="kg"/>
    <n v="14"/>
    <n v="64"/>
    <n v="31"/>
    <n v="47"/>
    <n v="39"/>
    <x v="0"/>
    <n v="450.61"/>
    <n v="21178.47"/>
    <s v="Apex Trading Co."/>
    <s v="OK"/>
    <s v="OK"/>
    <s v="OK"/>
  </r>
  <r>
    <x v="1"/>
    <x v="2"/>
    <s v="SKU-1043"/>
    <s v="Toor Dal"/>
    <x v="2"/>
    <s v="kg"/>
    <n v="95"/>
    <n v="268"/>
    <n v="97"/>
    <n v="266"/>
    <n v="131"/>
    <x v="0"/>
    <n v="128.63"/>
    <n v="34214.83"/>
    <s v="Prime Packaging Works"/>
    <s v="OK"/>
    <s v="OK"/>
    <s v="OK"/>
  </r>
  <r>
    <x v="1"/>
    <x v="2"/>
    <s v="SKU-1044"/>
    <s v="Toor Dal (Bulk)"/>
    <x v="2"/>
    <s v="kg"/>
    <n v="1127"/>
    <n v="0"/>
    <n v="194"/>
    <n v="933"/>
    <n v="202"/>
    <x v="0"/>
    <n v="617.78"/>
    <n v="576388.06999999995"/>
    <s v="Unity Traders"/>
    <s v="OK"/>
    <s v="OK"/>
    <s v="OK"/>
  </r>
  <r>
    <x v="1"/>
    <x v="2"/>
    <s v="SKU-1045"/>
    <s v="Sugar"/>
    <x v="2"/>
    <s v="kg"/>
    <n v="561"/>
    <n v="0"/>
    <n v="195"/>
    <n v="366"/>
    <n v="315"/>
    <x v="0"/>
    <n v="45.24"/>
    <n v="16557.64"/>
    <s v="Northstar Enterprises"/>
    <s v="OK"/>
    <s v="OK"/>
    <s v="OK"/>
  </r>
  <r>
    <x v="1"/>
    <x v="2"/>
    <s v="SKU-1047"/>
    <s v="Wheat Atta"/>
    <x v="2"/>
    <s v="kg"/>
    <n v="112"/>
    <n v="244"/>
    <n v="78"/>
    <n v="278"/>
    <n v="121"/>
    <x v="0"/>
    <n v="41.64"/>
    <n v="11577.22"/>
    <s v="Greenleaf Supplies"/>
    <s v="OK"/>
    <s v="OK"/>
    <s v="OK"/>
  </r>
  <r>
    <x v="1"/>
    <x v="2"/>
    <s v="SKU-1048"/>
    <s v="Wheat Atta (Bulk)"/>
    <x v="2"/>
    <s v="kg"/>
    <n v="64"/>
    <n v="115"/>
    <n v="55"/>
    <n v="124"/>
    <n v="54"/>
    <x v="0"/>
    <n v="160.26"/>
    <n v="19872.41"/>
    <s v="Lotus Agencies"/>
    <s v="OK"/>
    <s v="OK"/>
    <s v="OK"/>
  </r>
  <r>
    <x v="1"/>
    <x v="2"/>
    <s v="SKU-1049"/>
    <s v="Sunflower Oil (L)"/>
    <x v="2"/>
    <s v="kg"/>
    <n v="25"/>
    <n v="89"/>
    <n v="24"/>
    <n v="90"/>
    <n v="38"/>
    <x v="0"/>
    <n v="133.07"/>
    <n v="11976.24"/>
    <s v="Greenleaf Supplies"/>
    <s v="OK"/>
    <s v="OK"/>
    <s v="OK"/>
  </r>
  <r>
    <x v="1"/>
    <x v="2"/>
    <s v="SKU-1050"/>
    <s v="Sunflower Oil (L) (Bulk)"/>
    <x v="2"/>
    <s v="kg"/>
    <n v="131"/>
    <n v="408"/>
    <n v="150"/>
    <n v="389"/>
    <n v="160"/>
    <x v="0"/>
    <n v="681.87"/>
    <n v="265246.83"/>
    <s v="Unity Traders"/>
    <s v="OK"/>
    <s v="OK"/>
    <s v="OK"/>
  </r>
  <r>
    <x v="1"/>
    <x v="2"/>
    <s v="SKU-1052"/>
    <s v="Tea Leaves (Bulk)"/>
    <x v="2"/>
    <s v="kg"/>
    <n v="107"/>
    <n v="254"/>
    <n v="119"/>
    <n v="242"/>
    <n v="121"/>
    <x v="0"/>
    <n v="1949.76"/>
    <n v="471842.44"/>
    <s v="Lotus Agencies"/>
    <s v="OK"/>
    <s v="OK"/>
    <s v="OK"/>
  </r>
  <r>
    <x v="1"/>
    <x v="2"/>
    <s v="SKU-1053"/>
    <s v="Salt"/>
    <x v="2"/>
    <s v="kg"/>
    <n v="353"/>
    <n v="0"/>
    <n v="66"/>
    <n v="287"/>
    <n v="121"/>
    <x v="0"/>
    <n v="20.34"/>
    <n v="5837.65"/>
    <s v="Apex Trading Co."/>
    <s v="OK"/>
    <s v="OK"/>
    <s v="OK"/>
  </r>
  <r>
    <x v="1"/>
    <x v="2"/>
    <s v="SKU-1054"/>
    <s v="Salt (Bulk)"/>
    <x v="2"/>
    <s v="kg"/>
    <n v="199"/>
    <n v="342"/>
    <n v="215"/>
    <n v="326"/>
    <n v="190"/>
    <x v="0"/>
    <n v="102.56"/>
    <n v="33433.42"/>
    <s v="Northstar Enterprises"/>
    <s v="OK"/>
    <s v="OK"/>
    <s v="OK"/>
  </r>
  <r>
    <x v="1"/>
    <x v="2"/>
    <s v="SKU-1055"/>
    <s v="Poha"/>
    <x v="2"/>
    <s v="kg"/>
    <n v="59"/>
    <n v="213"/>
    <n v="68"/>
    <n v="204"/>
    <n v="67"/>
    <x v="0"/>
    <n v="66.459999999999994"/>
    <n v="13557.39"/>
    <s v="Prime Packaging Works"/>
    <s v="OK"/>
    <s v="OK"/>
    <s v="OK"/>
  </r>
  <r>
    <x v="1"/>
    <x v="2"/>
    <s v="SKU-1056"/>
    <s v="Poha (Bulk)"/>
    <x v="2"/>
    <s v="kg"/>
    <n v="54"/>
    <n v="204"/>
    <n v="69"/>
    <n v="189"/>
    <n v="106"/>
    <x v="0"/>
    <n v="255.29"/>
    <n v="48248.88"/>
    <s v="Northstar Enterprises"/>
    <s v="OK"/>
    <s v="OK"/>
    <s v="OK"/>
  </r>
  <r>
    <x v="1"/>
    <x v="2"/>
    <s v="SKU-1057"/>
    <s v="Chana Dal"/>
    <x v="2"/>
    <s v="kg"/>
    <n v="352"/>
    <n v="0"/>
    <n v="178"/>
    <n v="174"/>
    <n v="211"/>
    <x v="1"/>
    <n v="89.41"/>
    <n v="15557.43"/>
    <s v="Metro Wholesale"/>
    <s v="OK"/>
    <s v="OK"/>
    <s v="OK"/>
  </r>
  <r>
    <x v="1"/>
    <x v="2"/>
    <s v="SKU-1058"/>
    <s v="Chana Dal (Bulk)"/>
    <x v="2"/>
    <s v="kg"/>
    <n v="134"/>
    <n v="0"/>
    <n v="24"/>
    <n v="110"/>
    <n v="42"/>
    <x v="0"/>
    <n v="402.3"/>
    <n v="44253.29"/>
    <s v="Lotus Agencies"/>
    <s v="OK"/>
    <s v="OK"/>
    <s v="OK"/>
  </r>
  <r>
    <x v="1"/>
    <x v="2"/>
    <s v="SKU-1059"/>
    <s v="Jaggery"/>
    <x v="2"/>
    <s v="kg"/>
    <n v="105"/>
    <n v="239"/>
    <n v="91"/>
    <n v="253"/>
    <n v="72"/>
    <x v="0"/>
    <n v="70.3"/>
    <n v="17785.04"/>
    <s v="Metro Wholesale"/>
    <s v="OK"/>
    <s v="OK"/>
    <s v="OK"/>
  </r>
  <r>
    <x v="1"/>
    <x v="2"/>
    <s v="SKU-1060"/>
    <s v="Jaggery (Bulk)"/>
    <x v="2"/>
    <s v="kg"/>
    <n v="366"/>
    <n v="0"/>
    <n v="117"/>
    <n v="249"/>
    <n v="246"/>
    <x v="0"/>
    <n v="308.64999999999998"/>
    <n v="76853.490000000005"/>
    <s v="Apex Trading Co."/>
    <s v="OK"/>
    <s v="OK"/>
    <s v="OK"/>
  </r>
  <r>
    <x v="1"/>
    <x v="2"/>
    <s v="SKU-1061"/>
    <s v="Hammer"/>
    <x v="3"/>
    <s v="pcs"/>
    <n v="535"/>
    <n v="0"/>
    <n v="198"/>
    <n v="337"/>
    <n v="205"/>
    <x v="0"/>
    <n v="244.94"/>
    <n v="82545.09"/>
    <s v="Northstar Enterprises"/>
    <s v="OK"/>
    <s v="OK"/>
    <s v="OK"/>
  </r>
  <r>
    <x v="1"/>
    <x v="2"/>
    <s v="SKU-1062"/>
    <s v="Hammer (Bulk)"/>
    <x v="3"/>
    <s v="pcs"/>
    <n v="145"/>
    <n v="0"/>
    <n v="50"/>
    <n v="95"/>
    <n v="58"/>
    <x v="0"/>
    <n v="1219.48"/>
    <n v="115850.66"/>
    <s v="Apex Trading Co."/>
    <s v="OK"/>
    <s v="OK"/>
    <s v="OK"/>
  </r>
  <r>
    <x v="1"/>
    <x v="2"/>
    <s v="SKU-1063"/>
    <s v="Screwdriver Set"/>
    <x v="3"/>
    <s v="pcs"/>
    <n v="82"/>
    <n v="205"/>
    <n v="108"/>
    <n v="179"/>
    <n v="123"/>
    <x v="0"/>
    <n v="328.49"/>
    <n v="58799.89"/>
    <s v="Sunrise Distributors"/>
    <s v="OK"/>
    <s v="OK"/>
    <s v="OK"/>
  </r>
  <r>
    <x v="1"/>
    <x v="2"/>
    <s v="SKU-1064"/>
    <s v="Screwdriver Set (Bulk)"/>
    <x v="3"/>
    <s v="pcs"/>
    <n v="57"/>
    <n v="0"/>
    <n v="35"/>
    <n v="22"/>
    <n v="33"/>
    <x v="1"/>
    <n v="1553.05"/>
    <n v="34167.19"/>
    <s v="Northstar Enterprises"/>
    <s v="OK"/>
    <s v="OK"/>
    <s v="OK"/>
  </r>
  <r>
    <x v="1"/>
    <x v="2"/>
    <s v="SKU-1065"/>
    <s v="Wall Plug Pack"/>
    <x v="3"/>
    <s v="pcs"/>
    <n v="203"/>
    <n v="0"/>
    <n v="155"/>
    <n v="48"/>
    <n v="164"/>
    <x v="1"/>
    <n v="41.26"/>
    <n v="1980.33"/>
    <s v="Metro Wholesale"/>
    <s v="OK"/>
    <s v="OK"/>
    <s v="OK"/>
  </r>
  <r>
    <x v="1"/>
    <x v="2"/>
    <s v="SKU-1066"/>
    <s v="Wall Plug Pack (Bulk)"/>
    <x v="3"/>
    <s v="pcs"/>
    <n v="146"/>
    <n v="684"/>
    <n v="208"/>
    <n v="622"/>
    <n v="267"/>
    <x v="0"/>
    <n v="215.04"/>
    <n v="133757.57999999999"/>
    <s v="Lotus Agencies"/>
    <s v="OK"/>
    <s v="OK"/>
    <s v="OK"/>
  </r>
  <r>
    <x v="1"/>
    <x v="2"/>
    <s v="SKU-1067"/>
    <s v="Padlock"/>
    <x v="3"/>
    <s v="pcs"/>
    <n v="145"/>
    <n v="228"/>
    <n v="74"/>
    <n v="299"/>
    <n v="121"/>
    <x v="0"/>
    <n v="216.21"/>
    <n v="64647.16"/>
    <s v="Metro Wholesale"/>
    <s v="OK"/>
    <s v="OK"/>
    <s v="OK"/>
  </r>
  <r>
    <x v="1"/>
    <x v="2"/>
    <s v="SKU-1068"/>
    <s v="Padlock (Bulk)"/>
    <x v="3"/>
    <s v="pcs"/>
    <n v="52"/>
    <n v="145"/>
    <n v="35"/>
    <n v="162"/>
    <n v="77"/>
    <x v="0"/>
    <n v="1049.95"/>
    <n v="170091.61"/>
    <s v="Apex Trading Co."/>
    <s v="OK"/>
    <s v="OK"/>
    <s v="OK"/>
  </r>
  <r>
    <x v="1"/>
    <x v="2"/>
    <s v="SKU-1069"/>
    <s v="Measuring Tape 5m"/>
    <x v="3"/>
    <s v="pcs"/>
    <n v="10"/>
    <n v="90"/>
    <n v="34"/>
    <n v="66"/>
    <n v="23"/>
    <x v="0"/>
    <n v="130.66999999999999"/>
    <n v="8624.15"/>
    <s v="Unity Traders"/>
    <s v="OK"/>
    <s v="OK"/>
    <s v="OK"/>
  </r>
  <r>
    <x v="1"/>
    <x v="2"/>
    <s v="SKU-1071"/>
    <s v="Spanner Set"/>
    <x v="3"/>
    <s v="pcs"/>
    <n v="57"/>
    <n v="208"/>
    <n v="86"/>
    <n v="179"/>
    <n v="105"/>
    <x v="0"/>
    <n v="707.73"/>
    <n v="126683.66"/>
    <s v="Prime Packaging Works"/>
    <s v="OK"/>
    <s v="OK"/>
    <s v="OK"/>
  </r>
  <r>
    <x v="1"/>
    <x v="2"/>
    <s v="SKU-1072"/>
    <s v="Spanner Set (Bulk)"/>
    <x v="3"/>
    <s v="pcs"/>
    <n v="731"/>
    <n v="0"/>
    <n v="89"/>
    <n v="642"/>
    <n v="276"/>
    <x v="0"/>
    <n v="3095.16"/>
    <n v="1987090.91"/>
    <s v="Greenleaf Supplies"/>
    <s v="OK"/>
    <s v="OK"/>
    <s v="OK"/>
  </r>
  <r>
    <x v="1"/>
    <x v="2"/>
    <s v="SKU-1074"/>
    <s v="Drill Bit Set (Bulk)"/>
    <x v="3"/>
    <s v="pcs"/>
    <n v="29"/>
    <n v="422"/>
    <n v="149"/>
    <n v="302"/>
    <n v="113"/>
    <x v="0"/>
    <n v="2233.9"/>
    <n v="674638.02"/>
    <s v="Prime Packaging Works"/>
    <s v="OK"/>
    <s v="OK"/>
    <s v="OK"/>
  </r>
  <r>
    <x v="1"/>
    <x v="2"/>
    <s v="SKU-1075"/>
    <s v="Wood Screws Pack"/>
    <x v="3"/>
    <s v="pcs"/>
    <n v="217"/>
    <n v="0"/>
    <n v="160"/>
    <n v="57"/>
    <n v="108"/>
    <x v="1"/>
    <n v="65.59"/>
    <n v="3738.44"/>
    <s v="Prime Packaging Works"/>
    <s v="OK"/>
    <s v="OK"/>
    <s v="OK"/>
  </r>
  <r>
    <x v="1"/>
    <x v="2"/>
    <s v="SKU-1076"/>
    <s v="Wood Screws Pack (Bulk)"/>
    <x v="3"/>
    <s v="pcs"/>
    <n v="148"/>
    <n v="400"/>
    <n v="136"/>
    <n v="412"/>
    <n v="195"/>
    <x v="0"/>
    <n v="346.66"/>
    <n v="142824.46"/>
    <s v="Northstar Enterprises"/>
    <s v="OK"/>
    <s v="OK"/>
    <s v="OK"/>
  </r>
  <r>
    <x v="1"/>
    <x v="2"/>
    <s v="SKU-1077"/>
    <s v="Door Hinge"/>
    <x v="3"/>
    <s v="pcs"/>
    <n v="286"/>
    <n v="0"/>
    <n v="118"/>
    <n v="168"/>
    <n v="179"/>
    <x v="1"/>
    <n v="50.4"/>
    <n v="8466.7099999999991"/>
    <s v="Unity Traders"/>
    <s v="OK"/>
    <s v="OK"/>
    <s v="OK"/>
  </r>
  <r>
    <x v="1"/>
    <x v="2"/>
    <s v="SKU-1078"/>
    <s v="Door Hinge (Bulk)"/>
    <x v="3"/>
    <s v="pcs"/>
    <n v="197"/>
    <n v="348"/>
    <n v="76"/>
    <n v="469"/>
    <n v="176"/>
    <x v="0"/>
    <n v="266.95"/>
    <n v="125198.04"/>
    <s v="Northstar Enterprises"/>
    <s v="OK"/>
    <s v="OK"/>
    <s v="OK"/>
  </r>
  <r>
    <x v="1"/>
    <x v="2"/>
    <s v="SKU-1079"/>
    <s v="Paint Brush"/>
    <x v="3"/>
    <s v="pcs"/>
    <n v="66"/>
    <n v="201"/>
    <n v="113"/>
    <n v="154"/>
    <n v="125"/>
    <x v="0"/>
    <n v="87.27"/>
    <n v="13439.81"/>
    <s v="Unity Traders"/>
    <s v="OK"/>
    <s v="OK"/>
    <s v="OK"/>
  </r>
  <r>
    <x v="1"/>
    <x v="2"/>
    <s v="SKU-1080"/>
    <s v="Paint Brush (Bulk)"/>
    <x v="3"/>
    <s v="pcs"/>
    <n v="65"/>
    <n v="175"/>
    <n v="56"/>
    <n v="184"/>
    <n v="109"/>
    <x v="0"/>
    <n v="415.36"/>
    <n v="76425.429999999993"/>
    <s v="Sunrise Distributors"/>
    <s v="OK"/>
    <s v="OK"/>
    <s v="OK"/>
  </r>
  <r>
    <x v="1"/>
    <x v="2"/>
    <s v="SKU-1081"/>
    <s v="Floor Cleaner 1L"/>
    <x v="4"/>
    <s v="pcs"/>
    <n v="367"/>
    <n v="450"/>
    <n v="132"/>
    <n v="685"/>
    <n v="156"/>
    <x v="0"/>
    <n v="109.7"/>
    <n v="75144.66"/>
    <s v="Lotus Agencies"/>
    <s v="OK"/>
    <s v="OK"/>
    <s v="OK"/>
  </r>
  <r>
    <x v="1"/>
    <x v="2"/>
    <s v="SKU-1082"/>
    <s v="Floor Cleaner 1L (Bulk)"/>
    <x v="4"/>
    <s v="pcs"/>
    <n v="61"/>
    <n v="296"/>
    <n v="80"/>
    <n v="277"/>
    <n v="119"/>
    <x v="0"/>
    <n v="568.53"/>
    <n v="157483.99"/>
    <s v="Apex Trading Co."/>
    <s v="OK"/>
    <s v="OK"/>
    <s v="OK"/>
  </r>
  <r>
    <x v="1"/>
    <x v="2"/>
    <s v="SKU-1083"/>
    <s v="Dishwash Liquid 500ml"/>
    <x v="4"/>
    <s v="pcs"/>
    <n v="118"/>
    <n v="163"/>
    <n v="61"/>
    <n v="220"/>
    <n v="103"/>
    <x v="0"/>
    <n v="101.9"/>
    <n v="22418.65"/>
    <s v="Apex Trading Co."/>
    <s v="OK"/>
    <s v="OK"/>
    <s v="OK"/>
  </r>
  <r>
    <x v="1"/>
    <x v="2"/>
    <s v="SKU-1084"/>
    <s v="Dishwash Liquid 500ml (Bulk)"/>
    <x v="4"/>
    <s v="pcs"/>
    <n v="127"/>
    <n v="640"/>
    <n v="317"/>
    <n v="450"/>
    <n v="191"/>
    <x v="0"/>
    <n v="444.14"/>
    <n v="199864.52"/>
    <s v="Prime Packaging Works"/>
    <s v="OK"/>
    <s v="OK"/>
    <s v="OK"/>
  </r>
  <r>
    <x v="1"/>
    <x v="2"/>
    <s v="SKU-1085"/>
    <s v="Phenyl 1L"/>
    <x v="4"/>
    <s v="pcs"/>
    <n v="239"/>
    <n v="0"/>
    <n v="89"/>
    <n v="150"/>
    <n v="90"/>
    <x v="0"/>
    <n v="67.19"/>
    <n v="10079.14"/>
    <s v="Greenleaf Supplies"/>
    <s v="OK"/>
    <s v="OK"/>
    <s v="OK"/>
  </r>
  <r>
    <x v="1"/>
    <x v="2"/>
    <s v="SKU-1086"/>
    <s v="Phenyl 1L (Bulk)"/>
    <x v="4"/>
    <s v="pcs"/>
    <n v="29"/>
    <n v="117"/>
    <n v="43"/>
    <n v="103"/>
    <n v="34"/>
    <x v="0"/>
    <n v="329.79"/>
    <n v="33968"/>
    <s v="Sunrise Distributors"/>
    <s v="OK"/>
    <s v="OK"/>
    <s v="OK"/>
  </r>
  <r>
    <x v="1"/>
    <x v="2"/>
    <s v="SKU-1087"/>
    <s v="Broom"/>
    <x v="4"/>
    <s v="pcs"/>
    <n v="211"/>
    <n v="0"/>
    <n v="71"/>
    <n v="140"/>
    <n v="92"/>
    <x v="0"/>
    <n v="107.13"/>
    <n v="14997.6"/>
    <s v="Apex Trading Co."/>
    <s v="OK"/>
    <s v="OK"/>
    <s v="OK"/>
  </r>
  <r>
    <x v="1"/>
    <x v="2"/>
    <s v="SKU-1088"/>
    <s v="Broom (Bulk)"/>
    <x v="4"/>
    <s v="pcs"/>
    <n v="510"/>
    <n v="0"/>
    <n v="84"/>
    <n v="426"/>
    <n v="135"/>
    <x v="0"/>
    <n v="507.62"/>
    <n v="216246.67"/>
    <s v="Apex Trading Co."/>
    <s v="OK"/>
    <s v="OK"/>
    <s v="OK"/>
  </r>
  <r>
    <x v="1"/>
    <x v="2"/>
    <s v="SKU-1089"/>
    <s v="Mop with Bucket"/>
    <x v="4"/>
    <s v="pcs"/>
    <n v="0"/>
    <n v="323"/>
    <n v="90"/>
    <n v="233"/>
    <n v="138"/>
    <x v="0"/>
    <n v="860.43"/>
    <n v="200480.84"/>
    <s v="Greenleaf Supplies"/>
    <s v="OK"/>
    <s v="OK"/>
    <s v="OK"/>
  </r>
  <r>
    <x v="1"/>
    <x v="2"/>
    <s v="SKU-1090"/>
    <s v="Mop with Bucket (Bulk)"/>
    <x v="4"/>
    <s v="pcs"/>
    <n v="362"/>
    <n v="0"/>
    <n v="245"/>
    <n v="117"/>
    <n v="240"/>
    <x v="1"/>
    <n v="4160.68"/>
    <n v="486799.22"/>
    <s v="Greenleaf Supplies"/>
    <s v="OK"/>
    <s v="OK"/>
    <s v="OK"/>
  </r>
  <r>
    <x v="1"/>
    <x v="2"/>
    <s v="SKU-1091"/>
    <s v="Garbage Bags Roll"/>
    <x v="4"/>
    <s v="pcs"/>
    <n v="82"/>
    <n v="224"/>
    <n v="97"/>
    <n v="209"/>
    <n v="72"/>
    <x v="0"/>
    <n v="92.31"/>
    <n v="19292.93"/>
    <s v="Apex Trading Co."/>
    <s v="OK"/>
    <s v="OK"/>
    <s v="OK"/>
  </r>
  <r>
    <x v="1"/>
    <x v="2"/>
    <s v="SKU-1092"/>
    <s v="Garbage Bags Roll (Bulk)"/>
    <x v="4"/>
    <s v="pcs"/>
    <n v="558"/>
    <n v="0"/>
    <n v="119"/>
    <n v="439"/>
    <n v="168"/>
    <x v="0"/>
    <n v="421.48"/>
    <n v="185028.6"/>
    <s v="Metro Wholesale"/>
    <s v="OK"/>
    <s v="OK"/>
    <s v="OK"/>
  </r>
  <r>
    <x v="1"/>
    <x v="2"/>
    <s v="SKU-1093"/>
    <s v="Hand Wash 250ml"/>
    <x v="4"/>
    <s v="pcs"/>
    <n v="136"/>
    <n v="314"/>
    <n v="96"/>
    <n v="354"/>
    <n v="146"/>
    <x v="0"/>
    <n v="79.3"/>
    <n v="28071"/>
    <s v="Greenleaf Supplies"/>
    <s v="OK"/>
    <s v="OK"/>
    <s v="OK"/>
  </r>
  <r>
    <x v="1"/>
    <x v="2"/>
    <s v="SKU-1094"/>
    <s v="Hand Wash 250ml (Bulk)"/>
    <x v="4"/>
    <s v="pcs"/>
    <n v="136"/>
    <n v="0"/>
    <n v="55"/>
    <n v="81"/>
    <n v="97"/>
    <x v="1"/>
    <n v="324.29000000000002"/>
    <n v="26267.7"/>
    <s v="Metro Wholesale"/>
    <s v="OK"/>
    <s v="OK"/>
    <s v="OK"/>
  </r>
  <r>
    <x v="1"/>
    <x v="2"/>
    <s v="SKU-1095"/>
    <s v="Glass Cleaner"/>
    <x v="4"/>
    <s v="pcs"/>
    <n v="175"/>
    <n v="397"/>
    <n v="120"/>
    <n v="452"/>
    <n v="109"/>
    <x v="0"/>
    <n v="104.46"/>
    <n v="47217.7"/>
    <s v="Lotus Agencies"/>
    <s v="OK"/>
    <s v="OK"/>
    <s v="OK"/>
  </r>
  <r>
    <x v="1"/>
    <x v="2"/>
    <s v="SKU-1096"/>
    <s v="Glass Cleaner (Bulk)"/>
    <x v="4"/>
    <s v="pcs"/>
    <n v="84"/>
    <n v="251"/>
    <n v="44"/>
    <n v="291"/>
    <n v="107"/>
    <x v="0"/>
    <n v="422.63"/>
    <n v="122984.88"/>
    <s v="Sunrise Distributors"/>
    <s v="OK"/>
    <s v="OK"/>
    <s v="OK"/>
  </r>
  <r>
    <x v="1"/>
    <x v="2"/>
    <s v="SKU-1097"/>
    <s v="Scrub Pad Pack"/>
    <x v="4"/>
    <s v="pcs"/>
    <n v="352"/>
    <n v="0"/>
    <n v="223"/>
    <n v="129"/>
    <n v="231"/>
    <x v="1"/>
    <n v="39.08"/>
    <n v="5041.87"/>
    <s v="Greenleaf Supplies"/>
    <s v="OK"/>
    <s v="OK"/>
    <s v="OK"/>
  </r>
  <r>
    <x v="1"/>
    <x v="2"/>
    <s v="SKU-1098"/>
    <s v="Scrub Pad Pack (Bulk)"/>
    <x v="4"/>
    <s v="pcs"/>
    <n v="692"/>
    <n v="0"/>
    <n v="181"/>
    <n v="511"/>
    <n v="275"/>
    <x v="0"/>
    <n v="185.88"/>
    <n v="94982.46"/>
    <s v="Lotus Agencies"/>
    <s v="OK"/>
    <s v="OK"/>
    <s v="OK"/>
  </r>
  <r>
    <x v="1"/>
    <x v="2"/>
    <s v="SKU-1099"/>
    <s v="Dustbin 20L"/>
    <x v="4"/>
    <s v="pcs"/>
    <n v="447"/>
    <n v="0"/>
    <n v="150"/>
    <n v="297"/>
    <n v="97"/>
    <x v="0"/>
    <n v="329.28"/>
    <n v="97794.79"/>
    <s v="Unity Traders"/>
    <s v="OK"/>
    <s v="OK"/>
    <s v="OK"/>
  </r>
  <r>
    <x v="1"/>
    <x v="2"/>
    <s v="SKU-1101"/>
    <s v="Corrugated Box Small"/>
    <x v="5"/>
    <s v="pcs"/>
    <n v="179"/>
    <n v="0"/>
    <n v="72"/>
    <n v="107"/>
    <n v="125"/>
    <x v="1"/>
    <n v="18.2"/>
    <n v="1947.7"/>
    <s v="Metro Wholesale"/>
    <s v="OK"/>
    <s v="OK"/>
    <s v="OK"/>
  </r>
  <r>
    <x v="1"/>
    <x v="2"/>
    <s v="SKU-1102"/>
    <s v="Corrugated Box Small (Bulk)"/>
    <x v="5"/>
    <s v="pcs"/>
    <n v="232"/>
    <n v="0"/>
    <n v="78"/>
    <n v="154"/>
    <n v="101"/>
    <x v="0"/>
    <n v="91.34"/>
    <n v="14066.2"/>
    <s v="Sunrise Distributors"/>
    <s v="OK"/>
    <s v="OK"/>
    <s v="OK"/>
  </r>
  <r>
    <x v="1"/>
    <x v="2"/>
    <s v="SKU-1103"/>
    <s v="Corrugated Box Large"/>
    <x v="5"/>
    <s v="pcs"/>
    <n v="50"/>
    <n v="510"/>
    <n v="168"/>
    <n v="392"/>
    <n v="168"/>
    <x v="0"/>
    <n v="45.21"/>
    <n v="17721.54"/>
    <s v="Metro Wholesale"/>
    <s v="OK"/>
    <s v="OK"/>
    <s v="OK"/>
  </r>
  <r>
    <x v="1"/>
    <x v="2"/>
    <s v="SKU-1104"/>
    <s v="Corrugated Box Large (Bulk)"/>
    <x v="5"/>
    <s v="pcs"/>
    <n v="66"/>
    <n v="364"/>
    <n v="123"/>
    <n v="307"/>
    <n v="160"/>
    <x v="0"/>
    <n v="205.72"/>
    <n v="63156.83"/>
    <s v="Unity Traders"/>
    <s v="OK"/>
    <s v="OK"/>
    <s v="OK"/>
  </r>
  <r>
    <x v="1"/>
    <x v="2"/>
    <s v="SKU-1106"/>
    <s v="Bubble Wrap Roll (Bulk)"/>
    <x v="5"/>
    <s v="pcs"/>
    <n v="159"/>
    <n v="0"/>
    <n v="116"/>
    <n v="43"/>
    <n v="115"/>
    <x v="1"/>
    <n v="1778.24"/>
    <n v="76464.44"/>
    <s v="Apex Trading Co."/>
    <s v="OK"/>
    <s v="OK"/>
    <s v="OK"/>
  </r>
  <r>
    <x v="1"/>
    <x v="2"/>
    <s v="SKU-1107"/>
    <s v="Packing Tape"/>
    <x v="5"/>
    <s v="pcs"/>
    <n v="215"/>
    <n v="445"/>
    <n v="20"/>
    <n v="640"/>
    <n v="233"/>
    <x v="0"/>
    <n v="40.89"/>
    <n v="26171.81"/>
    <s v="Unity Traders"/>
    <s v="OK"/>
    <s v="OK"/>
    <s v="OK"/>
  </r>
  <r>
    <x v="1"/>
    <x v="2"/>
    <s v="SKU-1108"/>
    <s v="Packing Tape (Bulk)"/>
    <x v="5"/>
    <s v="pcs"/>
    <n v="197"/>
    <n v="331"/>
    <n v="131"/>
    <n v="397"/>
    <n v="165"/>
    <x v="0"/>
    <n v="219.94"/>
    <n v="87318.01"/>
    <s v="Northstar Enterprises"/>
    <s v="OK"/>
    <s v="OK"/>
    <s v="OK"/>
  </r>
  <r>
    <x v="1"/>
    <x v="2"/>
    <s v="SKU-1109"/>
    <s v="Courier Bag Pack"/>
    <x v="5"/>
    <s v="pcs"/>
    <n v="207"/>
    <n v="424"/>
    <n v="135"/>
    <n v="496"/>
    <n v="174"/>
    <x v="0"/>
    <n v="151.21"/>
    <n v="75000.27"/>
    <s v="Northstar Enterprises"/>
    <s v="OK"/>
    <s v="OK"/>
    <s v="OK"/>
  </r>
  <r>
    <x v="1"/>
    <x v="2"/>
    <s v="SKU-1112"/>
    <s v="Stretch Film Roll (Bulk)"/>
    <x v="5"/>
    <s v="pcs"/>
    <n v="266"/>
    <n v="0"/>
    <n v="142"/>
    <n v="124"/>
    <n v="177"/>
    <x v="1"/>
    <n v="2242.19"/>
    <n v="278031.40000000002"/>
    <s v="Greenleaf Supplies"/>
    <s v="OK"/>
    <s v="OK"/>
    <s v="OK"/>
  </r>
  <r>
    <x v="1"/>
    <x v="2"/>
    <s v="SKU-1113"/>
    <s v="Kraft Paper Roll"/>
    <x v="5"/>
    <s v="pcs"/>
    <n v="715"/>
    <n v="0"/>
    <n v="158"/>
    <n v="557"/>
    <n v="127"/>
    <x v="0"/>
    <n v="277.42"/>
    <n v="154522.26999999999"/>
    <s v="Sunrise Distributors"/>
    <s v="OK"/>
    <s v="OK"/>
    <s v="OK"/>
  </r>
  <r>
    <x v="1"/>
    <x v="2"/>
    <s v="SKU-1115"/>
    <s v="Label Sticker Roll"/>
    <x v="5"/>
    <s v="pcs"/>
    <n v="8"/>
    <n v="55"/>
    <n v="21"/>
    <n v="42"/>
    <n v="19"/>
    <x v="0"/>
    <n v="230.68"/>
    <n v="9688.6200000000008"/>
    <s v="Sunrise Distributors"/>
    <s v="OK"/>
    <s v="OK"/>
    <s v="OK"/>
  </r>
  <r>
    <x v="1"/>
    <x v="2"/>
    <s v="SKU-1116"/>
    <s v="Label Sticker Roll (Bulk)"/>
    <x v="5"/>
    <s v="pcs"/>
    <n v="204"/>
    <n v="0"/>
    <n v="101"/>
    <n v="103"/>
    <n v="133"/>
    <x v="1"/>
    <n v="1100.3499999999999"/>
    <n v="113335.89"/>
    <s v="Apex Trading Co."/>
    <s v="OK"/>
    <s v="OK"/>
    <s v="OK"/>
  </r>
  <r>
    <x v="1"/>
    <x v="2"/>
    <s v="SKU-1117"/>
    <s v="Thermocol Sheet"/>
    <x v="5"/>
    <s v="pcs"/>
    <n v="492"/>
    <n v="0"/>
    <n v="183"/>
    <n v="309"/>
    <n v="139"/>
    <x v="0"/>
    <n v="33.29"/>
    <n v="10286.06"/>
    <s v="Prime Packaging Works"/>
    <s v="OK"/>
    <s v="OK"/>
    <s v="OK"/>
  </r>
  <r>
    <x v="1"/>
    <x v="2"/>
    <s v="SKU-1118"/>
    <s v="Thermocol Sheet (Bulk)"/>
    <x v="5"/>
    <s v="pcs"/>
    <n v="53"/>
    <n v="240"/>
    <n v="53"/>
    <n v="240"/>
    <n v="103"/>
    <x v="0"/>
    <n v="155.13999999999999"/>
    <n v="37234.1"/>
    <s v="Northstar Enterprises"/>
    <s v="OK"/>
    <s v="OK"/>
    <s v="OK"/>
  </r>
  <r>
    <x v="1"/>
    <x v="2"/>
    <s v="SKU-1119"/>
    <s v="Twine Roll"/>
    <x v="5"/>
    <s v="pcs"/>
    <n v="171"/>
    <n v="0"/>
    <n v="39"/>
    <n v="132"/>
    <n v="72"/>
    <x v="0"/>
    <n v="58.29"/>
    <n v="7693.84"/>
    <s v="Prime Packaging Works"/>
    <s v="OK"/>
    <s v="OK"/>
    <s v="OK"/>
  </r>
  <r>
    <x v="1"/>
    <x v="2"/>
    <s v="SKU-1120"/>
    <s v="Twine Roll (Bulk)"/>
    <x v="5"/>
    <s v="pcs"/>
    <n v="109"/>
    <n v="539"/>
    <n v="238"/>
    <n v="410"/>
    <n v="226"/>
    <x v="0"/>
    <n v="288.88"/>
    <n v="118442.41"/>
    <s v="Sunrise Distributors"/>
    <s v="OK"/>
    <s v="OK"/>
    <s v="OK"/>
  </r>
  <r>
    <x v="1"/>
    <x v="3"/>
    <s v="SKU-1001"/>
    <s v="A4 Paper Ream"/>
    <x v="0"/>
    <s v="pcs"/>
    <n v="66"/>
    <n v="343"/>
    <n v="135"/>
    <n v="274"/>
    <n v="130"/>
    <x v="0"/>
    <n v="265.55"/>
    <n v="72760.56"/>
    <s v="Lotus Agencies"/>
    <s v="OK"/>
    <s v="OK"/>
    <s v="OK"/>
  </r>
  <r>
    <x v="1"/>
    <x v="3"/>
    <s v="SKU-1002"/>
    <s v="A4 Paper Ream (Bulk)"/>
    <x v="0"/>
    <s v="pcs"/>
    <n v="183"/>
    <n v="0"/>
    <n v="47"/>
    <n v="136"/>
    <n v="90"/>
    <x v="0"/>
    <n v="1157.3"/>
    <n v="157393.45000000001"/>
    <s v="Prime Packaging Works"/>
    <s v="OK"/>
    <s v="OK"/>
    <s v="OK"/>
  </r>
  <r>
    <x v="1"/>
    <x v="3"/>
    <s v="SKU-1003"/>
    <s v="Ball Pen Box"/>
    <x v="0"/>
    <s v="pcs"/>
    <n v="24"/>
    <n v="183"/>
    <n v="67"/>
    <n v="140"/>
    <n v="74"/>
    <x v="0"/>
    <n v="87.96"/>
    <n v="12314.79"/>
    <s v="Lotus Agencies"/>
    <s v="OK"/>
    <s v="OK"/>
    <s v="OK"/>
  </r>
  <r>
    <x v="1"/>
    <x v="3"/>
    <s v="SKU-1004"/>
    <s v="Ball Pen Box (Bulk)"/>
    <x v="0"/>
    <s v="pcs"/>
    <n v="516"/>
    <n v="0"/>
    <n v="175"/>
    <n v="341"/>
    <n v="280"/>
    <x v="0"/>
    <n v="384.58"/>
    <n v="131143.4"/>
    <s v="Northstar Enterprises"/>
    <s v="OK"/>
    <s v="OK"/>
    <s v="OK"/>
  </r>
  <r>
    <x v="1"/>
    <x v="3"/>
    <s v="SKU-1005"/>
    <s v="Stapler"/>
    <x v="0"/>
    <s v="pcs"/>
    <n v="285"/>
    <n v="0"/>
    <n v="101"/>
    <n v="184"/>
    <n v="163"/>
    <x v="0"/>
    <n v="128.57"/>
    <n v="23656.240000000002"/>
    <s v="Lotus Agencies"/>
    <s v="OK"/>
    <s v="OK"/>
    <s v="OK"/>
  </r>
  <r>
    <x v="1"/>
    <x v="3"/>
    <s v="SKU-1006"/>
    <s v="Stapler (Bulk)"/>
    <x v="0"/>
    <s v="pcs"/>
    <n v="740"/>
    <n v="0"/>
    <n v="138"/>
    <n v="602"/>
    <n v="287"/>
    <x v="0"/>
    <n v="530.49"/>
    <n v="319352.78000000003"/>
    <s v="Metro Wholesale"/>
    <s v="OK"/>
    <s v="OK"/>
    <s v="OK"/>
  </r>
  <r>
    <x v="1"/>
    <x v="3"/>
    <s v="SKU-1008"/>
    <s v="Box File (Bulk)"/>
    <x v="0"/>
    <s v="pcs"/>
    <n v="127"/>
    <n v="532"/>
    <n v="162"/>
    <n v="497"/>
    <n v="168"/>
    <x v="0"/>
    <n v="331.94"/>
    <n v="164972.91"/>
    <s v="Lotus Agencies"/>
    <s v="OK"/>
    <s v="OK"/>
    <s v="OK"/>
  </r>
  <r>
    <x v="1"/>
    <x v="3"/>
    <s v="SKU-1009"/>
    <s v="Whiteboard Marker Set"/>
    <x v="0"/>
    <s v="pcs"/>
    <n v="82"/>
    <n v="231"/>
    <n v="68"/>
    <n v="245"/>
    <n v="106"/>
    <x v="0"/>
    <n v="173.97"/>
    <n v="42622.65"/>
    <s v="Unity Traders"/>
    <s v="OK"/>
    <s v="OK"/>
    <s v="OK"/>
  </r>
  <r>
    <x v="1"/>
    <x v="3"/>
    <s v="SKU-1010"/>
    <s v="Whiteboard Marker Set (Bulk)"/>
    <x v="0"/>
    <s v="pcs"/>
    <n v="242"/>
    <n v="0"/>
    <n v="161"/>
    <n v="81"/>
    <n v="141"/>
    <x v="1"/>
    <n v="754.35"/>
    <n v="61102.37"/>
    <s v="Greenleaf Supplies"/>
    <s v="OK"/>
    <s v="OK"/>
    <s v="OK"/>
  </r>
  <r>
    <x v="1"/>
    <x v="3"/>
    <s v="SKU-1011"/>
    <s v="Sticky Notes Pack"/>
    <x v="0"/>
    <s v="pcs"/>
    <n v="63"/>
    <n v="150"/>
    <n v="82"/>
    <n v="131"/>
    <n v="82"/>
    <x v="0"/>
    <n v="62.14"/>
    <n v="8140.54"/>
    <s v="Unity Traders"/>
    <s v="OK"/>
    <s v="OK"/>
    <s v="OK"/>
  </r>
  <r>
    <x v="1"/>
    <x v="3"/>
    <s v="SKU-1012"/>
    <s v="Sticky Notes Pack (Bulk)"/>
    <x v="0"/>
    <s v="pcs"/>
    <n v="29"/>
    <n v="55"/>
    <n v="28"/>
    <n v="56"/>
    <n v="28"/>
    <x v="0"/>
    <n v="254.63"/>
    <n v="14259.05"/>
    <s v="Lotus Agencies"/>
    <s v="OK"/>
    <s v="OK"/>
    <s v="OK"/>
  </r>
  <r>
    <x v="1"/>
    <x v="3"/>
    <s v="SKU-1013"/>
    <s v="Notebook 200 pages"/>
    <x v="0"/>
    <s v="pcs"/>
    <n v="143"/>
    <n v="461"/>
    <n v="99"/>
    <n v="505"/>
    <n v="139"/>
    <x v="0"/>
    <n v="60.31"/>
    <n v="30458.99"/>
    <s v="Greenleaf Supplies"/>
    <s v="OK"/>
    <s v="OK"/>
    <s v="OK"/>
  </r>
  <r>
    <x v="1"/>
    <x v="3"/>
    <s v="SKU-1014"/>
    <s v="Notebook 200 pages (Bulk)"/>
    <x v="0"/>
    <s v="pcs"/>
    <n v="181"/>
    <n v="0"/>
    <n v="82"/>
    <n v="99"/>
    <n v="143"/>
    <x v="1"/>
    <n v="253.98"/>
    <n v="25144.1"/>
    <s v="Unity Traders"/>
    <s v="OK"/>
    <s v="OK"/>
    <s v="OK"/>
  </r>
  <r>
    <x v="1"/>
    <x v="3"/>
    <s v="SKU-1015"/>
    <s v="Calculator"/>
    <x v="0"/>
    <s v="pcs"/>
    <n v="134"/>
    <n v="0"/>
    <n v="55"/>
    <n v="79"/>
    <n v="82"/>
    <x v="1"/>
    <n v="464.04"/>
    <n v="36659.410000000003"/>
    <s v="Lotus Agencies"/>
    <s v="OK"/>
    <s v="OK"/>
    <s v="OK"/>
  </r>
  <r>
    <x v="1"/>
    <x v="3"/>
    <s v="SKU-1016"/>
    <s v="Calculator (Bulk)"/>
    <x v="0"/>
    <s v="pcs"/>
    <n v="854"/>
    <n v="0"/>
    <n v="264"/>
    <n v="590"/>
    <n v="173"/>
    <x v="0"/>
    <n v="2099.83"/>
    <n v="1238901.6299999999"/>
    <s v="Sunrise Distributors"/>
    <s v="OK"/>
    <s v="OK"/>
    <s v="OK"/>
  </r>
  <r>
    <x v="1"/>
    <x v="3"/>
    <s v="SKU-1017"/>
    <s v="Glue Stick"/>
    <x v="0"/>
    <s v="pcs"/>
    <n v="317"/>
    <n v="0"/>
    <n v="228"/>
    <n v="89"/>
    <n v="237"/>
    <x v="1"/>
    <n v="23.64"/>
    <n v="2103.63"/>
    <s v="Unity Traders"/>
    <s v="OK"/>
    <s v="OK"/>
    <s v="OK"/>
  </r>
  <r>
    <x v="1"/>
    <x v="3"/>
    <s v="SKU-1018"/>
    <s v="Glue Stick (Bulk)"/>
    <x v="0"/>
    <s v="pcs"/>
    <n v="443"/>
    <n v="604"/>
    <n v="120"/>
    <n v="927"/>
    <n v="180"/>
    <x v="0"/>
    <n v="127.52"/>
    <n v="118213.34"/>
    <s v="Greenleaf Supplies"/>
    <s v="OK"/>
    <s v="OK"/>
    <s v="OK"/>
  </r>
  <r>
    <x v="1"/>
    <x v="3"/>
    <s v="SKU-1019"/>
    <s v="Envelope Pack"/>
    <x v="0"/>
    <s v="pcs"/>
    <n v="421"/>
    <n v="327"/>
    <n v="106"/>
    <n v="642"/>
    <n v="110"/>
    <x v="0"/>
    <n v="88.37"/>
    <n v="56730.9"/>
    <s v="Unity Traders"/>
    <s v="OK"/>
    <s v="OK"/>
    <s v="OK"/>
  </r>
  <r>
    <x v="1"/>
    <x v="3"/>
    <s v="SKU-1020"/>
    <s v="Envelope Pack (Bulk)"/>
    <x v="0"/>
    <s v="pcs"/>
    <n v="744"/>
    <n v="0"/>
    <n v="253"/>
    <n v="491"/>
    <n v="289"/>
    <x v="0"/>
    <n v="375.02"/>
    <n v="184134.07"/>
    <s v="Prime Packaging Works"/>
    <s v="OK"/>
    <s v="OK"/>
    <s v="OK"/>
  </r>
  <r>
    <x v="1"/>
    <x v="3"/>
    <s v="SKU-1021"/>
    <s v="LED Bulb 9W"/>
    <x v="1"/>
    <s v="pcs"/>
    <n v="140"/>
    <n v="0"/>
    <n v="42"/>
    <n v="98"/>
    <n v="55"/>
    <x v="0"/>
    <n v="105.49"/>
    <n v="10337.98"/>
    <s v="Prime Packaging Works"/>
    <s v="OK"/>
    <s v="OK"/>
    <s v="OK"/>
  </r>
  <r>
    <x v="1"/>
    <x v="3"/>
    <s v="SKU-1022"/>
    <s v="LED Bulb 9W (Bulk)"/>
    <x v="1"/>
    <s v="pcs"/>
    <n v="594"/>
    <n v="0"/>
    <n v="102"/>
    <n v="492"/>
    <n v="144"/>
    <x v="0"/>
    <n v="472.93"/>
    <n v="232682.42"/>
    <s v="Sunrise Distributors"/>
    <s v="OK"/>
    <s v="OK"/>
    <s v="OK"/>
  </r>
  <r>
    <x v="1"/>
    <x v="3"/>
    <s v="SKU-1023"/>
    <s v="LED Tube Light 20W"/>
    <x v="1"/>
    <s v="pcs"/>
    <n v="26"/>
    <n v="275"/>
    <n v="99"/>
    <n v="202"/>
    <n v="103"/>
    <x v="0"/>
    <n v="225.1"/>
    <n v="45469.53"/>
    <s v="Metro Wholesale"/>
    <s v="OK"/>
    <s v="OK"/>
    <s v="OK"/>
  </r>
  <r>
    <x v="1"/>
    <x v="3"/>
    <s v="SKU-1024"/>
    <s v="LED Tube Light 20W (Bulk)"/>
    <x v="1"/>
    <s v="pcs"/>
    <n v="25"/>
    <n v="263"/>
    <n v="96"/>
    <n v="192"/>
    <n v="106"/>
    <x v="0"/>
    <n v="1164.27"/>
    <n v="223540.35"/>
    <s v="Metro Wholesale"/>
    <s v="OK"/>
    <s v="OK"/>
    <s v="OK"/>
  </r>
  <r>
    <x v="1"/>
    <x v="3"/>
    <s v="SKU-1025"/>
    <s v="Extension Board"/>
    <x v="1"/>
    <s v="pcs"/>
    <n v="282"/>
    <n v="426"/>
    <n v="220"/>
    <n v="488"/>
    <n v="212"/>
    <x v="0"/>
    <n v="355.89"/>
    <n v="173671.9"/>
    <s v="Greenleaf Supplies"/>
    <s v="OK"/>
    <s v="OK"/>
    <s v="OK"/>
  </r>
  <r>
    <x v="1"/>
    <x v="3"/>
    <s v="SKU-1027"/>
    <s v="Ceiling Fan"/>
    <x v="1"/>
    <s v="pcs"/>
    <n v="395"/>
    <n v="0"/>
    <n v="158"/>
    <n v="237"/>
    <n v="272"/>
    <x v="1"/>
    <n v="1866.88"/>
    <n v="442450.39"/>
    <s v="Metro Wholesale"/>
    <s v="OK"/>
    <s v="OK"/>
    <s v="OK"/>
  </r>
  <r>
    <x v="1"/>
    <x v="3"/>
    <s v="SKU-1029"/>
    <s v="Modular Switch"/>
    <x v="1"/>
    <s v="pcs"/>
    <n v="106"/>
    <n v="0"/>
    <n v="32"/>
    <n v="74"/>
    <n v="41"/>
    <x v="0"/>
    <n v="42.26"/>
    <n v="3126.98"/>
    <s v="Sunrise Distributors"/>
    <s v="OK"/>
    <s v="OK"/>
    <s v="OK"/>
  </r>
  <r>
    <x v="1"/>
    <x v="3"/>
    <s v="SKU-1030"/>
    <s v="Modular Switch (Bulk)"/>
    <x v="1"/>
    <s v="pcs"/>
    <n v="41"/>
    <n v="248"/>
    <n v="78"/>
    <n v="211"/>
    <n v="79"/>
    <x v="0"/>
    <n v="198.32"/>
    <n v="41845"/>
    <s v="Northstar Enterprises"/>
    <s v="OK"/>
    <s v="OK"/>
    <s v="OK"/>
  </r>
  <r>
    <x v="1"/>
    <x v="3"/>
    <s v="SKU-1032"/>
    <s v="Copper Wire 90m (Bulk)"/>
    <x v="1"/>
    <s v="pcs"/>
    <n v="721"/>
    <n v="0"/>
    <n v="200"/>
    <n v="521"/>
    <n v="248"/>
    <x v="0"/>
    <n v="7971.42"/>
    <n v="4153109.52"/>
    <s v="Prime Packaging Works"/>
    <s v="OK"/>
    <s v="OK"/>
    <s v="OK"/>
  </r>
  <r>
    <x v="1"/>
    <x v="3"/>
    <s v="SKU-1034"/>
    <s v="MCB 32A (Bulk)"/>
    <x v="1"/>
    <s v="pcs"/>
    <n v="71"/>
    <n v="0"/>
    <n v="20"/>
    <n v="51"/>
    <n v="21"/>
    <x v="0"/>
    <n v="1095.17"/>
    <n v="55853.9"/>
    <s v="Northstar Enterprises"/>
    <s v="OK"/>
    <s v="OK"/>
    <s v="OK"/>
  </r>
  <r>
    <x v="1"/>
    <x v="3"/>
    <s v="SKU-1035"/>
    <s v="Emergency Light"/>
    <x v="1"/>
    <s v="pcs"/>
    <n v="48"/>
    <n v="81"/>
    <n v="47"/>
    <n v="82"/>
    <n v="39"/>
    <x v="0"/>
    <n v="707.59"/>
    <n v="58022.09"/>
    <s v="Apex Trading Co."/>
    <s v="OK"/>
    <s v="OK"/>
    <s v="OK"/>
  </r>
  <r>
    <x v="1"/>
    <x v="3"/>
    <s v="SKU-1036"/>
    <s v="Emergency Light (Bulk)"/>
    <x v="1"/>
    <s v="pcs"/>
    <n v="58"/>
    <n v="450"/>
    <n v="143"/>
    <n v="365"/>
    <n v="256"/>
    <x v="0"/>
    <n v="2980.78"/>
    <n v="1087986.21"/>
    <s v="Greenleaf Supplies"/>
    <s v="OK"/>
    <s v="OK"/>
    <s v="OK"/>
  </r>
  <r>
    <x v="1"/>
    <x v="3"/>
    <s v="SKU-1037"/>
    <s v="Wall Socket"/>
    <x v="1"/>
    <s v="pcs"/>
    <n v="278"/>
    <n v="0"/>
    <n v="164"/>
    <n v="114"/>
    <n v="204"/>
    <x v="1"/>
    <n v="56.83"/>
    <n v="6478.28"/>
    <s v="Northstar Enterprises"/>
    <s v="OK"/>
    <s v="OK"/>
    <s v="OK"/>
  </r>
  <r>
    <x v="1"/>
    <x v="3"/>
    <s v="SKU-1038"/>
    <s v="Wall Socket (Bulk)"/>
    <x v="1"/>
    <s v="pcs"/>
    <n v="77"/>
    <n v="0"/>
    <n v="49"/>
    <n v="28"/>
    <n v="38"/>
    <x v="1"/>
    <n v="284.04000000000002"/>
    <n v="7952.99"/>
    <s v="Northstar Enterprises"/>
    <s v="OK"/>
    <s v="OK"/>
    <s v="OK"/>
  </r>
  <r>
    <x v="1"/>
    <x v="3"/>
    <s v="SKU-1039"/>
    <s v="Table Lamp"/>
    <x v="1"/>
    <s v="pcs"/>
    <n v="157"/>
    <n v="0"/>
    <n v="64"/>
    <n v="93"/>
    <n v="118"/>
    <x v="1"/>
    <n v="527.07000000000005"/>
    <n v="49017.48"/>
    <s v="Apex Trading Co."/>
    <s v="OK"/>
    <s v="OK"/>
    <s v="OK"/>
  </r>
  <r>
    <x v="1"/>
    <x v="3"/>
    <s v="SKU-1040"/>
    <s v="Table Lamp (Bulk)"/>
    <x v="1"/>
    <s v="pcs"/>
    <n v="83"/>
    <n v="473"/>
    <n v="131"/>
    <n v="425"/>
    <n v="144"/>
    <x v="0"/>
    <n v="2524.4899999999998"/>
    <n v="1072909.5900000001"/>
    <s v="Northstar Enterprises"/>
    <s v="OK"/>
    <s v="OK"/>
    <s v="OK"/>
  </r>
  <r>
    <x v="1"/>
    <x v="3"/>
    <s v="SKU-1041"/>
    <s v="Basmati Rice"/>
    <x v="2"/>
    <s v="kg"/>
    <n v="152"/>
    <n v="655"/>
    <n v="199"/>
    <n v="608"/>
    <n v="166"/>
    <x v="0"/>
    <n v="99.55"/>
    <n v="60525.55"/>
    <s v="Lotus Agencies"/>
    <s v="OK"/>
    <s v="OK"/>
    <s v="OK"/>
  </r>
  <r>
    <x v="1"/>
    <x v="3"/>
    <s v="SKU-1042"/>
    <s v="Basmati Rice (Bulk)"/>
    <x v="2"/>
    <s v="kg"/>
    <n v="108"/>
    <n v="0"/>
    <n v="26"/>
    <n v="82"/>
    <n v="37"/>
    <x v="0"/>
    <n v="445.62"/>
    <n v="36540.74"/>
    <s v="Apex Trading Co."/>
    <s v="OK"/>
    <s v="OK"/>
    <s v="OK"/>
  </r>
  <r>
    <x v="1"/>
    <x v="3"/>
    <s v="SKU-1043"/>
    <s v="Toor Dal"/>
    <x v="2"/>
    <s v="kg"/>
    <n v="299"/>
    <n v="0"/>
    <n v="75"/>
    <n v="224"/>
    <n v="142"/>
    <x v="0"/>
    <n v="136.56"/>
    <n v="30589.85"/>
    <s v="Prime Packaging Works"/>
    <s v="OK"/>
    <s v="OK"/>
    <s v="OK"/>
  </r>
  <r>
    <x v="1"/>
    <x v="3"/>
    <s v="SKU-1044"/>
    <s v="Toor Dal (Bulk)"/>
    <x v="2"/>
    <s v="kg"/>
    <n v="57"/>
    <n v="400"/>
    <n v="71"/>
    <n v="386"/>
    <n v="107"/>
    <x v="0"/>
    <n v="655.85"/>
    <n v="253158.56"/>
    <s v="Unity Traders"/>
    <s v="OK"/>
    <s v="OK"/>
    <s v="OK"/>
  </r>
  <r>
    <x v="1"/>
    <x v="3"/>
    <s v="SKU-1046"/>
    <s v="Sugar (Bulk)"/>
    <x v="2"/>
    <s v="kg"/>
    <n v="55"/>
    <n v="0"/>
    <n v="21"/>
    <n v="34"/>
    <n v="38"/>
    <x v="1"/>
    <n v="201"/>
    <n v="6833.86"/>
    <s v="Northstar Enterprises"/>
    <s v="OK"/>
    <s v="OK"/>
    <s v="OK"/>
  </r>
  <r>
    <x v="1"/>
    <x v="3"/>
    <s v="SKU-1048"/>
    <s v="Wheat Atta (Bulk)"/>
    <x v="2"/>
    <s v="kg"/>
    <n v="376"/>
    <n v="0"/>
    <n v="144"/>
    <n v="232"/>
    <n v="134"/>
    <x v="0"/>
    <n v="174.01"/>
    <n v="40369.480000000003"/>
    <s v="Lotus Agencies"/>
    <s v="OK"/>
    <s v="OK"/>
    <s v="OK"/>
  </r>
  <r>
    <x v="1"/>
    <x v="3"/>
    <s v="SKU-1049"/>
    <s v="Sunflower Oil (L)"/>
    <x v="2"/>
    <s v="kg"/>
    <n v="112"/>
    <n v="489"/>
    <n v="147"/>
    <n v="454"/>
    <n v="235"/>
    <x v="0"/>
    <n v="144.72999999999999"/>
    <n v="65709.149999999994"/>
    <s v="Greenleaf Supplies"/>
    <s v="OK"/>
    <s v="OK"/>
    <s v="OK"/>
  </r>
  <r>
    <x v="1"/>
    <x v="3"/>
    <s v="SKU-1050"/>
    <s v="Sunflower Oil (L) (Bulk)"/>
    <x v="2"/>
    <s v="kg"/>
    <n v="425"/>
    <n v="0"/>
    <n v="202"/>
    <n v="223"/>
    <n v="202"/>
    <x v="0"/>
    <n v="607.57000000000005"/>
    <n v="135487.66"/>
    <s v="Unity Traders"/>
    <s v="OK"/>
    <s v="OK"/>
    <s v="OK"/>
  </r>
  <r>
    <x v="1"/>
    <x v="3"/>
    <s v="SKU-1051"/>
    <s v="Tea Leaves"/>
    <x v="2"/>
    <s v="kg"/>
    <n v="146"/>
    <n v="60"/>
    <n v="38"/>
    <n v="168"/>
    <n v="41"/>
    <x v="0"/>
    <n v="387.2"/>
    <n v="65050.17"/>
    <s v="Northstar Enterprises"/>
    <s v="OK"/>
    <s v="OK"/>
    <s v="OK"/>
  </r>
  <r>
    <x v="1"/>
    <x v="3"/>
    <s v="SKU-1052"/>
    <s v="Tea Leaves (Bulk)"/>
    <x v="2"/>
    <s v="kg"/>
    <n v="172"/>
    <n v="659"/>
    <n v="172"/>
    <n v="659"/>
    <n v="169"/>
    <x v="0"/>
    <n v="2041.74"/>
    <n v="1345503.72"/>
    <s v="Lotus Agencies"/>
    <s v="OK"/>
    <s v="OK"/>
    <s v="OK"/>
  </r>
  <r>
    <x v="1"/>
    <x v="3"/>
    <s v="SKU-1053"/>
    <s v="Salt"/>
    <x v="2"/>
    <s v="kg"/>
    <n v="278"/>
    <n v="481"/>
    <n v="227"/>
    <n v="532"/>
    <n v="255"/>
    <x v="0"/>
    <n v="21.86"/>
    <n v="11627.99"/>
    <s v="Apex Trading Co."/>
    <s v="OK"/>
    <s v="OK"/>
    <s v="OK"/>
  </r>
  <r>
    <x v="1"/>
    <x v="3"/>
    <s v="SKU-1054"/>
    <s v="Salt (Bulk)"/>
    <x v="2"/>
    <s v="kg"/>
    <n v="444"/>
    <n v="0"/>
    <n v="168"/>
    <n v="276"/>
    <n v="233"/>
    <x v="0"/>
    <n v="109.94"/>
    <n v="30343.97"/>
    <s v="Northstar Enterprises"/>
    <s v="OK"/>
    <s v="OK"/>
    <s v="OK"/>
  </r>
  <r>
    <x v="1"/>
    <x v="3"/>
    <s v="SKU-1055"/>
    <s v="Poha"/>
    <x v="2"/>
    <s v="kg"/>
    <n v="167"/>
    <n v="0"/>
    <n v="72"/>
    <n v="95"/>
    <n v="117"/>
    <x v="1"/>
    <n v="61.18"/>
    <n v="5812.07"/>
    <s v="Prime Packaging Works"/>
    <s v="OK"/>
    <s v="OK"/>
    <s v="OK"/>
  </r>
  <r>
    <x v="1"/>
    <x v="3"/>
    <s v="SKU-1056"/>
    <s v="Poha (Bulk)"/>
    <x v="2"/>
    <s v="kg"/>
    <n v="59"/>
    <n v="479"/>
    <n v="94"/>
    <n v="444"/>
    <n v="155"/>
    <x v="0"/>
    <n v="278.89999999999998"/>
    <n v="123829.52"/>
    <s v="Northstar Enterprises"/>
    <s v="OK"/>
    <s v="OK"/>
    <s v="OK"/>
  </r>
  <r>
    <x v="1"/>
    <x v="3"/>
    <s v="SKU-1057"/>
    <s v="Chana Dal"/>
    <x v="2"/>
    <s v="kg"/>
    <n v="418"/>
    <n v="0"/>
    <n v="94"/>
    <n v="324"/>
    <n v="161"/>
    <x v="0"/>
    <n v="81.819999999999993"/>
    <n v="26510.38"/>
    <s v="Metro Wholesale"/>
    <s v="OK"/>
    <s v="OK"/>
    <s v="OK"/>
  </r>
  <r>
    <x v="1"/>
    <x v="3"/>
    <s v="SKU-1059"/>
    <s v="Jaggery"/>
    <x v="2"/>
    <s v="kg"/>
    <n v="22"/>
    <n v="46"/>
    <n v="18"/>
    <n v="50"/>
    <n v="19"/>
    <x v="0"/>
    <n v="66.13"/>
    <n v="3306.61"/>
    <s v="Metro Wholesale"/>
    <s v="OK"/>
    <s v="OK"/>
    <s v="OK"/>
  </r>
  <r>
    <x v="1"/>
    <x v="3"/>
    <s v="SKU-1060"/>
    <s v="Jaggery (Bulk)"/>
    <x v="2"/>
    <s v="kg"/>
    <n v="489"/>
    <n v="0"/>
    <n v="113"/>
    <n v="376"/>
    <n v="170"/>
    <x v="0"/>
    <n v="292.43"/>
    <n v="109952.3"/>
    <s v="Apex Trading Co."/>
    <s v="OK"/>
    <s v="OK"/>
    <s v="OK"/>
  </r>
  <r>
    <x v="1"/>
    <x v="3"/>
    <s v="SKU-1061"/>
    <s v="Hammer"/>
    <x v="3"/>
    <s v="pcs"/>
    <n v="129"/>
    <n v="0"/>
    <n v="49"/>
    <n v="80"/>
    <n v="104"/>
    <x v="1"/>
    <n v="242.64"/>
    <n v="19411.48"/>
    <s v="Northstar Enterprises"/>
    <s v="OK"/>
    <s v="OK"/>
    <s v="OK"/>
  </r>
  <r>
    <x v="1"/>
    <x v="3"/>
    <s v="SKU-1062"/>
    <s v="Hammer (Bulk)"/>
    <x v="3"/>
    <s v="pcs"/>
    <n v="325"/>
    <n v="0"/>
    <n v="194"/>
    <n v="131"/>
    <n v="197"/>
    <x v="1"/>
    <n v="1290.54"/>
    <n v="169060.27"/>
    <s v="Apex Trading Co."/>
    <s v="OK"/>
    <s v="OK"/>
    <s v="OK"/>
  </r>
  <r>
    <x v="1"/>
    <x v="3"/>
    <s v="SKU-1063"/>
    <s v="Screwdriver Set"/>
    <x v="3"/>
    <s v="pcs"/>
    <n v="2"/>
    <n v="38"/>
    <n v="24"/>
    <n v="16"/>
    <n v="17"/>
    <x v="1"/>
    <n v="291.94"/>
    <n v="4671.01"/>
    <s v="Sunrise Distributors"/>
    <s v="OK"/>
    <s v="OK"/>
    <s v="OK"/>
  </r>
  <r>
    <x v="1"/>
    <x v="3"/>
    <s v="SKU-1064"/>
    <s v="Screwdriver Set (Bulk)"/>
    <x v="3"/>
    <s v="pcs"/>
    <n v="345"/>
    <n v="0"/>
    <n v="177"/>
    <n v="168"/>
    <n v="177"/>
    <x v="1"/>
    <n v="1550.75"/>
    <n v="260525.76"/>
    <s v="Northstar Enterprises"/>
    <s v="OK"/>
    <s v="OK"/>
    <s v="OK"/>
  </r>
  <r>
    <x v="1"/>
    <x v="3"/>
    <s v="SKU-1065"/>
    <s v="Wall Plug Pack"/>
    <x v="3"/>
    <s v="pcs"/>
    <n v="20"/>
    <n v="291"/>
    <n v="135"/>
    <n v="176"/>
    <n v="93"/>
    <x v="0"/>
    <n v="48.42"/>
    <n v="8522.15"/>
    <s v="Metro Wholesale"/>
    <s v="OK"/>
    <s v="OK"/>
    <s v="OK"/>
  </r>
  <r>
    <x v="1"/>
    <x v="3"/>
    <s v="SKU-1066"/>
    <s v="Wall Plug Pack (Bulk)"/>
    <x v="3"/>
    <s v="pcs"/>
    <n v="9"/>
    <n v="89"/>
    <n v="33"/>
    <n v="65"/>
    <n v="30"/>
    <x v="0"/>
    <n v="221.95"/>
    <n v="14426.6"/>
    <s v="Lotus Agencies"/>
    <s v="OK"/>
    <s v="OK"/>
    <s v="OK"/>
  </r>
  <r>
    <x v="1"/>
    <x v="3"/>
    <s v="SKU-1067"/>
    <s v="Padlock"/>
    <x v="3"/>
    <s v="pcs"/>
    <n v="177"/>
    <n v="329"/>
    <n v="179"/>
    <n v="327"/>
    <n v="168"/>
    <x v="0"/>
    <n v="217.38"/>
    <n v="71082.91"/>
    <s v="Metro Wholesale"/>
    <s v="OK"/>
    <s v="OK"/>
    <s v="OK"/>
  </r>
  <r>
    <x v="1"/>
    <x v="3"/>
    <s v="SKU-1069"/>
    <s v="Measuring Tape 5m"/>
    <x v="3"/>
    <s v="pcs"/>
    <n v="8"/>
    <n v="208"/>
    <n v="89"/>
    <n v="127"/>
    <n v="81"/>
    <x v="0"/>
    <n v="145.55000000000001"/>
    <n v="18485.27"/>
    <s v="Unity Traders"/>
    <s v="OK"/>
    <s v="OK"/>
    <s v="OK"/>
  </r>
  <r>
    <x v="1"/>
    <x v="3"/>
    <s v="SKU-1070"/>
    <s v="Measuring Tape 5m (Bulk)"/>
    <x v="3"/>
    <s v="pcs"/>
    <n v="207"/>
    <n v="0"/>
    <n v="54"/>
    <n v="153"/>
    <n v="60"/>
    <x v="0"/>
    <n v="704.78"/>
    <n v="107832.09"/>
    <s v="Northstar Enterprises"/>
    <s v="OK"/>
    <s v="OK"/>
    <s v="OK"/>
  </r>
  <r>
    <x v="1"/>
    <x v="3"/>
    <s v="SKU-1071"/>
    <s v="Spanner Set"/>
    <x v="3"/>
    <s v="pcs"/>
    <n v="240"/>
    <n v="658"/>
    <n v="156"/>
    <n v="742"/>
    <n v="280"/>
    <x v="0"/>
    <n v="642.98"/>
    <n v="477090.62"/>
    <s v="Prime Packaging Works"/>
    <s v="OK"/>
    <s v="OK"/>
    <s v="OK"/>
  </r>
  <r>
    <x v="1"/>
    <x v="3"/>
    <s v="SKU-1073"/>
    <s v="Drill Bit Set"/>
    <x v="3"/>
    <s v="pcs"/>
    <n v="215"/>
    <n v="0"/>
    <n v="40"/>
    <n v="175"/>
    <n v="172"/>
    <x v="0"/>
    <n v="499.46"/>
    <n v="87405.18"/>
    <s v="Lotus Agencies"/>
    <s v="OK"/>
    <s v="OK"/>
    <s v="OK"/>
  </r>
  <r>
    <x v="1"/>
    <x v="3"/>
    <s v="SKU-1075"/>
    <s v="Wood Screws Pack"/>
    <x v="3"/>
    <s v="pcs"/>
    <n v="131"/>
    <n v="375"/>
    <n v="226"/>
    <n v="280"/>
    <n v="180"/>
    <x v="0"/>
    <n v="65.510000000000005"/>
    <n v="18342.38"/>
    <s v="Prime Packaging Works"/>
    <s v="OK"/>
    <s v="OK"/>
    <s v="OK"/>
  </r>
  <r>
    <x v="1"/>
    <x v="3"/>
    <s v="SKU-1076"/>
    <s v="Wood Screws Pack (Bulk)"/>
    <x v="3"/>
    <s v="pcs"/>
    <n v="297"/>
    <n v="0"/>
    <n v="82"/>
    <n v="215"/>
    <n v="122"/>
    <x v="0"/>
    <n v="345.99"/>
    <n v="74387.649999999994"/>
    <s v="Northstar Enterprises"/>
    <s v="OK"/>
    <s v="OK"/>
    <s v="OK"/>
  </r>
  <r>
    <x v="1"/>
    <x v="3"/>
    <s v="SKU-1077"/>
    <s v="Door Hinge"/>
    <x v="3"/>
    <s v="pcs"/>
    <n v="107"/>
    <n v="195"/>
    <n v="82"/>
    <n v="220"/>
    <n v="99"/>
    <x v="0"/>
    <n v="60.1"/>
    <n v="13222.02"/>
    <s v="Unity Traders"/>
    <s v="OK"/>
    <s v="OK"/>
    <s v="OK"/>
  </r>
  <r>
    <x v="1"/>
    <x v="3"/>
    <s v="SKU-1078"/>
    <s v="Door Hinge (Bulk)"/>
    <x v="3"/>
    <s v="pcs"/>
    <n v="85"/>
    <n v="270"/>
    <n v="112"/>
    <n v="243"/>
    <n v="192"/>
    <x v="0"/>
    <n v="237.25"/>
    <n v="57650.74"/>
    <s v="Northstar Enterprises"/>
    <s v="OK"/>
    <s v="OK"/>
    <s v="OK"/>
  </r>
  <r>
    <x v="1"/>
    <x v="3"/>
    <s v="SKU-1079"/>
    <s v="Paint Brush"/>
    <x v="3"/>
    <s v="pcs"/>
    <n v="278"/>
    <n v="0"/>
    <n v="36"/>
    <n v="242"/>
    <n v="61"/>
    <x v="0"/>
    <n v="92.67"/>
    <n v="22426.34"/>
    <s v="Unity Traders"/>
    <s v="OK"/>
    <s v="OK"/>
    <s v="OK"/>
  </r>
  <r>
    <x v="1"/>
    <x v="3"/>
    <s v="SKU-1080"/>
    <s v="Paint Brush (Bulk)"/>
    <x v="3"/>
    <s v="pcs"/>
    <n v="323"/>
    <n v="0"/>
    <n v="174"/>
    <n v="149"/>
    <n v="163"/>
    <x v="1"/>
    <n v="371.02"/>
    <n v="55281.43"/>
    <s v="Sunrise Distributors"/>
    <s v="OK"/>
    <s v="OK"/>
    <s v="OK"/>
  </r>
  <r>
    <x v="1"/>
    <x v="3"/>
    <s v="SKU-1083"/>
    <s v="Dishwash Liquid 500ml"/>
    <x v="4"/>
    <s v="pcs"/>
    <n v="100"/>
    <n v="180"/>
    <n v="53"/>
    <n v="227"/>
    <n v="89"/>
    <x v="0"/>
    <n v="102.49"/>
    <n v="23265.68"/>
    <s v="Apex Trading Co."/>
    <s v="OK"/>
    <s v="OK"/>
    <s v="OK"/>
  </r>
  <r>
    <x v="1"/>
    <x v="3"/>
    <s v="SKU-1084"/>
    <s v="Dishwash Liquid 500ml (Bulk)"/>
    <x v="4"/>
    <s v="pcs"/>
    <n v="65"/>
    <n v="150"/>
    <n v="45"/>
    <n v="170"/>
    <n v="71"/>
    <x v="0"/>
    <n v="445.01"/>
    <n v="75651.679999999993"/>
    <s v="Prime Packaging Works"/>
    <s v="OK"/>
    <s v="OK"/>
    <s v="OK"/>
  </r>
  <r>
    <x v="1"/>
    <x v="3"/>
    <s v="SKU-1085"/>
    <s v="Phenyl 1L"/>
    <x v="4"/>
    <s v="pcs"/>
    <n v="359"/>
    <n v="0"/>
    <n v="85"/>
    <n v="274"/>
    <n v="159"/>
    <x v="0"/>
    <n v="77.23"/>
    <n v="21162.05"/>
    <s v="Greenleaf Supplies"/>
    <s v="OK"/>
    <s v="OK"/>
    <s v="OK"/>
  </r>
  <r>
    <x v="1"/>
    <x v="3"/>
    <s v="SKU-1086"/>
    <s v="Phenyl 1L (Bulk)"/>
    <x v="4"/>
    <s v="pcs"/>
    <n v="41"/>
    <n v="0"/>
    <n v="27"/>
    <n v="14"/>
    <n v="26"/>
    <x v="1"/>
    <n v="298.95"/>
    <n v="4185.2299999999996"/>
    <s v="Sunrise Distributors"/>
    <s v="OK"/>
    <s v="OK"/>
    <s v="OK"/>
  </r>
  <r>
    <x v="1"/>
    <x v="3"/>
    <s v="SKU-1087"/>
    <s v="Broom"/>
    <x v="4"/>
    <s v="pcs"/>
    <n v="773"/>
    <n v="463"/>
    <n v="376"/>
    <n v="860"/>
    <n v="249"/>
    <x v="0"/>
    <n v="112.56"/>
    <n v="96798.38"/>
    <s v="Apex Trading Co."/>
    <s v="OK"/>
    <s v="OK"/>
    <s v="OK"/>
  </r>
  <r>
    <x v="1"/>
    <x v="3"/>
    <s v="SKU-1088"/>
    <s v="Broom (Bulk)"/>
    <x v="4"/>
    <s v="pcs"/>
    <n v="54"/>
    <n v="175"/>
    <n v="41"/>
    <n v="188"/>
    <n v="82"/>
    <x v="0"/>
    <n v="540.01"/>
    <n v="101521.59"/>
    <s v="Apex Trading Co."/>
    <s v="OK"/>
    <s v="OK"/>
    <s v="OK"/>
  </r>
  <r>
    <x v="1"/>
    <x v="3"/>
    <s v="SKU-1089"/>
    <s v="Mop with Bucket"/>
    <x v="4"/>
    <s v="pcs"/>
    <n v="71"/>
    <n v="197"/>
    <n v="95"/>
    <n v="173"/>
    <n v="109"/>
    <x v="0"/>
    <n v="904.78"/>
    <n v="156526.29999999999"/>
    <s v="Greenleaf Supplies"/>
    <s v="OK"/>
    <s v="OK"/>
    <s v="OK"/>
  </r>
  <r>
    <x v="1"/>
    <x v="3"/>
    <s v="SKU-1091"/>
    <s v="Garbage Bags Roll"/>
    <x v="4"/>
    <s v="pcs"/>
    <n v="300"/>
    <n v="0"/>
    <n v="69"/>
    <n v="231"/>
    <n v="137"/>
    <x v="0"/>
    <n v="94.15"/>
    <n v="21748.560000000001"/>
    <s v="Apex Trading Co."/>
    <s v="OK"/>
    <s v="OK"/>
    <s v="OK"/>
  </r>
  <r>
    <x v="1"/>
    <x v="3"/>
    <s v="SKU-1092"/>
    <s v="Garbage Bags Roll (Bulk)"/>
    <x v="4"/>
    <s v="pcs"/>
    <n v="245"/>
    <n v="0"/>
    <n v="124"/>
    <n v="121"/>
    <n v="154"/>
    <x v="1"/>
    <n v="381.36"/>
    <n v="46145.06"/>
    <s v="Metro Wholesale"/>
    <s v="OK"/>
    <s v="OK"/>
    <s v="OK"/>
  </r>
  <r>
    <x v="1"/>
    <x v="3"/>
    <s v="SKU-1093"/>
    <s v="Hand Wash 250ml"/>
    <x v="4"/>
    <s v="pcs"/>
    <n v="65"/>
    <n v="276"/>
    <n v="74"/>
    <n v="267"/>
    <n v="119"/>
    <x v="0"/>
    <n v="70.34"/>
    <n v="18780.009999999998"/>
    <s v="Greenleaf Supplies"/>
    <s v="OK"/>
    <s v="OK"/>
    <s v="OK"/>
  </r>
  <r>
    <x v="1"/>
    <x v="3"/>
    <s v="SKU-1094"/>
    <s v="Hand Wash 250ml (Bulk)"/>
    <x v="4"/>
    <s v="pcs"/>
    <n v="124"/>
    <n v="0"/>
    <n v="62"/>
    <n v="62"/>
    <n v="99"/>
    <x v="1"/>
    <n v="343.14"/>
    <n v="21274.639999999999"/>
    <s v="Metro Wholesale"/>
    <s v="OK"/>
    <s v="OK"/>
    <s v="OK"/>
  </r>
  <r>
    <x v="1"/>
    <x v="3"/>
    <s v="SKU-1097"/>
    <s v="Scrub Pad Pack"/>
    <x v="4"/>
    <s v="pcs"/>
    <n v="28"/>
    <n v="132"/>
    <n v="51"/>
    <n v="109"/>
    <n v="47"/>
    <x v="0"/>
    <n v="42.84"/>
    <n v="4669.2"/>
    <s v="Greenleaf Supplies"/>
    <s v="OK"/>
    <s v="OK"/>
    <s v="OK"/>
  </r>
  <r>
    <x v="1"/>
    <x v="3"/>
    <s v="SKU-1098"/>
    <s v="Scrub Pad Pack (Bulk)"/>
    <x v="4"/>
    <s v="pcs"/>
    <n v="378"/>
    <n v="0"/>
    <n v="99"/>
    <n v="279"/>
    <n v="147"/>
    <x v="0"/>
    <n v="176.74"/>
    <n v="49309.94"/>
    <s v="Lotus Agencies"/>
    <s v="OK"/>
    <s v="OK"/>
    <s v="OK"/>
  </r>
  <r>
    <x v="1"/>
    <x v="3"/>
    <s v="SKU-1099"/>
    <s v="Dustbin 20L"/>
    <x v="4"/>
    <s v="pcs"/>
    <n v="264"/>
    <n v="467"/>
    <n v="242"/>
    <n v="489"/>
    <n v="270"/>
    <x v="0"/>
    <n v="340.41"/>
    <n v="166462.35"/>
    <s v="Unity Traders"/>
    <s v="OK"/>
    <s v="OK"/>
    <s v="OK"/>
  </r>
  <r>
    <x v="1"/>
    <x v="3"/>
    <s v="SKU-1101"/>
    <s v="Corrugated Box Small"/>
    <x v="5"/>
    <s v="pcs"/>
    <n v="148"/>
    <n v="134"/>
    <n v="47"/>
    <n v="235"/>
    <n v="67"/>
    <x v="0"/>
    <n v="18.940000000000001"/>
    <n v="4449.78"/>
    <s v="Metro Wholesale"/>
    <s v="OK"/>
    <s v="OK"/>
    <s v="OK"/>
  </r>
  <r>
    <x v="1"/>
    <x v="3"/>
    <s v="SKU-1102"/>
    <s v="Corrugated Box Small (Bulk)"/>
    <x v="5"/>
    <s v="pcs"/>
    <n v="82"/>
    <n v="254"/>
    <n v="105"/>
    <n v="231"/>
    <n v="165"/>
    <x v="0"/>
    <n v="85.69"/>
    <n v="19795.509999999998"/>
    <s v="Sunrise Distributors"/>
    <s v="OK"/>
    <s v="OK"/>
    <s v="OK"/>
  </r>
  <r>
    <x v="1"/>
    <x v="3"/>
    <s v="SKU-1103"/>
    <s v="Corrugated Box Large"/>
    <x v="5"/>
    <s v="pcs"/>
    <n v="44"/>
    <n v="0"/>
    <n v="7"/>
    <n v="37"/>
    <n v="22"/>
    <x v="0"/>
    <n v="46.08"/>
    <n v="1704.92"/>
    <s v="Metro Wholesale"/>
    <s v="OK"/>
    <s v="OK"/>
    <s v="OK"/>
  </r>
  <r>
    <x v="1"/>
    <x v="3"/>
    <s v="SKU-1106"/>
    <s v="Bubble Wrap Roll (Bulk)"/>
    <x v="5"/>
    <s v="pcs"/>
    <n v="176"/>
    <n v="321"/>
    <n v="164"/>
    <n v="333"/>
    <n v="202"/>
    <x v="0"/>
    <n v="1869.38"/>
    <n v="622503.73"/>
    <s v="Apex Trading Co."/>
    <s v="OK"/>
    <s v="OK"/>
    <s v="OK"/>
  </r>
  <r>
    <x v="1"/>
    <x v="3"/>
    <s v="SKU-1107"/>
    <s v="Packing Tape"/>
    <x v="5"/>
    <s v="pcs"/>
    <n v="224"/>
    <n v="0"/>
    <n v="58"/>
    <n v="166"/>
    <n v="80"/>
    <x v="0"/>
    <n v="45.11"/>
    <n v="7488.09"/>
    <s v="Unity Traders"/>
    <s v="OK"/>
    <s v="OK"/>
    <s v="OK"/>
  </r>
  <r>
    <x v="1"/>
    <x v="3"/>
    <s v="SKU-1108"/>
    <s v="Packing Tape (Bulk)"/>
    <x v="5"/>
    <s v="pcs"/>
    <n v="125"/>
    <n v="193"/>
    <n v="64"/>
    <n v="254"/>
    <n v="112"/>
    <x v="0"/>
    <n v="213.77"/>
    <n v="54297.36"/>
    <s v="Northstar Enterprises"/>
    <s v="OK"/>
    <s v="OK"/>
    <s v="OK"/>
  </r>
  <r>
    <x v="1"/>
    <x v="3"/>
    <s v="SKU-1109"/>
    <s v="Courier Bag Pack"/>
    <x v="5"/>
    <s v="pcs"/>
    <n v="292"/>
    <n v="286"/>
    <n v="76"/>
    <n v="502"/>
    <n v="130"/>
    <x v="0"/>
    <n v="162.41999999999999"/>
    <n v="81534.36"/>
    <s v="Northstar Enterprises"/>
    <s v="OK"/>
    <s v="OK"/>
    <s v="OK"/>
  </r>
  <r>
    <x v="1"/>
    <x v="3"/>
    <s v="SKU-1110"/>
    <s v="Courier Bag Pack (Bulk)"/>
    <x v="5"/>
    <s v="pcs"/>
    <n v="15"/>
    <n v="47"/>
    <n v="12"/>
    <n v="50"/>
    <n v="20"/>
    <x v="0"/>
    <n v="807.6"/>
    <n v="40380.230000000003"/>
    <s v="Greenleaf Supplies"/>
    <s v="OK"/>
    <s v="OK"/>
    <s v="OK"/>
  </r>
  <r>
    <x v="1"/>
    <x v="3"/>
    <s v="SKU-1111"/>
    <s v="Stretch Film Roll"/>
    <x v="5"/>
    <s v="pcs"/>
    <n v="24"/>
    <n v="48"/>
    <n v="18"/>
    <n v="54"/>
    <n v="25"/>
    <x v="0"/>
    <n v="557.12"/>
    <n v="30084.61"/>
    <s v="Sunrise Distributors"/>
    <s v="OK"/>
    <s v="OK"/>
    <s v="OK"/>
  </r>
  <r>
    <x v="1"/>
    <x v="3"/>
    <s v="SKU-1112"/>
    <s v="Stretch Film Roll (Bulk)"/>
    <x v="5"/>
    <s v="pcs"/>
    <n v="12"/>
    <n v="644"/>
    <n v="198"/>
    <n v="458"/>
    <n v="176"/>
    <x v="0"/>
    <n v="2242.11"/>
    <n v="1026885.61"/>
    <s v="Greenleaf Supplies"/>
    <s v="OK"/>
    <s v="OK"/>
    <s v="OK"/>
  </r>
  <r>
    <x v="1"/>
    <x v="3"/>
    <s v="SKU-1113"/>
    <s v="Kraft Paper Roll"/>
    <x v="5"/>
    <s v="pcs"/>
    <n v="90"/>
    <n v="0"/>
    <n v="57"/>
    <n v="33"/>
    <n v="63"/>
    <x v="1"/>
    <n v="288.77"/>
    <n v="9529.36"/>
    <s v="Sunrise Distributors"/>
    <s v="OK"/>
    <s v="OK"/>
    <s v="OK"/>
  </r>
  <r>
    <x v="1"/>
    <x v="3"/>
    <s v="SKU-1114"/>
    <s v="Kraft Paper Roll (Bulk)"/>
    <x v="5"/>
    <s v="pcs"/>
    <n v="119"/>
    <n v="274"/>
    <n v="121"/>
    <n v="272"/>
    <n v="102"/>
    <x v="0"/>
    <n v="1407.23"/>
    <n v="382765.51"/>
    <s v="Unity Traders"/>
    <s v="OK"/>
    <s v="OK"/>
    <s v="OK"/>
  </r>
  <r>
    <x v="1"/>
    <x v="3"/>
    <s v="SKU-1116"/>
    <s v="Label Sticker Roll (Bulk)"/>
    <x v="5"/>
    <s v="pcs"/>
    <n v="203"/>
    <n v="452"/>
    <n v="241"/>
    <n v="414"/>
    <n v="208"/>
    <x v="0"/>
    <n v="1084.01"/>
    <n v="448779.72"/>
    <s v="Apex Trading Co."/>
    <s v="OK"/>
    <s v="OK"/>
    <s v="OK"/>
  </r>
  <r>
    <x v="1"/>
    <x v="3"/>
    <s v="SKU-1117"/>
    <s v="Thermocol Sheet"/>
    <x v="5"/>
    <s v="pcs"/>
    <n v="745"/>
    <n v="0"/>
    <n v="127"/>
    <n v="618"/>
    <n v="208"/>
    <x v="0"/>
    <n v="32.270000000000003"/>
    <n v="19944.14"/>
    <s v="Prime Packaging Works"/>
    <s v="OK"/>
    <s v="OK"/>
    <s v="OK"/>
  </r>
  <r>
    <x v="1"/>
    <x v="3"/>
    <s v="SKU-1118"/>
    <s v="Thermocol Sheet (Bulk)"/>
    <x v="5"/>
    <s v="pcs"/>
    <n v="313"/>
    <n v="0"/>
    <n v="79"/>
    <n v="234"/>
    <n v="110"/>
    <x v="0"/>
    <n v="146.78"/>
    <n v="34346.21"/>
    <s v="Northstar Enterprises"/>
    <s v="OK"/>
    <s v="OK"/>
    <s v="OK"/>
  </r>
  <r>
    <x v="1"/>
    <x v="3"/>
    <s v="SKU-1119"/>
    <s v="Twine Roll"/>
    <x v="5"/>
    <s v="pcs"/>
    <n v="59"/>
    <n v="121"/>
    <n v="56"/>
    <n v="124"/>
    <n v="57"/>
    <x v="0"/>
    <n v="63.8"/>
    <n v="7911.52"/>
    <s v="Prime Packaging Works"/>
    <s v="OK"/>
    <s v="OK"/>
    <s v="OK"/>
  </r>
  <r>
    <x v="1"/>
    <x v="3"/>
    <s v="SKU-1120"/>
    <s v="Twine Roll (Bulk)"/>
    <x v="5"/>
    <s v="pcs"/>
    <n v="293"/>
    <n v="283"/>
    <n v="150"/>
    <n v="426"/>
    <n v="183"/>
    <x v="0"/>
    <n v="278.29000000000002"/>
    <n v="118551.44"/>
    <s v="Sunrise Distributors"/>
    <s v="OK"/>
    <s v="OK"/>
    <s v="OK"/>
  </r>
  <r>
    <x v="1"/>
    <x v="4"/>
    <s v="SKU-1001"/>
    <s v="A4 Paper Ream"/>
    <x v="0"/>
    <s v="pcs"/>
    <n v="39"/>
    <n v="0"/>
    <n v="27"/>
    <n v="12"/>
    <n v="22"/>
    <x v="1"/>
    <n v="282.83999999999997"/>
    <n v="3394.09"/>
    <s v="Lotus Agencies"/>
    <s v="OK"/>
    <s v="OK"/>
    <s v="OK"/>
  </r>
  <r>
    <x v="1"/>
    <x v="4"/>
    <s v="SKU-1002"/>
    <s v="A4 Paper Ream (Bulk)"/>
    <x v="0"/>
    <s v="pcs"/>
    <n v="0"/>
    <n v="269"/>
    <n v="137"/>
    <n v="132"/>
    <n v="93"/>
    <x v="0"/>
    <n v="1311.06"/>
    <n v="173059.8"/>
    <s v="Prime Packaging Works"/>
    <s v="OK"/>
    <s v="OK"/>
    <s v="OK"/>
  </r>
  <r>
    <x v="1"/>
    <x v="4"/>
    <s v="SKU-1003"/>
    <s v="Ball Pen Box"/>
    <x v="0"/>
    <s v="pcs"/>
    <n v="635"/>
    <n v="0"/>
    <n v="229"/>
    <n v="406"/>
    <n v="238"/>
    <x v="0"/>
    <n v="98.36"/>
    <n v="39935.11"/>
    <s v="Lotus Agencies"/>
    <s v="OK"/>
    <s v="OK"/>
    <s v="OK"/>
  </r>
  <r>
    <x v="1"/>
    <x v="4"/>
    <s v="SKU-1004"/>
    <s v="Ball Pen Box (Bulk)"/>
    <x v="0"/>
    <s v="pcs"/>
    <n v="94"/>
    <n v="168"/>
    <n v="41"/>
    <n v="221"/>
    <n v="117"/>
    <x v="0"/>
    <n v="435.24"/>
    <n v="96187.64"/>
    <s v="Northstar Enterprises"/>
    <s v="OK"/>
    <s v="OK"/>
    <s v="OK"/>
  </r>
  <r>
    <x v="1"/>
    <x v="4"/>
    <s v="SKU-1005"/>
    <s v="Stapler"/>
    <x v="0"/>
    <s v="pcs"/>
    <n v="377"/>
    <n v="0"/>
    <n v="187"/>
    <n v="190"/>
    <n v="173"/>
    <x v="0"/>
    <n v="112.34"/>
    <n v="21345.18"/>
    <s v="Lotus Agencies"/>
    <s v="OK"/>
    <s v="OK"/>
    <s v="OK"/>
  </r>
  <r>
    <x v="1"/>
    <x v="4"/>
    <s v="SKU-1006"/>
    <s v="Stapler (Bulk)"/>
    <x v="0"/>
    <s v="pcs"/>
    <n v="260"/>
    <n v="0"/>
    <n v="79"/>
    <n v="181"/>
    <n v="89"/>
    <x v="0"/>
    <n v="596.49"/>
    <n v="107965"/>
    <s v="Metro Wholesale"/>
    <s v="OK"/>
    <s v="OK"/>
    <s v="OK"/>
  </r>
  <r>
    <x v="1"/>
    <x v="4"/>
    <s v="SKU-1007"/>
    <s v="Box File"/>
    <x v="0"/>
    <s v="pcs"/>
    <n v="252"/>
    <n v="0"/>
    <n v="73"/>
    <n v="179"/>
    <n v="110"/>
    <x v="0"/>
    <n v="82.77"/>
    <n v="14816.25"/>
    <s v="Lotus Agencies"/>
    <s v="OK"/>
    <s v="OK"/>
    <s v="OK"/>
  </r>
  <r>
    <x v="1"/>
    <x v="4"/>
    <s v="SKU-1008"/>
    <s v="Box File (Bulk)"/>
    <x v="0"/>
    <s v="pcs"/>
    <n v="339"/>
    <n v="0"/>
    <n v="142"/>
    <n v="197"/>
    <n v="188"/>
    <x v="0"/>
    <n v="315.36"/>
    <n v="62125.45"/>
    <s v="Lotus Agencies"/>
    <s v="OK"/>
    <s v="OK"/>
    <s v="OK"/>
  </r>
  <r>
    <x v="1"/>
    <x v="4"/>
    <s v="SKU-1009"/>
    <s v="Whiteboard Marker Set"/>
    <x v="0"/>
    <s v="pcs"/>
    <n v="94"/>
    <n v="327"/>
    <n v="116"/>
    <n v="305"/>
    <n v="145"/>
    <x v="0"/>
    <n v="169.25"/>
    <n v="51620.71"/>
    <s v="Unity Traders"/>
    <s v="OK"/>
    <s v="OK"/>
    <s v="OK"/>
  </r>
  <r>
    <x v="1"/>
    <x v="4"/>
    <s v="SKU-1010"/>
    <s v="Whiteboard Marker Set (Bulk)"/>
    <x v="0"/>
    <s v="pcs"/>
    <n v="346"/>
    <n v="0"/>
    <n v="231"/>
    <n v="115"/>
    <n v="227"/>
    <x v="1"/>
    <n v="666.8"/>
    <n v="76681.95"/>
    <s v="Greenleaf Supplies"/>
    <s v="OK"/>
    <s v="OK"/>
    <s v="OK"/>
  </r>
  <r>
    <x v="1"/>
    <x v="4"/>
    <s v="SKU-1012"/>
    <s v="Sticky Notes Pack (Bulk)"/>
    <x v="0"/>
    <s v="pcs"/>
    <n v="64"/>
    <n v="222"/>
    <n v="54"/>
    <n v="232"/>
    <n v="106"/>
    <x v="0"/>
    <n v="269.44"/>
    <n v="62510.91"/>
    <s v="Lotus Agencies"/>
    <s v="OK"/>
    <s v="OK"/>
    <s v="OK"/>
  </r>
  <r>
    <x v="1"/>
    <x v="4"/>
    <s v="SKU-1013"/>
    <s v="Notebook 200 pages"/>
    <x v="0"/>
    <s v="pcs"/>
    <n v="199"/>
    <n v="563"/>
    <n v="197"/>
    <n v="565"/>
    <n v="229"/>
    <x v="0"/>
    <n v="56.86"/>
    <n v="32125.27"/>
    <s v="Greenleaf Supplies"/>
    <s v="OK"/>
    <s v="OK"/>
    <s v="OK"/>
  </r>
  <r>
    <x v="1"/>
    <x v="4"/>
    <s v="SKU-1014"/>
    <s v="Notebook 200 pages (Bulk)"/>
    <x v="0"/>
    <s v="pcs"/>
    <n v="45"/>
    <n v="107"/>
    <n v="51"/>
    <n v="101"/>
    <n v="40"/>
    <x v="0"/>
    <n v="264.92"/>
    <n v="26756.799999999999"/>
    <s v="Unity Traders"/>
    <s v="OK"/>
    <s v="OK"/>
    <s v="OK"/>
  </r>
  <r>
    <x v="1"/>
    <x v="4"/>
    <s v="SKU-1015"/>
    <s v="Calculator"/>
    <x v="0"/>
    <s v="pcs"/>
    <n v="52"/>
    <n v="0"/>
    <n v="33"/>
    <n v="19"/>
    <n v="28"/>
    <x v="1"/>
    <n v="465.11"/>
    <n v="8837.09"/>
    <s v="Lotus Agencies"/>
    <s v="OK"/>
    <s v="OK"/>
    <s v="OK"/>
  </r>
  <r>
    <x v="1"/>
    <x v="4"/>
    <s v="SKU-1016"/>
    <s v="Calculator (Bulk)"/>
    <x v="0"/>
    <s v="pcs"/>
    <n v="476"/>
    <n v="0"/>
    <n v="256"/>
    <n v="220"/>
    <n v="170"/>
    <x v="0"/>
    <n v="1884.37"/>
    <n v="414561.49"/>
    <s v="Sunrise Distributors"/>
    <s v="OK"/>
    <s v="OK"/>
    <s v="OK"/>
  </r>
  <r>
    <x v="1"/>
    <x v="4"/>
    <s v="SKU-1017"/>
    <s v="Glue Stick"/>
    <x v="0"/>
    <s v="pcs"/>
    <n v="285"/>
    <n v="0"/>
    <n v="89"/>
    <n v="196"/>
    <n v="82"/>
    <x v="0"/>
    <n v="23.24"/>
    <n v="4554.2"/>
    <s v="Unity Traders"/>
    <s v="OK"/>
    <s v="OK"/>
    <s v="OK"/>
  </r>
  <r>
    <x v="1"/>
    <x v="4"/>
    <s v="SKU-1018"/>
    <s v="Glue Stick (Bulk)"/>
    <x v="0"/>
    <s v="pcs"/>
    <n v="54"/>
    <n v="180"/>
    <n v="61"/>
    <n v="173"/>
    <n v="59"/>
    <x v="0"/>
    <n v="112.91"/>
    <n v="19533.47"/>
    <s v="Greenleaf Supplies"/>
    <s v="OK"/>
    <s v="OK"/>
    <s v="OK"/>
  </r>
  <r>
    <x v="1"/>
    <x v="4"/>
    <s v="SKU-1019"/>
    <s v="Envelope Pack"/>
    <x v="0"/>
    <s v="pcs"/>
    <n v="59"/>
    <n v="60"/>
    <n v="16"/>
    <n v="103"/>
    <n v="21"/>
    <x v="0"/>
    <n v="81.599999999999994"/>
    <n v="8404.7199999999993"/>
    <s v="Unity Traders"/>
    <s v="OK"/>
    <s v="OK"/>
    <s v="OK"/>
  </r>
  <r>
    <x v="1"/>
    <x v="4"/>
    <s v="SKU-1020"/>
    <s v="Envelope Pack (Bulk)"/>
    <x v="0"/>
    <s v="pcs"/>
    <n v="71"/>
    <n v="257"/>
    <n v="81"/>
    <n v="247"/>
    <n v="87"/>
    <x v="0"/>
    <n v="363.65"/>
    <n v="89822.65"/>
    <s v="Prime Packaging Works"/>
    <s v="OK"/>
    <s v="OK"/>
    <s v="OK"/>
  </r>
  <r>
    <x v="1"/>
    <x v="4"/>
    <s v="SKU-1021"/>
    <s v="LED Bulb 9W"/>
    <x v="1"/>
    <s v="pcs"/>
    <n v="52"/>
    <n v="74"/>
    <n v="19"/>
    <n v="107"/>
    <n v="46"/>
    <x v="0"/>
    <n v="104.76"/>
    <n v="11209.76"/>
    <s v="Prime Packaging Works"/>
    <s v="OK"/>
    <s v="OK"/>
    <s v="OK"/>
  </r>
  <r>
    <x v="1"/>
    <x v="4"/>
    <s v="SKU-1022"/>
    <s v="LED Bulb 9W (Bulk)"/>
    <x v="1"/>
    <s v="pcs"/>
    <n v="156"/>
    <n v="0"/>
    <n v="150"/>
    <n v="6"/>
    <n v="121"/>
    <x v="1"/>
    <n v="407.21"/>
    <n v="2443.29"/>
    <s v="Sunrise Distributors"/>
    <s v="OK"/>
    <s v="OK"/>
    <s v="OK"/>
  </r>
  <r>
    <x v="1"/>
    <x v="4"/>
    <s v="SKU-1023"/>
    <s v="LED Tube Light 20W"/>
    <x v="1"/>
    <s v="pcs"/>
    <n v="183"/>
    <n v="0"/>
    <n v="98"/>
    <n v="85"/>
    <n v="87"/>
    <x v="1"/>
    <n v="239.06"/>
    <n v="20320.03"/>
    <s v="Metro Wholesale"/>
    <s v="OK"/>
    <s v="OK"/>
    <s v="OK"/>
  </r>
  <r>
    <x v="1"/>
    <x v="4"/>
    <s v="SKU-1024"/>
    <s v="LED Tube Light 20W (Bulk)"/>
    <x v="1"/>
    <s v="pcs"/>
    <n v="336"/>
    <n v="218"/>
    <n v="84"/>
    <n v="470"/>
    <n v="115"/>
    <x v="0"/>
    <n v="1055.5999999999999"/>
    <n v="496132.68"/>
    <s v="Metro Wholesale"/>
    <s v="OK"/>
    <s v="OK"/>
    <s v="OK"/>
  </r>
  <r>
    <x v="1"/>
    <x v="4"/>
    <s v="SKU-1025"/>
    <s v="Extension Board"/>
    <x v="1"/>
    <s v="pcs"/>
    <n v="60"/>
    <n v="150"/>
    <n v="69"/>
    <n v="141"/>
    <n v="81"/>
    <x v="0"/>
    <n v="359.01"/>
    <n v="50620.71"/>
    <s v="Greenleaf Supplies"/>
    <s v="OK"/>
    <s v="OK"/>
    <s v="OK"/>
  </r>
  <r>
    <x v="1"/>
    <x v="4"/>
    <s v="SKU-1026"/>
    <s v="Extension Board (Bulk)"/>
    <x v="1"/>
    <s v="pcs"/>
    <n v="61"/>
    <n v="125"/>
    <n v="27"/>
    <n v="159"/>
    <n v="37"/>
    <x v="0"/>
    <n v="1701.79"/>
    <n v="270584.76"/>
    <s v="Northstar Enterprises"/>
    <s v="OK"/>
    <s v="OK"/>
    <s v="OK"/>
  </r>
  <r>
    <x v="1"/>
    <x v="4"/>
    <s v="SKU-1027"/>
    <s v="Ceiling Fan"/>
    <x v="1"/>
    <s v="pcs"/>
    <n v="146"/>
    <n v="420"/>
    <n v="85"/>
    <n v="481"/>
    <n v="193"/>
    <x v="0"/>
    <n v="1799.89"/>
    <n v="865746.6"/>
    <s v="Metro Wholesale"/>
    <s v="OK"/>
    <s v="OK"/>
    <s v="OK"/>
  </r>
  <r>
    <x v="1"/>
    <x v="4"/>
    <s v="SKU-1028"/>
    <s v="Ceiling Fan (Bulk)"/>
    <x v="1"/>
    <s v="pcs"/>
    <n v="308"/>
    <n v="598"/>
    <n v="227"/>
    <n v="679"/>
    <n v="255"/>
    <x v="0"/>
    <n v="7953.12"/>
    <n v="5400170.1900000004"/>
    <s v="Greenleaf Supplies"/>
    <s v="OK"/>
    <s v="OK"/>
    <s v="OK"/>
  </r>
  <r>
    <x v="1"/>
    <x v="4"/>
    <s v="SKU-1029"/>
    <s v="Modular Switch"/>
    <x v="1"/>
    <s v="pcs"/>
    <n v="266"/>
    <n v="0"/>
    <n v="102"/>
    <n v="164"/>
    <n v="118"/>
    <x v="0"/>
    <n v="43.71"/>
    <n v="7168.49"/>
    <s v="Sunrise Distributors"/>
    <s v="OK"/>
    <s v="OK"/>
    <s v="OK"/>
  </r>
  <r>
    <x v="1"/>
    <x v="4"/>
    <s v="SKU-1030"/>
    <s v="Modular Switch (Bulk)"/>
    <x v="1"/>
    <s v="pcs"/>
    <n v="726"/>
    <n v="0"/>
    <n v="199"/>
    <n v="527"/>
    <n v="314"/>
    <x v="0"/>
    <n v="216.33"/>
    <n v="114005.8"/>
    <s v="Northstar Enterprises"/>
    <s v="OK"/>
    <s v="OK"/>
    <s v="OK"/>
  </r>
  <r>
    <x v="1"/>
    <x v="4"/>
    <s v="SKU-1033"/>
    <s v="MCB 32A"/>
    <x v="1"/>
    <s v="pcs"/>
    <n v="335"/>
    <n v="0"/>
    <n v="94"/>
    <n v="241"/>
    <n v="139"/>
    <x v="0"/>
    <n v="253.69"/>
    <n v="61138.12"/>
    <s v="Lotus Agencies"/>
    <s v="OK"/>
    <s v="OK"/>
    <s v="OK"/>
  </r>
  <r>
    <x v="1"/>
    <x v="4"/>
    <s v="SKU-1038"/>
    <s v="Wall Socket (Bulk)"/>
    <x v="1"/>
    <s v="pcs"/>
    <n v="426"/>
    <n v="0"/>
    <n v="174"/>
    <n v="252"/>
    <n v="196"/>
    <x v="0"/>
    <n v="281.10000000000002"/>
    <n v="70837.19"/>
    <s v="Northstar Enterprises"/>
    <s v="OK"/>
    <s v="OK"/>
    <s v="OK"/>
  </r>
  <r>
    <x v="1"/>
    <x v="4"/>
    <s v="SKU-1039"/>
    <s v="Table Lamp"/>
    <x v="1"/>
    <s v="pcs"/>
    <n v="204"/>
    <n v="0"/>
    <n v="171"/>
    <n v="33"/>
    <n v="161"/>
    <x v="1"/>
    <n v="525.5"/>
    <n v="17341.599999999999"/>
    <s v="Apex Trading Co."/>
    <s v="OK"/>
    <s v="OK"/>
    <s v="OK"/>
  </r>
  <r>
    <x v="1"/>
    <x v="4"/>
    <s v="SKU-1040"/>
    <s v="Table Lamp (Bulk)"/>
    <x v="1"/>
    <s v="pcs"/>
    <n v="335"/>
    <n v="0"/>
    <n v="291"/>
    <n v="44"/>
    <n v="236"/>
    <x v="1"/>
    <n v="2377.34"/>
    <n v="104602.88"/>
    <s v="Northstar Enterprises"/>
    <s v="OK"/>
    <s v="OK"/>
    <s v="OK"/>
  </r>
  <r>
    <x v="1"/>
    <x v="4"/>
    <s v="SKU-1041"/>
    <s v="Basmati Rice"/>
    <x v="2"/>
    <s v="kg"/>
    <n v="97"/>
    <n v="186"/>
    <n v="89"/>
    <n v="194"/>
    <n v="96"/>
    <x v="0"/>
    <n v="101.63"/>
    <n v="19715.349999999999"/>
    <s v="Lotus Agencies"/>
    <s v="OK"/>
    <s v="OK"/>
    <s v="OK"/>
  </r>
  <r>
    <x v="1"/>
    <x v="4"/>
    <s v="SKU-1043"/>
    <s v="Toor Dal"/>
    <x v="2"/>
    <s v="kg"/>
    <n v="140"/>
    <n v="0"/>
    <n v="96"/>
    <n v="44"/>
    <n v="113"/>
    <x v="1"/>
    <n v="133.82"/>
    <n v="5888"/>
    <s v="Prime Packaging Works"/>
    <s v="OK"/>
    <s v="OK"/>
    <s v="OK"/>
  </r>
  <r>
    <x v="1"/>
    <x v="4"/>
    <s v="SKU-1044"/>
    <s v="Toor Dal (Bulk)"/>
    <x v="2"/>
    <s v="kg"/>
    <n v="243"/>
    <n v="0"/>
    <n v="190"/>
    <n v="53"/>
    <n v="195"/>
    <x v="1"/>
    <n v="593.75"/>
    <n v="31468.51"/>
    <s v="Unity Traders"/>
    <s v="OK"/>
    <s v="OK"/>
    <s v="OK"/>
  </r>
  <r>
    <x v="1"/>
    <x v="4"/>
    <s v="SKU-1046"/>
    <s v="Sugar (Bulk)"/>
    <x v="2"/>
    <s v="kg"/>
    <n v="227"/>
    <n v="494"/>
    <n v="187"/>
    <n v="534"/>
    <n v="247"/>
    <x v="0"/>
    <n v="204.87"/>
    <n v="109402.77"/>
    <s v="Northstar Enterprises"/>
    <s v="OK"/>
    <s v="OK"/>
    <s v="OK"/>
  </r>
  <r>
    <x v="1"/>
    <x v="4"/>
    <s v="SKU-1047"/>
    <s v="Wheat Atta"/>
    <x v="2"/>
    <s v="kg"/>
    <n v="227"/>
    <n v="474"/>
    <n v="205"/>
    <n v="496"/>
    <n v="261"/>
    <x v="0"/>
    <n v="40.380000000000003"/>
    <n v="20028.36"/>
    <s v="Greenleaf Supplies"/>
    <s v="OK"/>
    <s v="OK"/>
    <s v="OK"/>
  </r>
  <r>
    <x v="1"/>
    <x v="4"/>
    <s v="SKU-1049"/>
    <s v="Sunflower Oil (L)"/>
    <x v="2"/>
    <s v="kg"/>
    <n v="120"/>
    <n v="298"/>
    <n v="86"/>
    <n v="332"/>
    <n v="126"/>
    <x v="0"/>
    <n v="139.74"/>
    <n v="46392.6"/>
    <s v="Greenleaf Supplies"/>
    <s v="OK"/>
    <s v="OK"/>
    <s v="OK"/>
  </r>
  <r>
    <x v="1"/>
    <x v="4"/>
    <s v="SKU-1050"/>
    <s v="Sunflower Oil (L) (Bulk)"/>
    <x v="2"/>
    <s v="kg"/>
    <n v="42"/>
    <n v="92"/>
    <n v="28"/>
    <n v="106"/>
    <n v="43"/>
    <x v="0"/>
    <n v="604"/>
    <n v="64023.75"/>
    <s v="Unity Traders"/>
    <s v="OK"/>
    <s v="OK"/>
    <s v="OK"/>
  </r>
  <r>
    <x v="1"/>
    <x v="4"/>
    <s v="SKU-1051"/>
    <s v="Tea Leaves"/>
    <x v="2"/>
    <s v="kg"/>
    <n v="244"/>
    <n v="0"/>
    <n v="164"/>
    <n v="80"/>
    <n v="122"/>
    <x v="1"/>
    <n v="436.01"/>
    <n v="34880.92"/>
    <s v="Northstar Enterprises"/>
    <s v="OK"/>
    <s v="OK"/>
    <s v="OK"/>
  </r>
  <r>
    <x v="1"/>
    <x v="4"/>
    <s v="SKU-1052"/>
    <s v="Tea Leaves (Bulk)"/>
    <x v="2"/>
    <s v="kg"/>
    <n v="171"/>
    <n v="0"/>
    <n v="88"/>
    <n v="83"/>
    <n v="128"/>
    <x v="1"/>
    <n v="1913.41"/>
    <n v="158812.95000000001"/>
    <s v="Lotus Agencies"/>
    <s v="OK"/>
    <s v="OK"/>
    <s v="OK"/>
  </r>
  <r>
    <x v="1"/>
    <x v="4"/>
    <s v="SKU-1053"/>
    <s v="Salt"/>
    <x v="2"/>
    <s v="kg"/>
    <n v="15"/>
    <n v="41"/>
    <n v="14"/>
    <n v="42"/>
    <n v="16"/>
    <x v="0"/>
    <n v="22.3"/>
    <n v="936.5"/>
    <s v="Apex Trading Co."/>
    <s v="OK"/>
    <s v="OK"/>
    <s v="OK"/>
  </r>
  <r>
    <x v="1"/>
    <x v="4"/>
    <s v="SKU-1054"/>
    <s v="Salt (Bulk)"/>
    <x v="2"/>
    <s v="kg"/>
    <n v="103"/>
    <n v="371"/>
    <n v="64"/>
    <n v="410"/>
    <n v="161"/>
    <x v="0"/>
    <n v="99.57"/>
    <n v="40823.120000000003"/>
    <s v="Northstar Enterprises"/>
    <s v="OK"/>
    <s v="OK"/>
    <s v="OK"/>
  </r>
  <r>
    <x v="1"/>
    <x v="4"/>
    <s v="SKU-1055"/>
    <s v="Poha"/>
    <x v="2"/>
    <s v="kg"/>
    <n v="167"/>
    <n v="474"/>
    <n v="96"/>
    <n v="545"/>
    <n v="210"/>
    <x v="0"/>
    <n v="58.72"/>
    <n v="32002.959999999999"/>
    <s v="Prime Packaging Works"/>
    <s v="OK"/>
    <s v="OK"/>
    <s v="OK"/>
  </r>
  <r>
    <x v="1"/>
    <x v="4"/>
    <s v="SKU-1056"/>
    <s v="Poha (Bulk)"/>
    <x v="2"/>
    <s v="kg"/>
    <n v="55"/>
    <n v="0"/>
    <n v="23"/>
    <n v="32"/>
    <n v="17"/>
    <x v="0"/>
    <n v="303.56"/>
    <n v="9713.99"/>
    <s v="Northstar Enterprises"/>
    <s v="OK"/>
    <s v="OK"/>
    <s v="OK"/>
  </r>
  <r>
    <x v="1"/>
    <x v="4"/>
    <s v="SKU-1058"/>
    <s v="Chana Dal (Bulk)"/>
    <x v="2"/>
    <s v="kg"/>
    <n v="99"/>
    <n v="133"/>
    <n v="43"/>
    <n v="189"/>
    <n v="56"/>
    <x v="0"/>
    <n v="401.16"/>
    <n v="75819.350000000006"/>
    <s v="Lotus Agencies"/>
    <s v="OK"/>
    <s v="OK"/>
    <s v="OK"/>
  </r>
  <r>
    <x v="1"/>
    <x v="4"/>
    <s v="SKU-1062"/>
    <s v="Hammer (Bulk)"/>
    <x v="3"/>
    <s v="pcs"/>
    <n v="368"/>
    <n v="0"/>
    <n v="80"/>
    <n v="288"/>
    <n v="102"/>
    <x v="0"/>
    <n v="1192.8699999999999"/>
    <n v="343546.46"/>
    <s v="Apex Trading Co."/>
    <s v="OK"/>
    <s v="OK"/>
    <s v="OK"/>
  </r>
  <r>
    <x v="1"/>
    <x v="4"/>
    <s v="SKU-1063"/>
    <s v="Screwdriver Set"/>
    <x v="3"/>
    <s v="pcs"/>
    <n v="94"/>
    <n v="316"/>
    <n v="74"/>
    <n v="336"/>
    <n v="134"/>
    <x v="0"/>
    <n v="307.29000000000002"/>
    <n v="103247.94"/>
    <s v="Sunrise Distributors"/>
    <s v="OK"/>
    <s v="OK"/>
    <s v="OK"/>
  </r>
  <r>
    <x v="1"/>
    <x v="4"/>
    <s v="SKU-1064"/>
    <s v="Screwdriver Set (Bulk)"/>
    <x v="3"/>
    <s v="pcs"/>
    <n v="341"/>
    <n v="507"/>
    <n v="218"/>
    <n v="630"/>
    <n v="159"/>
    <x v="0"/>
    <n v="1527.6"/>
    <n v="962386.32"/>
    <s v="Northstar Enterprises"/>
    <s v="OK"/>
    <s v="OK"/>
    <s v="OK"/>
  </r>
  <r>
    <x v="1"/>
    <x v="4"/>
    <s v="SKU-1065"/>
    <s v="Wall Plug Pack"/>
    <x v="3"/>
    <s v="pcs"/>
    <n v="267"/>
    <n v="413"/>
    <n v="159"/>
    <n v="521"/>
    <n v="140"/>
    <x v="0"/>
    <n v="43.2"/>
    <n v="22509.21"/>
    <s v="Metro Wholesale"/>
    <s v="OK"/>
    <s v="OK"/>
    <s v="OK"/>
  </r>
  <r>
    <x v="1"/>
    <x v="4"/>
    <s v="SKU-1066"/>
    <s v="Wall Plug Pack (Bulk)"/>
    <x v="3"/>
    <s v="pcs"/>
    <n v="50"/>
    <n v="104"/>
    <n v="32"/>
    <n v="122"/>
    <n v="46"/>
    <x v="0"/>
    <n v="226.44"/>
    <n v="27626.03"/>
    <s v="Lotus Agencies"/>
    <s v="OK"/>
    <s v="OK"/>
    <s v="OK"/>
  </r>
  <r>
    <x v="1"/>
    <x v="4"/>
    <s v="SKU-1067"/>
    <s v="Padlock"/>
    <x v="3"/>
    <s v="pcs"/>
    <n v="45"/>
    <n v="142"/>
    <n v="51"/>
    <n v="136"/>
    <n v="67"/>
    <x v="0"/>
    <n v="218.03"/>
    <n v="29651.5"/>
    <s v="Metro Wholesale"/>
    <s v="OK"/>
    <s v="OK"/>
    <s v="OK"/>
  </r>
  <r>
    <x v="1"/>
    <x v="4"/>
    <s v="SKU-1068"/>
    <s v="Padlock (Bulk)"/>
    <x v="3"/>
    <s v="pcs"/>
    <n v="154"/>
    <n v="0"/>
    <n v="51"/>
    <n v="103"/>
    <n v="84"/>
    <x v="0"/>
    <n v="914.71"/>
    <n v="94214.8"/>
    <s v="Apex Trading Co."/>
    <s v="OK"/>
    <s v="OK"/>
    <s v="OK"/>
  </r>
  <r>
    <x v="1"/>
    <x v="4"/>
    <s v="SKU-1069"/>
    <s v="Measuring Tape 5m"/>
    <x v="3"/>
    <s v="pcs"/>
    <n v="197"/>
    <n v="0"/>
    <n v="134"/>
    <n v="63"/>
    <n v="146"/>
    <x v="1"/>
    <n v="132.47999999999999"/>
    <n v="8346.17"/>
    <s v="Unity Traders"/>
    <s v="OK"/>
    <s v="OK"/>
    <s v="OK"/>
  </r>
  <r>
    <x v="1"/>
    <x v="4"/>
    <s v="SKU-1070"/>
    <s v="Measuring Tape 5m (Bulk)"/>
    <x v="3"/>
    <s v="pcs"/>
    <n v="548"/>
    <n v="0"/>
    <n v="146"/>
    <n v="402"/>
    <n v="231"/>
    <x v="0"/>
    <n v="594.34"/>
    <n v="238924.76"/>
    <s v="Northstar Enterprises"/>
    <s v="OK"/>
    <s v="OK"/>
    <s v="OK"/>
  </r>
  <r>
    <x v="1"/>
    <x v="4"/>
    <s v="SKU-1071"/>
    <s v="Spanner Set"/>
    <x v="3"/>
    <s v="pcs"/>
    <n v="101"/>
    <n v="529"/>
    <n v="249"/>
    <n v="381"/>
    <n v="180"/>
    <x v="0"/>
    <n v="651.13"/>
    <n v="248080.32"/>
    <s v="Prime Packaging Works"/>
    <s v="OK"/>
    <s v="OK"/>
    <s v="OK"/>
  </r>
  <r>
    <x v="1"/>
    <x v="4"/>
    <s v="SKU-1072"/>
    <s v="Spanner Set (Bulk)"/>
    <x v="3"/>
    <s v="pcs"/>
    <n v="65"/>
    <n v="192"/>
    <n v="77"/>
    <n v="180"/>
    <n v="96"/>
    <x v="0"/>
    <n v="3088.67"/>
    <n v="555960.28"/>
    <s v="Greenleaf Supplies"/>
    <s v="OK"/>
    <s v="OK"/>
    <s v="OK"/>
  </r>
  <r>
    <x v="1"/>
    <x v="4"/>
    <s v="SKU-1073"/>
    <s v="Drill Bit Set"/>
    <x v="3"/>
    <s v="pcs"/>
    <n v="502"/>
    <n v="0"/>
    <n v="146"/>
    <n v="356"/>
    <n v="168"/>
    <x v="0"/>
    <n v="465.62"/>
    <n v="165760.28"/>
    <s v="Lotus Agencies"/>
    <s v="OK"/>
    <s v="OK"/>
    <s v="OK"/>
  </r>
  <r>
    <x v="1"/>
    <x v="4"/>
    <s v="SKU-1074"/>
    <s v="Drill Bit Set (Bulk)"/>
    <x v="3"/>
    <s v="pcs"/>
    <n v="296"/>
    <n v="0"/>
    <n v="187"/>
    <n v="109"/>
    <n v="232"/>
    <x v="1"/>
    <n v="2312.85"/>
    <n v="252100.66"/>
    <s v="Prime Packaging Works"/>
    <s v="OK"/>
    <s v="OK"/>
    <s v="OK"/>
  </r>
  <r>
    <x v="1"/>
    <x v="4"/>
    <s v="SKU-1075"/>
    <s v="Wood Screws Pack"/>
    <x v="3"/>
    <s v="pcs"/>
    <n v="187"/>
    <n v="243"/>
    <n v="65"/>
    <n v="365"/>
    <n v="93"/>
    <x v="0"/>
    <n v="65.349999999999994"/>
    <n v="23850.95"/>
    <s v="Prime Packaging Works"/>
    <s v="OK"/>
    <s v="OK"/>
    <s v="OK"/>
  </r>
  <r>
    <x v="1"/>
    <x v="4"/>
    <s v="SKU-1076"/>
    <s v="Wood Screws Pack (Bulk)"/>
    <x v="3"/>
    <s v="pcs"/>
    <n v="14"/>
    <n v="129"/>
    <n v="29"/>
    <n v="114"/>
    <n v="39"/>
    <x v="0"/>
    <n v="338.06"/>
    <n v="38538.53"/>
    <s v="Northstar Enterprises"/>
    <s v="OK"/>
    <s v="OK"/>
    <s v="OK"/>
  </r>
  <r>
    <x v="1"/>
    <x v="4"/>
    <s v="SKU-1077"/>
    <s v="Door Hinge"/>
    <x v="3"/>
    <s v="pcs"/>
    <n v="432"/>
    <n v="0"/>
    <n v="127"/>
    <n v="305"/>
    <n v="130"/>
    <x v="0"/>
    <n v="53.96"/>
    <n v="16457.669999999998"/>
    <s v="Unity Traders"/>
    <s v="OK"/>
    <s v="OK"/>
    <s v="OK"/>
  </r>
  <r>
    <x v="1"/>
    <x v="4"/>
    <s v="SKU-1078"/>
    <s v="Door Hinge (Bulk)"/>
    <x v="3"/>
    <s v="pcs"/>
    <n v="234"/>
    <n v="0"/>
    <n v="51"/>
    <n v="183"/>
    <n v="66"/>
    <x v="0"/>
    <n v="261.07"/>
    <n v="47775.28"/>
    <s v="Northstar Enterprises"/>
    <s v="OK"/>
    <s v="OK"/>
    <s v="OK"/>
  </r>
  <r>
    <x v="1"/>
    <x v="4"/>
    <s v="SKU-1079"/>
    <s v="Paint Brush"/>
    <x v="3"/>
    <s v="pcs"/>
    <n v="202"/>
    <n v="742"/>
    <n v="301"/>
    <n v="643"/>
    <n v="261"/>
    <x v="0"/>
    <n v="79.44"/>
    <n v="51081.62"/>
    <s v="Unity Traders"/>
    <s v="OK"/>
    <s v="OK"/>
    <s v="OK"/>
  </r>
  <r>
    <x v="1"/>
    <x v="4"/>
    <s v="SKU-1080"/>
    <s v="Paint Brush (Bulk)"/>
    <x v="3"/>
    <s v="pcs"/>
    <n v="275"/>
    <n v="0"/>
    <n v="88"/>
    <n v="187"/>
    <n v="88"/>
    <x v="0"/>
    <n v="383.45"/>
    <n v="71705.009999999995"/>
    <s v="Sunrise Distributors"/>
    <s v="OK"/>
    <s v="OK"/>
    <s v="OK"/>
  </r>
  <r>
    <x v="1"/>
    <x v="4"/>
    <s v="SKU-1081"/>
    <s v="Floor Cleaner 1L"/>
    <x v="4"/>
    <s v="pcs"/>
    <n v="26"/>
    <n v="0"/>
    <n v="18"/>
    <n v="8"/>
    <n v="15"/>
    <x v="1"/>
    <n v="131.88"/>
    <n v="1055.06"/>
    <s v="Lotus Agencies"/>
    <s v="OK"/>
    <s v="OK"/>
    <s v="OK"/>
  </r>
  <r>
    <x v="1"/>
    <x v="4"/>
    <s v="SKU-1082"/>
    <s v="Floor Cleaner 1L (Bulk)"/>
    <x v="4"/>
    <s v="pcs"/>
    <n v="154"/>
    <n v="342"/>
    <n v="87"/>
    <n v="409"/>
    <n v="135"/>
    <x v="0"/>
    <n v="548.28"/>
    <n v="224246.5"/>
    <s v="Apex Trading Co."/>
    <s v="OK"/>
    <s v="OK"/>
    <s v="OK"/>
  </r>
  <r>
    <x v="1"/>
    <x v="4"/>
    <s v="SKU-1085"/>
    <s v="Phenyl 1L"/>
    <x v="4"/>
    <s v="pcs"/>
    <n v="450"/>
    <n v="513"/>
    <n v="197"/>
    <n v="766"/>
    <n v="213"/>
    <x v="0"/>
    <n v="63.58"/>
    <n v="48699.16"/>
    <s v="Greenleaf Supplies"/>
    <s v="OK"/>
    <s v="OK"/>
    <s v="OK"/>
  </r>
  <r>
    <x v="1"/>
    <x v="4"/>
    <s v="SKU-1086"/>
    <s v="Phenyl 1L (Bulk)"/>
    <x v="4"/>
    <s v="pcs"/>
    <n v="125"/>
    <n v="451"/>
    <n v="142"/>
    <n v="434"/>
    <n v="171"/>
    <x v="0"/>
    <n v="327.5"/>
    <n v="142132.95000000001"/>
    <s v="Sunrise Distributors"/>
    <s v="OK"/>
    <s v="OK"/>
    <s v="OK"/>
  </r>
  <r>
    <x v="1"/>
    <x v="4"/>
    <s v="SKU-1087"/>
    <s v="Broom"/>
    <x v="4"/>
    <s v="pcs"/>
    <n v="72"/>
    <n v="0"/>
    <n v="44"/>
    <n v="28"/>
    <n v="55"/>
    <x v="1"/>
    <n v="116.76"/>
    <n v="3269.29"/>
    <s v="Apex Trading Co."/>
    <s v="OK"/>
    <s v="OK"/>
    <s v="OK"/>
  </r>
  <r>
    <x v="1"/>
    <x v="4"/>
    <s v="SKU-1088"/>
    <s v="Broom (Bulk)"/>
    <x v="4"/>
    <s v="pcs"/>
    <n v="26"/>
    <n v="365"/>
    <n v="102"/>
    <n v="289"/>
    <n v="112"/>
    <x v="0"/>
    <n v="535.87"/>
    <n v="154865.01999999999"/>
    <s v="Apex Trading Co."/>
    <s v="OK"/>
    <s v="OK"/>
    <s v="OK"/>
  </r>
  <r>
    <x v="1"/>
    <x v="4"/>
    <s v="SKU-1089"/>
    <s v="Mop with Bucket"/>
    <x v="4"/>
    <s v="pcs"/>
    <n v="265"/>
    <n v="0"/>
    <n v="204"/>
    <n v="61"/>
    <n v="194"/>
    <x v="1"/>
    <n v="865.53"/>
    <n v="52797.47"/>
    <s v="Greenleaf Supplies"/>
    <s v="OK"/>
    <s v="OK"/>
    <s v="OK"/>
  </r>
  <r>
    <x v="1"/>
    <x v="4"/>
    <s v="SKU-1090"/>
    <s v="Mop with Bucket (Bulk)"/>
    <x v="4"/>
    <s v="pcs"/>
    <n v="272"/>
    <n v="0"/>
    <n v="95"/>
    <n v="177"/>
    <n v="192"/>
    <x v="1"/>
    <n v="4042.96"/>
    <n v="715603.45"/>
    <s v="Greenleaf Supplies"/>
    <s v="OK"/>
    <s v="OK"/>
    <s v="OK"/>
  </r>
  <r>
    <x v="1"/>
    <x v="4"/>
    <s v="SKU-1091"/>
    <s v="Garbage Bags Roll"/>
    <x v="4"/>
    <s v="pcs"/>
    <n v="122"/>
    <n v="409"/>
    <n v="123"/>
    <n v="408"/>
    <n v="245"/>
    <x v="0"/>
    <n v="94.34"/>
    <n v="38488.800000000003"/>
    <s v="Apex Trading Co."/>
    <s v="OK"/>
    <s v="OK"/>
    <s v="OK"/>
  </r>
  <r>
    <x v="1"/>
    <x v="4"/>
    <s v="SKU-1092"/>
    <s v="Garbage Bags Roll (Bulk)"/>
    <x v="4"/>
    <s v="pcs"/>
    <n v="135"/>
    <n v="0"/>
    <n v="128"/>
    <n v="7"/>
    <n v="111"/>
    <x v="1"/>
    <n v="389.87"/>
    <n v="2729.08"/>
    <s v="Metro Wholesale"/>
    <s v="OK"/>
    <s v="OK"/>
    <s v="OK"/>
  </r>
  <r>
    <x v="1"/>
    <x v="4"/>
    <s v="SKU-1094"/>
    <s v="Hand Wash 250ml (Bulk)"/>
    <x v="4"/>
    <s v="pcs"/>
    <n v="746"/>
    <n v="470"/>
    <n v="262"/>
    <n v="954"/>
    <n v="293"/>
    <x v="0"/>
    <n v="367.55"/>
    <n v="350646.91"/>
    <s v="Metro Wholesale"/>
    <s v="OK"/>
    <s v="OK"/>
    <s v="OK"/>
  </r>
  <r>
    <x v="1"/>
    <x v="4"/>
    <s v="SKU-1095"/>
    <s v="Glass Cleaner"/>
    <x v="4"/>
    <s v="pcs"/>
    <n v="162"/>
    <n v="274"/>
    <n v="97"/>
    <n v="339"/>
    <n v="141"/>
    <x v="0"/>
    <n v="102.05"/>
    <n v="34594.550000000003"/>
    <s v="Lotus Agencies"/>
    <s v="OK"/>
    <s v="OK"/>
    <s v="OK"/>
  </r>
  <r>
    <x v="1"/>
    <x v="4"/>
    <s v="SKU-1096"/>
    <s v="Glass Cleaner (Bulk)"/>
    <x v="4"/>
    <s v="pcs"/>
    <n v="23"/>
    <n v="98"/>
    <n v="51"/>
    <n v="70"/>
    <n v="43"/>
    <x v="0"/>
    <n v="432.1"/>
    <n v="30247"/>
    <s v="Sunrise Distributors"/>
    <s v="OK"/>
    <s v="OK"/>
    <s v="OK"/>
  </r>
  <r>
    <x v="1"/>
    <x v="4"/>
    <s v="SKU-1097"/>
    <s v="Scrub Pad Pack"/>
    <x v="4"/>
    <s v="pcs"/>
    <n v="29"/>
    <n v="90"/>
    <n v="29"/>
    <n v="90"/>
    <n v="28"/>
    <x v="0"/>
    <n v="40.53"/>
    <n v="3647.36"/>
    <s v="Greenleaf Supplies"/>
    <s v="OK"/>
    <s v="OK"/>
    <s v="OK"/>
  </r>
  <r>
    <x v="1"/>
    <x v="4"/>
    <s v="SKU-1098"/>
    <s v="Scrub Pad Pack (Bulk)"/>
    <x v="4"/>
    <s v="pcs"/>
    <n v="40"/>
    <n v="261"/>
    <n v="85"/>
    <n v="216"/>
    <n v="105"/>
    <x v="0"/>
    <n v="176.28"/>
    <n v="38076.81"/>
    <s v="Lotus Agencies"/>
    <s v="OK"/>
    <s v="OK"/>
    <s v="OK"/>
  </r>
  <r>
    <x v="1"/>
    <x v="4"/>
    <s v="SKU-1099"/>
    <s v="Dustbin 20L"/>
    <x v="4"/>
    <s v="pcs"/>
    <n v="231"/>
    <n v="564"/>
    <n v="118"/>
    <n v="677"/>
    <n v="284"/>
    <x v="0"/>
    <n v="314.54000000000002"/>
    <n v="212943.45"/>
    <s v="Unity Traders"/>
    <s v="OK"/>
    <s v="OK"/>
    <s v="OK"/>
  </r>
  <r>
    <x v="1"/>
    <x v="4"/>
    <s v="SKU-1100"/>
    <s v="Dustbin 20L (Bulk)"/>
    <x v="4"/>
    <s v="pcs"/>
    <n v="399"/>
    <n v="0"/>
    <n v="279"/>
    <n v="120"/>
    <n v="286"/>
    <x v="1"/>
    <n v="1737.94"/>
    <n v="208552.3"/>
    <s v="Prime Packaging Works"/>
    <s v="OK"/>
    <s v="OK"/>
    <s v="OK"/>
  </r>
  <r>
    <x v="1"/>
    <x v="4"/>
    <s v="SKU-1101"/>
    <s v="Corrugated Box Small"/>
    <x v="5"/>
    <s v="pcs"/>
    <n v="772"/>
    <n v="0"/>
    <n v="167"/>
    <n v="605"/>
    <n v="171"/>
    <x v="0"/>
    <n v="17.13"/>
    <n v="10362.84"/>
    <s v="Metro Wholesale"/>
    <s v="OK"/>
    <s v="OK"/>
    <s v="OK"/>
  </r>
  <r>
    <x v="1"/>
    <x v="4"/>
    <s v="SKU-1102"/>
    <s v="Corrugated Box Small (Bulk)"/>
    <x v="5"/>
    <s v="pcs"/>
    <n v="258"/>
    <n v="550"/>
    <n v="111"/>
    <n v="697"/>
    <n v="221"/>
    <x v="0"/>
    <n v="85.95"/>
    <n v="59904.75"/>
    <s v="Sunrise Distributors"/>
    <s v="OK"/>
    <s v="OK"/>
    <s v="OK"/>
  </r>
  <r>
    <x v="1"/>
    <x v="4"/>
    <s v="SKU-1103"/>
    <s v="Corrugated Box Large"/>
    <x v="5"/>
    <s v="pcs"/>
    <n v="295"/>
    <n v="271"/>
    <n v="79"/>
    <n v="487"/>
    <n v="138"/>
    <x v="0"/>
    <n v="41.47"/>
    <n v="20195.830000000002"/>
    <s v="Metro Wholesale"/>
    <s v="OK"/>
    <s v="OK"/>
    <s v="OK"/>
  </r>
  <r>
    <x v="1"/>
    <x v="4"/>
    <s v="SKU-1104"/>
    <s v="Corrugated Box Large (Bulk)"/>
    <x v="5"/>
    <s v="pcs"/>
    <n v="214"/>
    <n v="0"/>
    <n v="128"/>
    <n v="86"/>
    <n v="133"/>
    <x v="1"/>
    <n v="178.99"/>
    <n v="15393.37"/>
    <s v="Unity Traders"/>
    <s v="OK"/>
    <s v="OK"/>
    <s v="OK"/>
  </r>
  <r>
    <x v="1"/>
    <x v="4"/>
    <s v="SKU-1106"/>
    <s v="Bubble Wrap Roll (Bulk)"/>
    <x v="5"/>
    <s v="pcs"/>
    <n v="250"/>
    <n v="0"/>
    <n v="136"/>
    <n v="114"/>
    <n v="120"/>
    <x v="1"/>
    <n v="1721.55"/>
    <n v="196256.15"/>
    <s v="Apex Trading Co."/>
    <s v="OK"/>
    <s v="OK"/>
    <s v="OK"/>
  </r>
  <r>
    <x v="1"/>
    <x v="4"/>
    <s v="SKU-1107"/>
    <s v="Packing Tape"/>
    <x v="5"/>
    <s v="pcs"/>
    <n v="714"/>
    <n v="0"/>
    <n v="187"/>
    <n v="527"/>
    <n v="215"/>
    <x v="0"/>
    <n v="47.58"/>
    <n v="25075.77"/>
    <s v="Unity Traders"/>
    <s v="OK"/>
    <s v="OK"/>
    <s v="OK"/>
  </r>
  <r>
    <x v="1"/>
    <x v="4"/>
    <s v="SKU-1108"/>
    <s v="Packing Tape (Bulk)"/>
    <x v="5"/>
    <s v="pcs"/>
    <n v="186"/>
    <n v="527"/>
    <n v="137"/>
    <n v="576"/>
    <n v="216"/>
    <x v="0"/>
    <n v="215.86"/>
    <n v="124334.22"/>
    <s v="Northstar Enterprises"/>
    <s v="OK"/>
    <s v="OK"/>
    <s v="OK"/>
  </r>
  <r>
    <x v="1"/>
    <x v="4"/>
    <s v="SKU-1110"/>
    <s v="Courier Bag Pack (Bulk)"/>
    <x v="5"/>
    <s v="pcs"/>
    <n v="65"/>
    <n v="305"/>
    <n v="74"/>
    <n v="296"/>
    <n v="74"/>
    <x v="0"/>
    <n v="698.76"/>
    <n v="206833.89"/>
    <s v="Greenleaf Supplies"/>
    <s v="OK"/>
    <s v="OK"/>
    <s v="OK"/>
  </r>
  <r>
    <x v="1"/>
    <x v="4"/>
    <s v="SKU-1111"/>
    <s v="Stretch Film Roll"/>
    <x v="5"/>
    <s v="pcs"/>
    <n v="48"/>
    <n v="212"/>
    <n v="105"/>
    <n v="155"/>
    <n v="97"/>
    <x v="0"/>
    <n v="555.27"/>
    <n v="86067.59"/>
    <s v="Sunrise Distributors"/>
    <s v="OK"/>
    <s v="OK"/>
    <s v="OK"/>
  </r>
  <r>
    <x v="1"/>
    <x v="4"/>
    <s v="SKU-1112"/>
    <s v="Stretch Film Roll (Bulk)"/>
    <x v="5"/>
    <s v="pcs"/>
    <n v="281"/>
    <n v="0"/>
    <n v="66"/>
    <n v="215"/>
    <n v="101"/>
    <x v="0"/>
    <n v="2413.5100000000002"/>
    <n v="518905.59"/>
    <s v="Greenleaf Supplies"/>
    <s v="OK"/>
    <s v="OK"/>
    <s v="OK"/>
  </r>
  <r>
    <x v="1"/>
    <x v="4"/>
    <s v="SKU-1114"/>
    <s v="Kraft Paper Roll (Bulk)"/>
    <x v="5"/>
    <s v="pcs"/>
    <n v="278"/>
    <n v="0"/>
    <n v="93"/>
    <n v="185"/>
    <n v="109"/>
    <x v="0"/>
    <n v="1274.8599999999999"/>
    <n v="235849.49"/>
    <s v="Unity Traders"/>
    <s v="OK"/>
    <s v="OK"/>
    <s v="OK"/>
  </r>
  <r>
    <x v="1"/>
    <x v="4"/>
    <s v="SKU-1115"/>
    <s v="Label Sticker Roll"/>
    <x v="5"/>
    <s v="pcs"/>
    <n v="544"/>
    <n v="0"/>
    <n v="200"/>
    <n v="344"/>
    <n v="197"/>
    <x v="0"/>
    <n v="237.82"/>
    <n v="81810.53"/>
    <s v="Sunrise Distributors"/>
    <s v="OK"/>
    <s v="OK"/>
    <s v="OK"/>
  </r>
  <r>
    <x v="1"/>
    <x v="4"/>
    <s v="SKU-1116"/>
    <s v="Label Sticker Roll (Bulk)"/>
    <x v="5"/>
    <s v="pcs"/>
    <n v="443"/>
    <n v="0"/>
    <n v="98"/>
    <n v="345"/>
    <n v="84"/>
    <x v="0"/>
    <n v="955"/>
    <n v="329474.45"/>
    <s v="Apex Trading Co."/>
    <s v="OK"/>
    <s v="OK"/>
    <s v="OK"/>
  </r>
  <r>
    <x v="1"/>
    <x v="4"/>
    <s v="SKU-1117"/>
    <s v="Thermocol Sheet"/>
    <x v="5"/>
    <s v="pcs"/>
    <n v="172"/>
    <n v="0"/>
    <n v="146"/>
    <n v="26"/>
    <n v="139"/>
    <x v="1"/>
    <n v="32.99"/>
    <n v="857.74"/>
    <s v="Prime Packaging Works"/>
    <s v="OK"/>
    <s v="OK"/>
    <s v="OK"/>
  </r>
  <r>
    <x v="1"/>
    <x v="4"/>
    <s v="SKU-1118"/>
    <s v="Thermocol Sheet (Bulk)"/>
    <x v="5"/>
    <s v="pcs"/>
    <n v="295"/>
    <n v="0"/>
    <n v="138"/>
    <n v="157"/>
    <n v="204"/>
    <x v="1"/>
    <n v="154.08000000000001"/>
    <n v="24189.86"/>
    <s v="Northstar Enterprises"/>
    <s v="OK"/>
    <s v="OK"/>
    <s v="OK"/>
  </r>
  <r>
    <x v="1"/>
    <x v="4"/>
    <s v="SKU-1119"/>
    <s v="Twine Roll"/>
    <x v="5"/>
    <s v="pcs"/>
    <n v="212"/>
    <n v="0"/>
    <n v="94"/>
    <n v="118"/>
    <n v="130"/>
    <x v="1"/>
    <n v="58.94"/>
    <n v="6954.94"/>
    <s v="Prime Packaging Works"/>
    <s v="OK"/>
    <s v="OK"/>
    <s v="OK"/>
  </r>
  <r>
    <x v="1"/>
    <x v="4"/>
    <s v="SKU-1120"/>
    <s v="Twine Roll (Bulk)"/>
    <x v="5"/>
    <s v="pcs"/>
    <n v="249"/>
    <n v="0"/>
    <n v="60"/>
    <n v="189"/>
    <n v="100"/>
    <x v="0"/>
    <n v="284.95"/>
    <n v="53854.86"/>
    <s v="Sunrise Distributors"/>
    <s v="OK"/>
    <s v="OK"/>
    <s v="OK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AEEA85-FC94-4D1A-BE61-9745FF2D3D64}" name="PivotTable1" cacheId="40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A3:B9" firstHeaderRow="1" firstDataRow="1" firstDataCol="1"/>
  <pivotFields count="18">
    <pivotField compact="0" numFmtId="14" outline="0" showAll="0"/>
    <pivotField axis="axisRow" compact="0" outline="0" showAll="0" sortType="descending">
      <items count="6">
        <item x="0"/>
        <item x="1"/>
        <item x="2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"/>
  </rowFields>
  <rowItems count="6">
    <i>
      <x v="2"/>
    </i>
    <i>
      <x v="3"/>
    </i>
    <i>
      <x/>
    </i>
    <i>
      <x v="4"/>
    </i>
    <i>
      <x v="1"/>
    </i>
    <i t="grand">
      <x/>
    </i>
  </rowItems>
  <colItems count="1">
    <i/>
  </colItems>
  <dataFields count="1">
    <dataField name="Sum of stock_value" fld="13" baseField="0" baseItem="0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8705E7-F0A8-47FC-ABA7-AD1C31D16F24}" name="PivotTable2" cacheId="40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A3:B10" firstHeaderRow="1" firstDataRow="1" firstDataCol="1"/>
  <pivotFields count="18">
    <pivotField compact="0" numFmtId="14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7">
        <item x="4"/>
        <item x="1"/>
        <item x="2"/>
        <item x="3"/>
        <item x="5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7">
    <i>
      <x v="1"/>
    </i>
    <i>
      <x v="3"/>
    </i>
    <i>
      <x/>
    </i>
    <i>
      <x v="5"/>
    </i>
    <i>
      <x v="4"/>
    </i>
    <i>
      <x v="2"/>
    </i>
    <i t="grand">
      <x/>
    </i>
  </rowItems>
  <colItems count="1">
    <i/>
  </colItems>
  <dataFields count="1">
    <dataField name="Sum of stock_value" fld="13" baseField="0" baseItem="0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ADB6D2-DB63-482E-B1A7-6F29F819370F}" name="PivotTable3" cacheId="40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A3:B6" firstHeaderRow="1" firstDataRow="1" firstDataCol="1"/>
  <pivotFields count="18">
    <pivotField compact="0" numFmtId="14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1"/>
  </rowFields>
  <rowItems count="3">
    <i>
      <x/>
    </i>
    <i>
      <x v="1"/>
    </i>
    <i t="grand">
      <x/>
    </i>
  </rowItems>
  <colItems count="1">
    <i/>
  </colItems>
  <dataFields count="1">
    <dataField name="Count of sku" fld="2" subtotal="count" baseField="0" baseItem="0"/>
  </dataFields>
  <chartFormats count="12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4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5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4" format="16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B64B4E-7F2F-4738-9E26-60AA144B2B50}" name="PivotTable4" cacheId="40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A3:B6" firstHeaderRow="1" firstDataRow="1" firstDataCol="1"/>
  <pivotFields count="18">
    <pivotField axis="axisRow" compact="0" numFmtId="14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um of stock_value" fld="13" baseField="0" baseItem="0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25C3A6A-3EF9-464E-80FC-A20ADD5D92E1}" name="Table13" displayName="Table13" ref="A1:S1001" totalsRowShown="0">
  <autoFilter ref="A1:S1001" xr:uid="{4ED4A01F-F960-482C-B35C-540A8C75CCA2}"/>
  <sortState xmlns:xlrd2="http://schemas.microsoft.com/office/spreadsheetml/2017/richdata2" ref="A2:R1001">
    <sortCondition ref="P1:P1001"/>
  </sortState>
  <tableColumns count="19">
    <tableColumn id="1" xr3:uid="{CC006D67-A273-4270-A534-F1A631F22706}" name="month" dataDxfId="5"/>
    <tableColumn id="2" xr3:uid="{E6F67DB0-662E-4734-9A26-418B79B01387}" name="warehouse"/>
    <tableColumn id="3" xr3:uid="{58AACD0D-7633-49ED-A8ED-17C6D9C4544D}" name="sku"/>
    <tableColumn id="4" xr3:uid="{C6B738D0-E278-4654-AAA5-28F9B9629A30}" name="item_name"/>
    <tableColumn id="5" xr3:uid="{755EC801-814E-47D4-A2E7-26BED7656F75}" name="category"/>
    <tableColumn id="6" xr3:uid="{45E59BCE-CDC0-433D-9EAB-2A3B3E037BB8}" name="unit"/>
    <tableColumn id="7" xr3:uid="{0B9C73D3-35C0-412B-A4A6-559C8CD01E14}" name="opening_stock"/>
    <tableColumn id="8" xr3:uid="{C6A2B6E9-5A8F-4BB5-8718-B5A7B43A9DAA}" name="received_qty"/>
    <tableColumn id="9" xr3:uid="{DF80EC58-86A6-474B-A7A0-F7B03C100F32}" name="issued_qty"/>
    <tableColumn id="10" xr3:uid="{9F690843-F086-49E6-A800-93F0FB161816}" name="closing_stock"/>
    <tableColumn id="11" xr3:uid="{897F76AE-A1C9-47A2-A635-6C2950F83BB7}" name="reorder_level"/>
    <tableColumn id="12" xr3:uid="{92DF5AD2-25C5-4B37-BA1E-3588EDCD80D0}" name="needs_reorder"/>
    <tableColumn id="13" xr3:uid="{2AAC4E75-8B96-4A3C-8492-72BE0D92511D}" name="unit_cost"/>
    <tableColumn id="14" xr3:uid="{44C2A249-013E-4334-B012-455EFE331EEB}" name="stock_value"/>
    <tableColumn id="15" xr3:uid="{0C9B9D00-B14A-4EEC-BBC8-21809C0ADEEF}" name="supplier"/>
    <tableColumn id="16" xr3:uid="{B3A43660-5B6A-49D2-864B-C55FF9DF8FF1}" name="stock_check" dataDxfId="4">
      <calculatedColumnFormula>IF(J2=G2+H2-I2,"OK","Check")</calculatedColumnFormula>
    </tableColumn>
    <tableColumn id="17" xr3:uid="{E69CC774-3981-46FB-85E9-219650ED3BE8}" name="recorder_check" dataDxfId="3">
      <calculatedColumnFormula>IF(AND(J2&lt;=K2,L2=TRUE),"OK",IF(AND(J2&gt;K2,L2=FALSE),"OK","Check"))</calculatedColumnFormula>
    </tableColumn>
    <tableColumn id="18" xr3:uid="{1533E096-4290-4A12-A03A-B078EDD65D05}" name="value_check" dataDxfId="2">
      <calculatedColumnFormula>IF(ABS(N2-J2*M2)&lt;=J2*0.005+0.01,"OK","Check")</calculatedColumnFormula>
    </tableColumn>
    <tableColumn id="19" xr3:uid="{2260E13C-3922-469D-BA80-0E516790D952}" name="recoder_key_check" dataDxfId="1">
      <calculatedColumnFormula>COUNTIFS(A:A,A2,B:B,B2,C:C,C2)</calculatedColumnFormula>
    </tableColumn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D4A01F-F960-482C-B35C-540A8C75CCA2}" name="Table1" displayName="Table1" ref="A1:O1001" totalsRowShown="0">
  <autoFilter ref="A1:O1001" xr:uid="{4ED4A01F-F960-482C-B35C-540A8C75CCA2}"/>
  <tableColumns count="15">
    <tableColumn id="1" xr3:uid="{F3E051F9-E08E-4A41-81A4-0C19217FB989}" name="month" dataDxfId="0"/>
    <tableColumn id="2" xr3:uid="{F11DD204-CA58-45B9-A765-C14B14FB29A8}" name="warehouse"/>
    <tableColumn id="3" xr3:uid="{0E88C3CF-5A55-4304-BA91-D441A8C0D712}" name="sku"/>
    <tableColumn id="4" xr3:uid="{EF9DDE0D-60D6-4115-83A7-A02D1BC85CE7}" name="item_name"/>
    <tableColumn id="5" xr3:uid="{D6456FEA-FE94-4C86-B8BB-B4F621CD124C}" name="category"/>
    <tableColumn id="6" xr3:uid="{D409B5DE-E846-4D9D-9973-64CD544AE117}" name="unit"/>
    <tableColumn id="7" xr3:uid="{C7600EDF-B37A-4C17-8606-3A37B4E7144D}" name="opening_stock"/>
    <tableColumn id="8" xr3:uid="{88F43D40-751D-4E23-AF4A-0AF4CB55557F}" name="received_qty"/>
    <tableColumn id="9" xr3:uid="{E056C996-C173-4288-8474-8D2610C2FF41}" name="issued_qty"/>
    <tableColumn id="10" xr3:uid="{52D4AB4D-A310-4B2E-9D64-4E8BB5A7E852}" name="closing_stock"/>
    <tableColumn id="11" xr3:uid="{4B692165-753C-4242-9D93-7D35188FC870}" name="reorder_level"/>
    <tableColumn id="12" xr3:uid="{CA583672-9403-42DD-B1AE-A363E8AB49B7}" name="needs_reorder"/>
    <tableColumn id="13" xr3:uid="{78441D4A-A4F5-47CF-89DE-3DF21C8DFDB7}" name="unit_cost"/>
    <tableColumn id="14" xr3:uid="{2C37BFAB-EB67-4A7C-B7BC-A2C491FE14AE}" name="stock_value"/>
    <tableColumn id="15" xr3:uid="{45E49572-7E9C-469E-B17D-2707CFA62056}" name="supplier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AEB3C-AD75-4269-8EFC-5F076281F08A}">
  <dimension ref="A1:S1001"/>
  <sheetViews>
    <sheetView topLeftCell="K1" workbookViewId="0">
      <selection activeCell="W22" sqref="W22"/>
    </sheetView>
  </sheetViews>
  <sheetFormatPr defaultRowHeight="15"/>
  <cols>
    <col min="1" max="1" width="15" customWidth="1"/>
    <col min="2" max="2" width="13.28515625" bestFit="1" customWidth="1"/>
    <col min="3" max="3" width="11.140625" customWidth="1"/>
    <col min="4" max="4" width="27.85546875" bestFit="1" customWidth="1"/>
    <col min="5" max="5" width="11.7109375" customWidth="1"/>
    <col min="7" max="7" width="16.5703125" bestFit="1" customWidth="1"/>
    <col min="8" max="8" width="15.140625" customWidth="1"/>
    <col min="9" max="9" width="13" bestFit="1" customWidth="1"/>
    <col min="10" max="10" width="15.28515625" bestFit="1" customWidth="1"/>
    <col min="11" max="11" width="15.5703125" bestFit="1" customWidth="1"/>
    <col min="12" max="12" width="16.7109375" bestFit="1" customWidth="1"/>
    <col min="13" max="13" width="11.7109375" bestFit="1" customWidth="1"/>
    <col min="14" max="14" width="14.140625" customWidth="1"/>
    <col min="15" max="15" width="22" bestFit="1" customWidth="1"/>
    <col min="16" max="16" width="16.5703125" customWidth="1"/>
    <col min="17" max="17" width="19.140625" customWidth="1"/>
    <col min="18" max="18" width="13.7109375" customWidth="1"/>
    <col min="19" max="19" width="21.28515625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2" t="s">
        <v>15</v>
      </c>
      <c r="Q1" s="2" t="s">
        <v>16</v>
      </c>
      <c r="R1" t="s">
        <v>17</v>
      </c>
      <c r="S1" t="s">
        <v>18</v>
      </c>
    </row>
    <row r="2" spans="1:19">
      <c r="A2" s="1">
        <v>46054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>
        <v>320</v>
      </c>
      <c r="H2">
        <v>0</v>
      </c>
      <c r="I2">
        <v>152</v>
      </c>
      <c r="J2">
        <v>168</v>
      </c>
      <c r="K2">
        <v>123</v>
      </c>
      <c r="L2" t="b">
        <v>0</v>
      </c>
      <c r="M2">
        <v>276.76</v>
      </c>
      <c r="N2">
        <v>46495.88</v>
      </c>
      <c r="O2" t="s">
        <v>24</v>
      </c>
      <c r="P2" t="str">
        <f>IF(J2=G2+H2-I2,"OK","Check")</f>
        <v>OK</v>
      </c>
      <c r="Q2" t="str">
        <f>IF(AND(J2&lt;=K2,L2=TRUE),"OK",IF(AND(J2&gt;K2,L2=FALSE),"OK","Check"))</f>
        <v>OK</v>
      </c>
      <c r="R2" t="str">
        <f>IF(ABS(N2-J2*M2)&lt;=J2*0.005+0.01,"OK","Check")</f>
        <v>OK</v>
      </c>
      <c r="S2" s="3">
        <f t="shared" ref="S2:S65" si="0">COUNTIFS(A:A,A2,B:B,B2,C:C,C2)</f>
        <v>1</v>
      </c>
    </row>
    <row r="3" spans="1:19">
      <c r="A3" s="1">
        <v>46054</v>
      </c>
      <c r="B3" t="s">
        <v>19</v>
      </c>
      <c r="C3" t="s">
        <v>25</v>
      </c>
      <c r="D3" t="s">
        <v>26</v>
      </c>
      <c r="E3" t="s">
        <v>22</v>
      </c>
      <c r="F3" t="s">
        <v>23</v>
      </c>
      <c r="G3">
        <v>83</v>
      </c>
      <c r="H3">
        <v>0</v>
      </c>
      <c r="I3">
        <v>36</v>
      </c>
      <c r="J3">
        <v>47</v>
      </c>
      <c r="K3">
        <v>53</v>
      </c>
      <c r="L3" t="b">
        <v>1</v>
      </c>
      <c r="M3">
        <v>1274.6300000000001</v>
      </c>
      <c r="N3">
        <v>59907.46</v>
      </c>
      <c r="O3" t="s">
        <v>27</v>
      </c>
      <c r="P3" t="str">
        <f>IF(J3=G3+H3-I3,"OK","Check")</f>
        <v>OK</v>
      </c>
      <c r="Q3" t="str">
        <f>IF(AND(J3&lt;=K3,L3=TRUE),"OK",IF(AND(J3&gt;K3,L3=FALSE),"OK","Check"))</f>
        <v>OK</v>
      </c>
      <c r="R3" t="str">
        <f>IF(ABS(N3-J3*M3)&lt;=J3*0.005+0.01,"OK","Check")</f>
        <v>OK</v>
      </c>
      <c r="S3" s="3">
        <f t="shared" si="0"/>
        <v>1</v>
      </c>
    </row>
    <row r="4" spans="1:19">
      <c r="A4" s="1">
        <v>46054</v>
      </c>
      <c r="B4" t="s">
        <v>19</v>
      </c>
      <c r="C4" t="s">
        <v>28</v>
      </c>
      <c r="D4" t="s">
        <v>29</v>
      </c>
      <c r="E4" t="s">
        <v>22</v>
      </c>
      <c r="F4" t="s">
        <v>23</v>
      </c>
      <c r="G4">
        <v>394</v>
      </c>
      <c r="H4">
        <v>486</v>
      </c>
      <c r="I4">
        <v>208</v>
      </c>
      <c r="J4">
        <v>672</v>
      </c>
      <c r="K4">
        <v>176</v>
      </c>
      <c r="L4" t="b">
        <v>0</v>
      </c>
      <c r="M4">
        <v>98.38</v>
      </c>
      <c r="N4">
        <v>66110.37</v>
      </c>
      <c r="O4" t="s">
        <v>24</v>
      </c>
      <c r="P4" t="str">
        <f>IF(J4=G4+H4-I4,"OK","Check")</f>
        <v>OK</v>
      </c>
      <c r="Q4" t="str">
        <f>IF(AND(J4&lt;=K4,L4=TRUE),"OK",IF(AND(J4&gt;K4,L4=FALSE),"OK","Check"))</f>
        <v>OK</v>
      </c>
      <c r="R4" t="str">
        <f>IF(ABS(N4-J4*M4)&lt;=J4*0.005+0.01,"OK","Check")</f>
        <v>OK</v>
      </c>
      <c r="S4" s="3">
        <f t="shared" si="0"/>
        <v>1</v>
      </c>
    </row>
    <row r="5" spans="1:19">
      <c r="A5" s="1">
        <v>46054</v>
      </c>
      <c r="B5" t="s">
        <v>19</v>
      </c>
      <c r="C5" t="s">
        <v>30</v>
      </c>
      <c r="D5" t="s">
        <v>31</v>
      </c>
      <c r="E5" t="s">
        <v>22</v>
      </c>
      <c r="F5" t="s">
        <v>23</v>
      </c>
      <c r="G5">
        <v>146</v>
      </c>
      <c r="H5">
        <v>148</v>
      </c>
      <c r="I5">
        <v>22</v>
      </c>
      <c r="J5">
        <v>272</v>
      </c>
      <c r="K5">
        <v>96</v>
      </c>
      <c r="L5" t="b">
        <v>0</v>
      </c>
      <c r="M5">
        <v>412.63</v>
      </c>
      <c r="N5">
        <v>112236.34</v>
      </c>
      <c r="O5" t="s">
        <v>32</v>
      </c>
      <c r="P5" t="str">
        <f>IF(J5=G5+H5-I5,"OK","Check")</f>
        <v>OK</v>
      </c>
      <c r="Q5" t="str">
        <f>IF(AND(J5&lt;=K5,L5=TRUE),"OK",IF(AND(J5&gt;K5,L5=FALSE),"OK","Check"))</f>
        <v>OK</v>
      </c>
      <c r="R5" t="str">
        <f>IF(ABS(N5-J5*M5)&lt;=J5*0.005+0.01,"OK","Check")</f>
        <v>OK</v>
      </c>
      <c r="S5" s="3">
        <f t="shared" si="0"/>
        <v>1</v>
      </c>
    </row>
    <row r="6" spans="1:19">
      <c r="A6" s="1">
        <v>46054</v>
      </c>
      <c r="B6" t="s">
        <v>19</v>
      </c>
      <c r="C6" t="s">
        <v>33</v>
      </c>
      <c r="D6" t="s">
        <v>34</v>
      </c>
      <c r="E6" t="s">
        <v>22</v>
      </c>
      <c r="F6" t="s">
        <v>23</v>
      </c>
      <c r="G6">
        <v>160</v>
      </c>
      <c r="H6">
        <v>322</v>
      </c>
      <c r="I6">
        <v>122</v>
      </c>
      <c r="J6">
        <v>360</v>
      </c>
      <c r="K6">
        <v>136</v>
      </c>
      <c r="L6" t="b">
        <v>0</v>
      </c>
      <c r="M6">
        <v>128.44</v>
      </c>
      <c r="N6">
        <v>46238.8</v>
      </c>
      <c r="O6" t="s">
        <v>24</v>
      </c>
      <c r="P6" t="str">
        <f>IF(J6=G6+H6-I6,"OK","Check")</f>
        <v>OK</v>
      </c>
      <c r="Q6" t="str">
        <f>IF(AND(J6&lt;=K6,L6=TRUE),"OK",IF(AND(J6&gt;K6,L6=FALSE),"OK","Check"))</f>
        <v>OK</v>
      </c>
      <c r="R6" t="str">
        <f>IF(ABS(N6-J6*M6)&lt;=J6*0.005+0.01,"OK","Check")</f>
        <v>OK</v>
      </c>
      <c r="S6" s="3">
        <f t="shared" si="0"/>
        <v>1</v>
      </c>
    </row>
    <row r="7" spans="1:19">
      <c r="A7" s="1">
        <v>46054</v>
      </c>
      <c r="B7" t="s">
        <v>19</v>
      </c>
      <c r="C7" t="s">
        <v>35</v>
      </c>
      <c r="D7" t="s">
        <v>36</v>
      </c>
      <c r="E7" t="s">
        <v>22</v>
      </c>
      <c r="F7" t="s">
        <v>23</v>
      </c>
      <c r="G7">
        <v>512</v>
      </c>
      <c r="H7">
        <v>585</v>
      </c>
      <c r="I7">
        <v>209</v>
      </c>
      <c r="J7">
        <v>888</v>
      </c>
      <c r="K7">
        <v>159</v>
      </c>
      <c r="L7" t="b">
        <v>0</v>
      </c>
      <c r="M7">
        <v>523.72</v>
      </c>
      <c r="N7">
        <v>465065.6</v>
      </c>
      <c r="O7" t="s">
        <v>37</v>
      </c>
      <c r="P7" t="str">
        <f>IF(J7=G7+H7-I7,"OK","Check")</f>
        <v>OK</v>
      </c>
      <c r="Q7" t="str">
        <f>IF(AND(J7&lt;=K7,L7=TRUE),"OK",IF(AND(J7&gt;K7,L7=FALSE),"OK","Check"))</f>
        <v>OK</v>
      </c>
      <c r="R7" t="str">
        <f>IF(ABS(N7-J7*M7)&lt;=J7*0.005+0.01,"OK","Check")</f>
        <v>OK</v>
      </c>
      <c r="S7" s="3">
        <f t="shared" si="0"/>
        <v>1</v>
      </c>
    </row>
    <row r="8" spans="1:19">
      <c r="A8" s="1">
        <v>46054</v>
      </c>
      <c r="B8" t="s">
        <v>19</v>
      </c>
      <c r="C8" t="s">
        <v>38</v>
      </c>
      <c r="D8" t="s">
        <v>39</v>
      </c>
      <c r="E8" t="s">
        <v>22</v>
      </c>
      <c r="F8" t="s">
        <v>23</v>
      </c>
      <c r="G8">
        <v>193</v>
      </c>
      <c r="H8">
        <v>384</v>
      </c>
      <c r="I8">
        <v>131</v>
      </c>
      <c r="J8">
        <v>446</v>
      </c>
      <c r="K8">
        <v>135</v>
      </c>
      <c r="L8" t="b">
        <v>0</v>
      </c>
      <c r="M8">
        <v>67.930000000000007</v>
      </c>
      <c r="N8">
        <v>30297</v>
      </c>
      <c r="O8" t="s">
        <v>24</v>
      </c>
      <c r="P8" t="str">
        <f>IF(J8=G8+H8-I8,"OK","Check")</f>
        <v>OK</v>
      </c>
      <c r="Q8" t="str">
        <f>IF(AND(J8&lt;=K8,L8=TRUE),"OK",IF(AND(J8&gt;K8,L8=FALSE),"OK","Check"))</f>
        <v>OK</v>
      </c>
      <c r="R8" t="str">
        <f>IF(ABS(N8-J8*M8)&lt;=J8*0.005+0.01,"OK","Check")</f>
        <v>OK</v>
      </c>
      <c r="S8" s="3">
        <f t="shared" si="0"/>
        <v>1</v>
      </c>
    </row>
    <row r="9" spans="1:19">
      <c r="A9" s="1">
        <v>46054</v>
      </c>
      <c r="B9" t="s">
        <v>19</v>
      </c>
      <c r="C9" t="s">
        <v>40</v>
      </c>
      <c r="D9" t="s">
        <v>41</v>
      </c>
      <c r="E9" t="s">
        <v>22</v>
      </c>
      <c r="F9" t="s">
        <v>23</v>
      </c>
      <c r="G9">
        <v>269</v>
      </c>
      <c r="H9">
        <v>0</v>
      </c>
      <c r="I9">
        <v>234</v>
      </c>
      <c r="J9">
        <v>35</v>
      </c>
      <c r="K9">
        <v>175</v>
      </c>
      <c r="L9" t="b">
        <v>1</v>
      </c>
      <c r="M9">
        <v>365.55</v>
      </c>
      <c r="N9">
        <v>12794.27</v>
      </c>
      <c r="O9" t="s">
        <v>24</v>
      </c>
      <c r="P9" t="str">
        <f>IF(J9=G9+H9-I9,"OK","Check")</f>
        <v>OK</v>
      </c>
      <c r="Q9" t="str">
        <f>IF(AND(J9&lt;=K9,L9=TRUE),"OK",IF(AND(J9&gt;K9,L9=FALSE),"OK","Check"))</f>
        <v>OK</v>
      </c>
      <c r="R9" t="str">
        <f>IF(ABS(N9-J9*M9)&lt;=J9*0.005+0.01,"OK","Check")</f>
        <v>OK</v>
      </c>
      <c r="S9" s="3">
        <f t="shared" si="0"/>
        <v>1</v>
      </c>
    </row>
    <row r="10" spans="1:19">
      <c r="A10" s="1">
        <v>46054</v>
      </c>
      <c r="B10" t="s">
        <v>19</v>
      </c>
      <c r="C10" t="s">
        <v>42</v>
      </c>
      <c r="D10" t="s">
        <v>43</v>
      </c>
      <c r="E10" t="s">
        <v>22</v>
      </c>
      <c r="F10" t="s">
        <v>23</v>
      </c>
      <c r="G10">
        <v>203</v>
      </c>
      <c r="H10">
        <v>0</v>
      </c>
      <c r="I10">
        <v>76</v>
      </c>
      <c r="J10">
        <v>127</v>
      </c>
      <c r="K10">
        <v>120</v>
      </c>
      <c r="L10" t="b">
        <v>0</v>
      </c>
      <c r="M10">
        <v>152.84</v>
      </c>
      <c r="N10">
        <v>19410.759999999998</v>
      </c>
      <c r="O10" t="s">
        <v>44</v>
      </c>
      <c r="P10" t="str">
        <f>IF(J10=G10+H10-I10,"OK","Check")</f>
        <v>OK</v>
      </c>
      <c r="Q10" t="str">
        <f>IF(AND(J10&lt;=K10,L10=TRUE),"OK",IF(AND(J10&gt;K10,L10=FALSE),"OK","Check"))</f>
        <v>OK</v>
      </c>
      <c r="R10" t="str">
        <f>IF(ABS(N10-J10*M10)&lt;=J10*0.005+0.01,"OK","Check")</f>
        <v>OK</v>
      </c>
      <c r="S10" s="3">
        <f t="shared" si="0"/>
        <v>1</v>
      </c>
    </row>
    <row r="11" spans="1:19">
      <c r="A11" s="1">
        <v>46054</v>
      </c>
      <c r="B11" t="s">
        <v>19</v>
      </c>
      <c r="C11" t="s">
        <v>45</v>
      </c>
      <c r="D11" t="s">
        <v>46</v>
      </c>
      <c r="E11" t="s">
        <v>22</v>
      </c>
      <c r="F11" t="s">
        <v>23</v>
      </c>
      <c r="G11">
        <v>20</v>
      </c>
      <c r="H11">
        <v>51</v>
      </c>
      <c r="I11">
        <v>15</v>
      </c>
      <c r="J11">
        <v>56</v>
      </c>
      <c r="K11">
        <v>25</v>
      </c>
      <c r="L11" t="b">
        <v>0</v>
      </c>
      <c r="M11">
        <v>768.39</v>
      </c>
      <c r="N11">
        <v>43030.12</v>
      </c>
      <c r="O11" t="s">
        <v>47</v>
      </c>
      <c r="P11" t="str">
        <f>IF(J11=G11+H11-I11,"OK","Check")</f>
        <v>OK</v>
      </c>
      <c r="Q11" t="str">
        <f>IF(AND(J11&lt;=K11,L11=TRUE),"OK",IF(AND(J11&gt;K11,L11=FALSE),"OK","Check"))</f>
        <v>OK</v>
      </c>
      <c r="R11" t="str">
        <f>IF(ABS(N11-J11*M11)&lt;=J11*0.005+0.01,"OK","Check")</f>
        <v>OK</v>
      </c>
      <c r="S11" s="3">
        <f t="shared" si="0"/>
        <v>1</v>
      </c>
    </row>
    <row r="12" spans="1:19">
      <c r="A12" s="1">
        <v>46054</v>
      </c>
      <c r="B12" t="s">
        <v>19</v>
      </c>
      <c r="C12" t="s">
        <v>48</v>
      </c>
      <c r="D12" t="s">
        <v>49</v>
      </c>
      <c r="E12" t="s">
        <v>22</v>
      </c>
      <c r="F12" t="s">
        <v>23</v>
      </c>
      <c r="G12">
        <v>274</v>
      </c>
      <c r="H12">
        <v>247</v>
      </c>
      <c r="I12">
        <v>115</v>
      </c>
      <c r="J12">
        <v>406</v>
      </c>
      <c r="K12">
        <v>153</v>
      </c>
      <c r="L12" t="b">
        <v>0</v>
      </c>
      <c r="M12">
        <v>61.75</v>
      </c>
      <c r="N12">
        <v>25070.84</v>
      </c>
      <c r="O12" t="s">
        <v>44</v>
      </c>
      <c r="P12" t="str">
        <f>IF(J12=G12+H12-I12,"OK","Check")</f>
        <v>OK</v>
      </c>
      <c r="Q12" t="str">
        <f>IF(AND(J12&lt;=K12,L12=TRUE),"OK",IF(AND(J12&gt;K12,L12=FALSE),"OK","Check"))</f>
        <v>OK</v>
      </c>
      <c r="R12" t="str">
        <f>IF(ABS(N12-J12*M12)&lt;=J12*0.005+0.01,"OK","Check")</f>
        <v>OK</v>
      </c>
      <c r="S12" s="3">
        <f t="shared" si="0"/>
        <v>1</v>
      </c>
    </row>
    <row r="13" spans="1:19">
      <c r="A13" s="1">
        <v>46054</v>
      </c>
      <c r="B13" t="s">
        <v>19</v>
      </c>
      <c r="C13" t="s">
        <v>50</v>
      </c>
      <c r="D13" t="s">
        <v>51</v>
      </c>
      <c r="E13" t="s">
        <v>22</v>
      </c>
      <c r="F13" t="s">
        <v>23</v>
      </c>
      <c r="G13">
        <v>137</v>
      </c>
      <c r="H13">
        <v>398</v>
      </c>
      <c r="I13">
        <v>77</v>
      </c>
      <c r="J13">
        <v>458</v>
      </c>
      <c r="K13">
        <v>156</v>
      </c>
      <c r="L13" t="b">
        <v>0</v>
      </c>
      <c r="M13">
        <v>260.63</v>
      </c>
      <c r="N13">
        <v>119369.51</v>
      </c>
      <c r="O13" t="s">
        <v>24</v>
      </c>
      <c r="P13" t="str">
        <f>IF(J13=G13+H13-I13,"OK","Check")</f>
        <v>OK</v>
      </c>
      <c r="Q13" t="str">
        <f>IF(AND(J13&lt;=K13,L13=TRUE),"OK",IF(AND(J13&gt;K13,L13=FALSE),"OK","Check"))</f>
        <v>OK</v>
      </c>
      <c r="R13" t="str">
        <f>IF(ABS(N13-J13*M13)&lt;=J13*0.005+0.01,"OK","Check")</f>
        <v>OK</v>
      </c>
      <c r="S13" s="3">
        <f t="shared" si="0"/>
        <v>1</v>
      </c>
    </row>
    <row r="14" spans="1:19">
      <c r="A14" s="1">
        <v>46054</v>
      </c>
      <c r="B14" t="s">
        <v>19</v>
      </c>
      <c r="C14" t="s">
        <v>52</v>
      </c>
      <c r="D14" t="s">
        <v>53</v>
      </c>
      <c r="E14" t="s">
        <v>22</v>
      </c>
      <c r="F14" t="s">
        <v>23</v>
      </c>
      <c r="G14">
        <v>339</v>
      </c>
      <c r="H14">
        <v>378</v>
      </c>
      <c r="I14">
        <v>199</v>
      </c>
      <c r="J14">
        <v>518</v>
      </c>
      <c r="K14">
        <v>159</v>
      </c>
      <c r="L14" t="b">
        <v>0</v>
      </c>
      <c r="M14">
        <v>54.71</v>
      </c>
      <c r="N14">
        <v>28337.64</v>
      </c>
      <c r="O14" t="s">
        <v>47</v>
      </c>
      <c r="P14" t="str">
        <f>IF(J14=G14+H14-I14,"OK","Check")</f>
        <v>OK</v>
      </c>
      <c r="Q14" t="str">
        <f>IF(AND(J14&lt;=K14,L14=TRUE),"OK",IF(AND(J14&gt;K14,L14=FALSE),"OK","Check"))</f>
        <v>OK</v>
      </c>
      <c r="R14" t="str">
        <f>IF(ABS(N14-J14*M14)&lt;=J14*0.005+0.01,"OK","Check")</f>
        <v>OK</v>
      </c>
      <c r="S14" s="3">
        <f t="shared" si="0"/>
        <v>1</v>
      </c>
    </row>
    <row r="15" spans="1:19">
      <c r="A15" s="1">
        <v>46054</v>
      </c>
      <c r="B15" t="s">
        <v>19</v>
      </c>
      <c r="C15" t="s">
        <v>54</v>
      </c>
      <c r="D15" t="s">
        <v>55</v>
      </c>
      <c r="E15" t="s">
        <v>22</v>
      </c>
      <c r="F15" t="s">
        <v>23</v>
      </c>
      <c r="G15">
        <v>308</v>
      </c>
      <c r="H15">
        <v>0</v>
      </c>
      <c r="I15">
        <v>143</v>
      </c>
      <c r="J15">
        <v>165</v>
      </c>
      <c r="K15">
        <v>135</v>
      </c>
      <c r="L15" t="b">
        <v>0</v>
      </c>
      <c r="M15">
        <v>244.44</v>
      </c>
      <c r="N15">
        <v>40332.28</v>
      </c>
      <c r="O15" t="s">
        <v>44</v>
      </c>
      <c r="P15" t="str">
        <f>IF(J15=G15+H15-I15,"OK","Check")</f>
        <v>OK</v>
      </c>
      <c r="Q15" t="str">
        <f>IF(AND(J15&lt;=K15,L15=TRUE),"OK",IF(AND(J15&gt;K15,L15=FALSE),"OK","Check"))</f>
        <v>OK</v>
      </c>
      <c r="R15" t="str">
        <f>IF(ABS(N15-J15*M15)&lt;=J15*0.005+0.01,"OK","Check")</f>
        <v>OK</v>
      </c>
      <c r="S15" s="3">
        <f t="shared" si="0"/>
        <v>1</v>
      </c>
    </row>
    <row r="16" spans="1:19">
      <c r="A16" s="1">
        <v>46054</v>
      </c>
      <c r="B16" t="s">
        <v>19</v>
      </c>
      <c r="C16" t="s">
        <v>56</v>
      </c>
      <c r="D16" t="s">
        <v>57</v>
      </c>
      <c r="E16" t="s">
        <v>22</v>
      </c>
      <c r="F16" t="s">
        <v>23</v>
      </c>
      <c r="G16">
        <v>239</v>
      </c>
      <c r="H16">
        <v>0</v>
      </c>
      <c r="I16">
        <v>192</v>
      </c>
      <c r="J16">
        <v>47</v>
      </c>
      <c r="K16">
        <v>157</v>
      </c>
      <c r="L16" t="b">
        <v>1</v>
      </c>
      <c r="M16">
        <v>415.86</v>
      </c>
      <c r="N16">
        <v>19545.37</v>
      </c>
      <c r="O16" t="s">
        <v>24</v>
      </c>
      <c r="P16" t="str">
        <f>IF(J16=G16+H16-I16,"OK","Check")</f>
        <v>OK</v>
      </c>
      <c r="Q16" t="str">
        <f>IF(AND(J16&lt;=K16,L16=TRUE),"OK",IF(AND(J16&gt;K16,L16=FALSE),"OK","Check"))</f>
        <v>OK</v>
      </c>
      <c r="R16" t="str">
        <f>IF(ABS(N16-J16*M16)&lt;=J16*0.005+0.01,"OK","Check")</f>
        <v>OK</v>
      </c>
      <c r="S16" s="3">
        <f t="shared" si="0"/>
        <v>1</v>
      </c>
    </row>
    <row r="17" spans="1:19">
      <c r="A17" s="1">
        <v>46054</v>
      </c>
      <c r="B17" t="s">
        <v>19</v>
      </c>
      <c r="C17" t="s">
        <v>58</v>
      </c>
      <c r="D17" t="s">
        <v>59</v>
      </c>
      <c r="E17" t="s">
        <v>22</v>
      </c>
      <c r="F17" t="s">
        <v>23</v>
      </c>
      <c r="G17">
        <v>112</v>
      </c>
      <c r="H17">
        <v>0</v>
      </c>
      <c r="I17">
        <v>38</v>
      </c>
      <c r="J17">
        <v>74</v>
      </c>
      <c r="K17">
        <v>48</v>
      </c>
      <c r="L17" t="b">
        <v>0</v>
      </c>
      <c r="M17">
        <v>2178.5500000000002</v>
      </c>
      <c r="N17">
        <v>161212.44</v>
      </c>
      <c r="O17" t="s">
        <v>60</v>
      </c>
      <c r="P17" t="str">
        <f>IF(J17=G17+H17-I17,"OK","Check")</f>
        <v>OK</v>
      </c>
      <c r="Q17" t="str">
        <f>IF(AND(J17&lt;=K17,L17=TRUE),"OK",IF(AND(J17&gt;K17,L17=FALSE),"OK","Check"))</f>
        <v>OK</v>
      </c>
      <c r="R17" t="str">
        <f>IF(ABS(N17-J17*M17)&lt;=J17*0.005+0.01,"OK","Check")</f>
        <v>OK</v>
      </c>
      <c r="S17" s="3">
        <f t="shared" si="0"/>
        <v>1</v>
      </c>
    </row>
    <row r="18" spans="1:19">
      <c r="A18" s="1">
        <v>46054</v>
      </c>
      <c r="B18" t="s">
        <v>19</v>
      </c>
      <c r="C18" t="s">
        <v>61</v>
      </c>
      <c r="D18" t="s">
        <v>62</v>
      </c>
      <c r="E18" t="s">
        <v>22</v>
      </c>
      <c r="F18" t="s">
        <v>23</v>
      </c>
      <c r="G18">
        <v>104</v>
      </c>
      <c r="H18">
        <v>0</v>
      </c>
      <c r="I18">
        <v>51</v>
      </c>
      <c r="J18">
        <v>53</v>
      </c>
      <c r="K18">
        <v>50</v>
      </c>
      <c r="L18" t="b">
        <v>0</v>
      </c>
      <c r="M18">
        <v>26.12</v>
      </c>
      <c r="N18">
        <v>1384.52</v>
      </c>
      <c r="O18" t="s">
        <v>44</v>
      </c>
      <c r="P18" t="str">
        <f>IF(J18=G18+H18-I18,"OK","Check")</f>
        <v>OK</v>
      </c>
      <c r="Q18" t="str">
        <f>IF(AND(J18&lt;=K18,L18=TRUE),"OK",IF(AND(J18&gt;K18,L18=FALSE),"OK","Check"))</f>
        <v>OK</v>
      </c>
      <c r="R18" t="str">
        <f>IF(ABS(N18-J18*M18)&lt;=J18*0.005+0.01,"OK","Check")</f>
        <v>OK</v>
      </c>
      <c r="S18" s="3">
        <f t="shared" si="0"/>
        <v>1</v>
      </c>
    </row>
    <row r="19" spans="1:19">
      <c r="A19" s="1">
        <v>46054</v>
      </c>
      <c r="B19" t="s">
        <v>19</v>
      </c>
      <c r="C19" t="s">
        <v>63</v>
      </c>
      <c r="D19" t="s">
        <v>64</v>
      </c>
      <c r="E19" t="s">
        <v>22</v>
      </c>
      <c r="F19" t="s">
        <v>23</v>
      </c>
      <c r="G19">
        <v>337</v>
      </c>
      <c r="H19">
        <v>0</v>
      </c>
      <c r="I19">
        <v>232</v>
      </c>
      <c r="J19">
        <v>105</v>
      </c>
      <c r="K19">
        <v>251</v>
      </c>
      <c r="L19" t="b">
        <v>1</v>
      </c>
      <c r="M19">
        <v>105.81</v>
      </c>
      <c r="N19">
        <v>11110.27</v>
      </c>
      <c r="O19" t="s">
        <v>47</v>
      </c>
      <c r="P19" t="str">
        <f>IF(J19=G19+H19-I19,"OK","Check")</f>
        <v>OK</v>
      </c>
      <c r="Q19" t="str">
        <f>IF(AND(J19&lt;=K19,L19=TRUE),"OK",IF(AND(J19&gt;K19,L19=FALSE),"OK","Check"))</f>
        <v>OK</v>
      </c>
      <c r="R19" t="str">
        <f>IF(ABS(N19-J19*M19)&lt;=J19*0.005+0.01,"OK","Check")</f>
        <v>OK</v>
      </c>
      <c r="S19" s="3">
        <f t="shared" si="0"/>
        <v>1</v>
      </c>
    </row>
    <row r="20" spans="1:19">
      <c r="A20" s="1">
        <v>46054</v>
      </c>
      <c r="B20" t="s">
        <v>19</v>
      </c>
      <c r="C20" t="s">
        <v>65</v>
      </c>
      <c r="D20" t="s">
        <v>66</v>
      </c>
      <c r="E20" t="s">
        <v>22</v>
      </c>
      <c r="F20" t="s">
        <v>23</v>
      </c>
      <c r="G20">
        <v>74</v>
      </c>
      <c r="H20">
        <v>150</v>
      </c>
      <c r="I20">
        <v>40</v>
      </c>
      <c r="J20">
        <v>184</v>
      </c>
      <c r="K20">
        <v>52</v>
      </c>
      <c r="L20" t="b">
        <v>0</v>
      </c>
      <c r="M20">
        <v>72.23</v>
      </c>
      <c r="N20">
        <v>13289.65</v>
      </c>
      <c r="O20" t="s">
        <v>44</v>
      </c>
      <c r="P20" t="str">
        <f>IF(J20=G20+H20-I20,"OK","Check")</f>
        <v>OK</v>
      </c>
      <c r="Q20" t="str">
        <f>IF(AND(J20&lt;=K20,L20=TRUE),"OK",IF(AND(J20&gt;K20,L20=FALSE),"OK","Check"))</f>
        <v>OK</v>
      </c>
      <c r="R20" t="str">
        <f>IF(ABS(N20-J20*M20)&lt;=J20*0.005+0.01,"OK","Check")</f>
        <v>OK</v>
      </c>
      <c r="S20" s="3">
        <f t="shared" si="0"/>
        <v>1</v>
      </c>
    </row>
    <row r="21" spans="1:19">
      <c r="A21" s="1">
        <v>46054</v>
      </c>
      <c r="B21" t="s">
        <v>19</v>
      </c>
      <c r="C21" t="s">
        <v>67</v>
      </c>
      <c r="D21" t="s">
        <v>68</v>
      </c>
      <c r="E21" t="s">
        <v>22</v>
      </c>
      <c r="F21" t="s">
        <v>23</v>
      </c>
      <c r="G21">
        <v>367</v>
      </c>
      <c r="H21">
        <v>0</v>
      </c>
      <c r="I21">
        <v>103</v>
      </c>
      <c r="J21">
        <v>264</v>
      </c>
      <c r="K21">
        <v>123</v>
      </c>
      <c r="L21" t="b">
        <v>0</v>
      </c>
      <c r="M21">
        <v>371.93</v>
      </c>
      <c r="N21">
        <v>98188.79</v>
      </c>
      <c r="O21" t="s">
        <v>27</v>
      </c>
      <c r="P21" t="str">
        <f>IF(J21=G21+H21-I21,"OK","Check")</f>
        <v>OK</v>
      </c>
      <c r="Q21" t="str">
        <f>IF(AND(J21&lt;=K21,L21=TRUE),"OK",IF(AND(J21&gt;K21,L21=FALSE),"OK","Check"))</f>
        <v>OK</v>
      </c>
      <c r="R21" t="str">
        <f>IF(ABS(N21-J21*M21)&lt;=J21*0.005+0.01,"OK","Check")</f>
        <v>OK</v>
      </c>
      <c r="S21" s="3">
        <f t="shared" si="0"/>
        <v>1</v>
      </c>
    </row>
    <row r="22" spans="1:19">
      <c r="A22" s="1">
        <v>46054</v>
      </c>
      <c r="B22" t="s">
        <v>19</v>
      </c>
      <c r="C22" t="s">
        <v>69</v>
      </c>
      <c r="D22" t="s">
        <v>70</v>
      </c>
      <c r="E22" t="s">
        <v>71</v>
      </c>
      <c r="F22" t="s">
        <v>23</v>
      </c>
      <c r="G22">
        <v>432</v>
      </c>
      <c r="H22">
        <v>519</v>
      </c>
      <c r="I22">
        <v>123</v>
      </c>
      <c r="J22">
        <v>828</v>
      </c>
      <c r="K22">
        <v>140</v>
      </c>
      <c r="L22" t="b">
        <v>0</v>
      </c>
      <c r="M22">
        <v>94.83</v>
      </c>
      <c r="N22">
        <v>78516.5</v>
      </c>
      <c r="O22" t="s">
        <v>27</v>
      </c>
      <c r="P22" t="str">
        <f>IF(J22=G22+H22-I22,"OK","Check")</f>
        <v>OK</v>
      </c>
      <c r="Q22" t="str">
        <f>IF(AND(J22&lt;=K22,L22=TRUE),"OK",IF(AND(J22&gt;K22,L22=FALSE),"OK","Check"))</f>
        <v>OK</v>
      </c>
      <c r="R22" t="str">
        <f>IF(ABS(N22-J22*M22)&lt;=J22*0.005+0.01,"OK","Check")</f>
        <v>OK</v>
      </c>
      <c r="S22" s="3">
        <f t="shared" si="0"/>
        <v>1</v>
      </c>
    </row>
    <row r="23" spans="1:19">
      <c r="A23" s="1">
        <v>46054</v>
      </c>
      <c r="B23" t="s">
        <v>19</v>
      </c>
      <c r="C23" t="s">
        <v>72</v>
      </c>
      <c r="D23" t="s">
        <v>73</v>
      </c>
      <c r="E23" t="s">
        <v>71</v>
      </c>
      <c r="F23" t="s">
        <v>23</v>
      </c>
      <c r="G23">
        <v>375</v>
      </c>
      <c r="H23">
        <v>0</v>
      </c>
      <c r="I23">
        <v>174</v>
      </c>
      <c r="J23">
        <v>201</v>
      </c>
      <c r="K23">
        <v>233</v>
      </c>
      <c r="L23" t="b">
        <v>1</v>
      </c>
      <c r="M23">
        <v>431.8</v>
      </c>
      <c r="N23">
        <v>86791.19</v>
      </c>
      <c r="O23" t="s">
        <v>60</v>
      </c>
      <c r="P23" t="str">
        <f>IF(J23=G23+H23-I23,"OK","Check")</f>
        <v>OK</v>
      </c>
      <c r="Q23" t="str">
        <f>IF(AND(J23&lt;=K23,L23=TRUE),"OK",IF(AND(J23&gt;K23,L23=FALSE),"OK","Check"))</f>
        <v>OK</v>
      </c>
      <c r="R23" t="str">
        <f>IF(ABS(N23-J23*M23)&lt;=J23*0.005+0.01,"OK","Check")</f>
        <v>OK</v>
      </c>
      <c r="S23" s="3">
        <f t="shared" si="0"/>
        <v>1</v>
      </c>
    </row>
    <row r="24" spans="1:19">
      <c r="A24" s="1">
        <v>46054</v>
      </c>
      <c r="B24" t="s">
        <v>19</v>
      </c>
      <c r="C24" t="s">
        <v>74</v>
      </c>
      <c r="D24" t="s">
        <v>75</v>
      </c>
      <c r="E24" t="s">
        <v>71</v>
      </c>
      <c r="F24" t="s">
        <v>23</v>
      </c>
      <c r="G24">
        <v>152</v>
      </c>
      <c r="H24">
        <v>0</v>
      </c>
      <c r="I24">
        <v>57</v>
      </c>
      <c r="J24">
        <v>95</v>
      </c>
      <c r="K24">
        <v>44</v>
      </c>
      <c r="L24" t="b">
        <v>0</v>
      </c>
      <c r="M24">
        <v>238.93</v>
      </c>
      <c r="N24">
        <v>22698.45</v>
      </c>
      <c r="O24" t="s">
        <v>37</v>
      </c>
      <c r="P24" t="str">
        <f>IF(J24=G24+H24-I24,"OK","Check")</f>
        <v>OK</v>
      </c>
      <c r="Q24" t="str">
        <f>IF(AND(J24&lt;=K24,L24=TRUE),"OK",IF(AND(J24&gt;K24,L24=FALSE),"OK","Check"))</f>
        <v>OK</v>
      </c>
      <c r="R24" t="str">
        <f>IF(ABS(N24-J24*M24)&lt;=J24*0.005+0.01,"OK","Check")</f>
        <v>OK</v>
      </c>
      <c r="S24" s="3">
        <f t="shared" si="0"/>
        <v>1</v>
      </c>
    </row>
    <row r="25" spans="1:19">
      <c r="A25" s="1">
        <v>46054</v>
      </c>
      <c r="B25" t="s">
        <v>19</v>
      </c>
      <c r="C25" t="s">
        <v>76</v>
      </c>
      <c r="D25" t="s">
        <v>77</v>
      </c>
      <c r="E25" t="s">
        <v>71</v>
      </c>
      <c r="F25" t="s">
        <v>23</v>
      </c>
      <c r="G25">
        <v>210</v>
      </c>
      <c r="H25">
        <v>378</v>
      </c>
      <c r="I25">
        <v>185</v>
      </c>
      <c r="J25">
        <v>403</v>
      </c>
      <c r="K25">
        <v>198</v>
      </c>
      <c r="L25" t="b">
        <v>0</v>
      </c>
      <c r="M25">
        <v>1132.58</v>
      </c>
      <c r="N25">
        <v>456430.39</v>
      </c>
      <c r="O25" t="s">
        <v>37</v>
      </c>
      <c r="P25" t="str">
        <f>IF(J25=G25+H25-I25,"OK","Check")</f>
        <v>OK</v>
      </c>
      <c r="Q25" t="str">
        <f>IF(AND(J25&lt;=K25,L25=TRUE),"OK",IF(AND(J25&gt;K25,L25=FALSE),"OK","Check"))</f>
        <v>OK</v>
      </c>
      <c r="R25" t="str">
        <f>IF(ABS(N25-J25*M25)&lt;=J25*0.005+0.01,"OK","Check")</f>
        <v>OK</v>
      </c>
      <c r="S25" s="3">
        <f t="shared" si="0"/>
        <v>1</v>
      </c>
    </row>
    <row r="26" spans="1:19">
      <c r="A26" s="1">
        <v>46054</v>
      </c>
      <c r="B26" t="s">
        <v>19</v>
      </c>
      <c r="C26" t="s">
        <v>78</v>
      </c>
      <c r="D26" t="s">
        <v>79</v>
      </c>
      <c r="E26" t="s">
        <v>71</v>
      </c>
      <c r="F26" t="s">
        <v>23</v>
      </c>
      <c r="G26">
        <v>55</v>
      </c>
      <c r="H26">
        <v>0</v>
      </c>
      <c r="I26">
        <v>16</v>
      </c>
      <c r="J26">
        <v>39</v>
      </c>
      <c r="K26">
        <v>23</v>
      </c>
      <c r="L26" t="b">
        <v>0</v>
      </c>
      <c r="M26">
        <v>365.09</v>
      </c>
      <c r="N26">
        <v>14238.57</v>
      </c>
      <c r="O26" t="s">
        <v>47</v>
      </c>
      <c r="P26" t="str">
        <f>IF(J26=G26+H26-I26,"OK","Check")</f>
        <v>OK</v>
      </c>
      <c r="Q26" t="str">
        <f>IF(AND(J26&lt;=K26,L26=TRUE),"OK",IF(AND(J26&gt;K26,L26=FALSE),"OK","Check"))</f>
        <v>OK</v>
      </c>
      <c r="R26" t="str">
        <f>IF(ABS(N26-J26*M26)&lt;=J26*0.005+0.01,"OK","Check")</f>
        <v>OK</v>
      </c>
      <c r="S26" s="3">
        <f t="shared" si="0"/>
        <v>1</v>
      </c>
    </row>
    <row r="27" spans="1:19">
      <c r="A27" s="1">
        <v>46054</v>
      </c>
      <c r="B27" t="s">
        <v>19</v>
      </c>
      <c r="C27" t="s">
        <v>80</v>
      </c>
      <c r="D27" t="s">
        <v>81</v>
      </c>
      <c r="E27" t="s">
        <v>71</v>
      </c>
      <c r="F27" t="s">
        <v>23</v>
      </c>
      <c r="G27">
        <v>553</v>
      </c>
      <c r="H27">
        <v>0</v>
      </c>
      <c r="I27">
        <v>215</v>
      </c>
      <c r="J27">
        <v>338</v>
      </c>
      <c r="K27">
        <v>193</v>
      </c>
      <c r="L27" t="b">
        <v>0</v>
      </c>
      <c r="M27">
        <v>1785.17</v>
      </c>
      <c r="N27">
        <v>603387</v>
      </c>
      <c r="O27" t="s">
        <v>32</v>
      </c>
      <c r="P27" t="str">
        <f>IF(J27=G27+H27-I27,"OK","Check")</f>
        <v>OK</v>
      </c>
      <c r="Q27" t="str">
        <f>IF(AND(J27&lt;=K27,L27=TRUE),"OK",IF(AND(J27&gt;K27,L27=FALSE),"OK","Check"))</f>
        <v>OK</v>
      </c>
      <c r="R27" t="str">
        <f>IF(ABS(N27-J27*M27)&lt;=J27*0.005+0.01,"OK","Check")</f>
        <v>OK</v>
      </c>
      <c r="S27" s="3">
        <f t="shared" si="0"/>
        <v>1</v>
      </c>
    </row>
    <row r="28" spans="1:19">
      <c r="A28" s="1">
        <v>46054</v>
      </c>
      <c r="B28" t="s">
        <v>19</v>
      </c>
      <c r="C28" t="s">
        <v>82</v>
      </c>
      <c r="D28" t="s">
        <v>83</v>
      </c>
      <c r="E28" t="s">
        <v>71</v>
      </c>
      <c r="F28" t="s">
        <v>23</v>
      </c>
      <c r="G28">
        <v>362</v>
      </c>
      <c r="H28">
        <v>496</v>
      </c>
      <c r="I28">
        <v>150</v>
      </c>
      <c r="J28">
        <v>708</v>
      </c>
      <c r="K28">
        <v>169</v>
      </c>
      <c r="L28" t="b">
        <v>0</v>
      </c>
      <c r="M28">
        <v>1831.69</v>
      </c>
      <c r="N28">
        <v>1296836.77</v>
      </c>
      <c r="O28" t="s">
        <v>37</v>
      </c>
      <c r="P28" t="str">
        <f>IF(J28=G28+H28-I28,"OK","Check")</f>
        <v>OK</v>
      </c>
      <c r="Q28" t="str">
        <f>IF(AND(J28&lt;=K28,L28=TRUE),"OK",IF(AND(J28&gt;K28,L28=FALSE),"OK","Check"))</f>
        <v>OK</v>
      </c>
      <c r="R28" t="str">
        <f>IF(ABS(N28-J28*M28)&lt;=J28*0.005+0.01,"OK","Check")</f>
        <v>OK</v>
      </c>
      <c r="S28" s="3">
        <f t="shared" si="0"/>
        <v>1</v>
      </c>
    </row>
    <row r="29" spans="1:19">
      <c r="A29" s="1">
        <v>46054</v>
      </c>
      <c r="B29" t="s">
        <v>19</v>
      </c>
      <c r="C29" t="s">
        <v>84</v>
      </c>
      <c r="D29" t="s">
        <v>85</v>
      </c>
      <c r="E29" t="s">
        <v>71</v>
      </c>
      <c r="F29" t="s">
        <v>23</v>
      </c>
      <c r="G29">
        <v>315</v>
      </c>
      <c r="H29">
        <v>0</v>
      </c>
      <c r="I29">
        <v>91</v>
      </c>
      <c r="J29">
        <v>224</v>
      </c>
      <c r="K29">
        <v>148</v>
      </c>
      <c r="L29" t="b">
        <v>0</v>
      </c>
      <c r="M29">
        <v>8178.76</v>
      </c>
      <c r="N29">
        <v>1832041.61</v>
      </c>
      <c r="O29" t="s">
        <v>47</v>
      </c>
      <c r="P29" t="str">
        <f>IF(J29=G29+H29-I29,"OK","Check")</f>
        <v>OK</v>
      </c>
      <c r="Q29" t="str">
        <f>IF(AND(J29&lt;=K29,L29=TRUE),"OK",IF(AND(J29&gt;K29,L29=FALSE),"OK","Check"))</f>
        <v>OK</v>
      </c>
      <c r="R29" t="str">
        <f>IF(ABS(N29-J29*M29)&lt;=J29*0.005+0.01,"OK","Check")</f>
        <v>OK</v>
      </c>
      <c r="S29" s="3">
        <f t="shared" si="0"/>
        <v>1</v>
      </c>
    </row>
    <row r="30" spans="1:19">
      <c r="A30" s="1">
        <v>46054</v>
      </c>
      <c r="B30" t="s">
        <v>19</v>
      </c>
      <c r="C30" t="s">
        <v>86</v>
      </c>
      <c r="D30" t="s">
        <v>87</v>
      </c>
      <c r="E30" t="s">
        <v>71</v>
      </c>
      <c r="F30" t="s">
        <v>23</v>
      </c>
      <c r="G30">
        <v>352</v>
      </c>
      <c r="H30">
        <v>0</v>
      </c>
      <c r="I30">
        <v>107</v>
      </c>
      <c r="J30">
        <v>245</v>
      </c>
      <c r="K30">
        <v>174</v>
      </c>
      <c r="L30" t="b">
        <v>0</v>
      </c>
      <c r="M30">
        <v>49.03</v>
      </c>
      <c r="N30">
        <v>12011.94</v>
      </c>
      <c r="O30" t="s">
        <v>60</v>
      </c>
      <c r="P30" t="str">
        <f>IF(J30=G30+H30-I30,"OK","Check")</f>
        <v>OK</v>
      </c>
      <c r="Q30" t="str">
        <f>IF(AND(J30&lt;=K30,L30=TRUE),"OK",IF(AND(J30&gt;K30,L30=FALSE),"OK","Check"))</f>
        <v>OK</v>
      </c>
      <c r="R30" t="str">
        <f>IF(ABS(N30-J30*M30)&lt;=J30*0.005+0.01,"OK","Check")</f>
        <v>OK</v>
      </c>
      <c r="S30" s="3">
        <f t="shared" si="0"/>
        <v>1</v>
      </c>
    </row>
    <row r="31" spans="1:19">
      <c r="A31" s="1">
        <v>46054</v>
      </c>
      <c r="B31" t="s">
        <v>19</v>
      </c>
      <c r="C31" t="s">
        <v>88</v>
      </c>
      <c r="D31" t="s">
        <v>89</v>
      </c>
      <c r="E31" t="s">
        <v>71</v>
      </c>
      <c r="F31" t="s">
        <v>23</v>
      </c>
      <c r="G31">
        <v>133</v>
      </c>
      <c r="H31">
        <v>0</v>
      </c>
      <c r="I31">
        <v>54</v>
      </c>
      <c r="J31">
        <v>79</v>
      </c>
      <c r="K31">
        <v>54</v>
      </c>
      <c r="L31" t="b">
        <v>0</v>
      </c>
      <c r="M31">
        <v>192.8</v>
      </c>
      <c r="N31">
        <v>15231.37</v>
      </c>
      <c r="O31" t="s">
        <v>32</v>
      </c>
      <c r="P31" t="str">
        <f>IF(J31=G31+H31-I31,"OK","Check")</f>
        <v>OK</v>
      </c>
      <c r="Q31" t="str">
        <f>IF(AND(J31&lt;=K31,L31=TRUE),"OK",IF(AND(J31&gt;K31,L31=FALSE),"OK","Check"))</f>
        <v>OK</v>
      </c>
      <c r="R31" t="str">
        <f>IF(ABS(N31-J31*M31)&lt;=J31*0.005+0.01,"OK","Check")</f>
        <v>OK</v>
      </c>
      <c r="S31" s="3">
        <f t="shared" si="0"/>
        <v>1</v>
      </c>
    </row>
    <row r="32" spans="1:19">
      <c r="A32" s="1">
        <v>46054</v>
      </c>
      <c r="B32" t="s">
        <v>19</v>
      </c>
      <c r="C32" t="s">
        <v>90</v>
      </c>
      <c r="D32" t="s">
        <v>91</v>
      </c>
      <c r="E32" t="s">
        <v>71</v>
      </c>
      <c r="F32" t="s">
        <v>23</v>
      </c>
      <c r="G32">
        <v>50</v>
      </c>
      <c r="H32">
        <v>106</v>
      </c>
      <c r="I32">
        <v>44</v>
      </c>
      <c r="J32">
        <v>112</v>
      </c>
      <c r="K32">
        <v>43</v>
      </c>
      <c r="L32" t="b">
        <v>0</v>
      </c>
      <c r="M32">
        <v>1633.67</v>
      </c>
      <c r="N32">
        <v>182970.62</v>
      </c>
      <c r="O32" t="s">
        <v>32</v>
      </c>
      <c r="P32" t="str">
        <f>IF(J32=G32+H32-I32,"OK","Check")</f>
        <v>OK</v>
      </c>
      <c r="Q32" t="str">
        <f>IF(AND(J32&lt;=K32,L32=TRUE),"OK",IF(AND(J32&gt;K32,L32=FALSE),"OK","Check"))</f>
        <v>OK</v>
      </c>
      <c r="R32" t="str">
        <f>IF(ABS(N32-J32*M32)&lt;=J32*0.005+0.01,"OK","Check")</f>
        <v>OK</v>
      </c>
      <c r="S32" s="3">
        <f t="shared" si="0"/>
        <v>1</v>
      </c>
    </row>
    <row r="33" spans="1:19">
      <c r="A33" s="1">
        <v>46054</v>
      </c>
      <c r="B33" t="s">
        <v>19</v>
      </c>
      <c r="C33" t="s">
        <v>92</v>
      </c>
      <c r="D33" t="s">
        <v>93</v>
      </c>
      <c r="E33" t="s">
        <v>71</v>
      </c>
      <c r="F33" t="s">
        <v>23</v>
      </c>
      <c r="G33">
        <v>200</v>
      </c>
      <c r="H33">
        <v>291</v>
      </c>
      <c r="I33">
        <v>84</v>
      </c>
      <c r="J33">
        <v>407</v>
      </c>
      <c r="K33">
        <v>137</v>
      </c>
      <c r="L33" t="b">
        <v>0</v>
      </c>
      <c r="M33">
        <v>270.76</v>
      </c>
      <c r="N33">
        <v>110200.01</v>
      </c>
      <c r="O33" t="s">
        <v>24</v>
      </c>
      <c r="P33" t="str">
        <f>IF(J33=G33+H33-I33,"OK","Check")</f>
        <v>OK</v>
      </c>
      <c r="Q33" t="str">
        <f>IF(AND(J33&lt;=K33,L33=TRUE),"OK",IF(AND(J33&gt;K33,L33=FALSE),"OK","Check"))</f>
        <v>OK</v>
      </c>
      <c r="R33" t="str">
        <f>IF(ABS(N33-J33*M33)&lt;=J33*0.005+0.01,"OK","Check")</f>
        <v>OK</v>
      </c>
      <c r="S33" s="3">
        <f t="shared" si="0"/>
        <v>1</v>
      </c>
    </row>
    <row r="34" spans="1:19">
      <c r="A34" s="1">
        <v>46054</v>
      </c>
      <c r="B34" t="s">
        <v>19</v>
      </c>
      <c r="C34" t="s">
        <v>94</v>
      </c>
      <c r="D34" t="s">
        <v>95</v>
      </c>
      <c r="E34" t="s">
        <v>71</v>
      </c>
      <c r="F34" t="s">
        <v>23</v>
      </c>
      <c r="G34">
        <v>377</v>
      </c>
      <c r="H34">
        <v>0</v>
      </c>
      <c r="I34">
        <v>132</v>
      </c>
      <c r="J34">
        <v>245</v>
      </c>
      <c r="K34">
        <v>177</v>
      </c>
      <c r="L34" t="b">
        <v>0</v>
      </c>
      <c r="M34">
        <v>1297.4000000000001</v>
      </c>
      <c r="N34">
        <v>317862.88</v>
      </c>
      <c r="O34" t="s">
        <v>32</v>
      </c>
      <c r="P34" t="str">
        <f>IF(J34=G34+H34-I34,"OK","Check")</f>
        <v>OK</v>
      </c>
      <c r="Q34" t="str">
        <f>IF(AND(J34&lt;=K34,L34=TRUE),"OK",IF(AND(J34&gt;K34,L34=FALSE),"OK","Check"))</f>
        <v>OK</v>
      </c>
      <c r="R34" t="str">
        <f>IF(ABS(N34-J34*M34)&lt;=J34*0.005+0.01,"OK","Check")</f>
        <v>OK</v>
      </c>
      <c r="S34" s="3">
        <f t="shared" si="0"/>
        <v>1</v>
      </c>
    </row>
    <row r="35" spans="1:19">
      <c r="A35" s="1">
        <v>46054</v>
      </c>
      <c r="B35" t="s">
        <v>19</v>
      </c>
      <c r="C35" t="s">
        <v>96</v>
      </c>
      <c r="D35" t="s">
        <v>97</v>
      </c>
      <c r="E35" t="s">
        <v>71</v>
      </c>
      <c r="F35" t="s">
        <v>23</v>
      </c>
      <c r="G35">
        <v>409</v>
      </c>
      <c r="H35">
        <v>0</v>
      </c>
      <c r="I35">
        <v>152</v>
      </c>
      <c r="J35">
        <v>257</v>
      </c>
      <c r="K35">
        <v>218</v>
      </c>
      <c r="L35" t="b">
        <v>0</v>
      </c>
      <c r="M35">
        <v>760.71</v>
      </c>
      <c r="N35">
        <v>195503.39</v>
      </c>
      <c r="O35" t="s">
        <v>98</v>
      </c>
      <c r="P35" t="str">
        <f>IF(J35=G35+H35-I35,"OK","Check")</f>
        <v>OK</v>
      </c>
      <c r="Q35" t="str">
        <f>IF(AND(J35&lt;=K35,L35=TRUE),"OK",IF(AND(J35&gt;K35,L35=FALSE),"OK","Check"))</f>
        <v>OK</v>
      </c>
      <c r="R35" t="str">
        <f>IF(ABS(N35-J35*M35)&lt;=J35*0.005+0.01,"OK","Check")</f>
        <v>OK</v>
      </c>
      <c r="S35" s="3">
        <f t="shared" si="0"/>
        <v>1</v>
      </c>
    </row>
    <row r="36" spans="1:19">
      <c r="A36" s="1">
        <v>46054</v>
      </c>
      <c r="B36" t="s">
        <v>19</v>
      </c>
      <c r="C36" t="s">
        <v>99</v>
      </c>
      <c r="D36" t="s">
        <v>100</v>
      </c>
      <c r="E36" t="s">
        <v>71</v>
      </c>
      <c r="F36" t="s">
        <v>23</v>
      </c>
      <c r="G36">
        <v>234</v>
      </c>
      <c r="H36">
        <v>0</v>
      </c>
      <c r="I36">
        <v>97</v>
      </c>
      <c r="J36">
        <v>137</v>
      </c>
      <c r="K36">
        <v>120</v>
      </c>
      <c r="L36" t="b">
        <v>0</v>
      </c>
      <c r="M36">
        <v>3483.02</v>
      </c>
      <c r="N36">
        <v>477173.32</v>
      </c>
      <c r="O36" t="s">
        <v>47</v>
      </c>
      <c r="P36" t="str">
        <f>IF(J36=G36+H36-I36,"OK","Check")</f>
        <v>OK</v>
      </c>
      <c r="Q36" t="str">
        <f>IF(AND(J36&lt;=K36,L36=TRUE),"OK",IF(AND(J36&gt;K36,L36=FALSE),"OK","Check"))</f>
        <v>OK</v>
      </c>
      <c r="R36" t="str">
        <f>IF(ABS(N36-J36*M36)&lt;=J36*0.005+0.01,"OK","Check")</f>
        <v>OK</v>
      </c>
      <c r="S36" s="3">
        <f t="shared" si="0"/>
        <v>1</v>
      </c>
    </row>
    <row r="37" spans="1:19">
      <c r="A37" s="1">
        <v>46054</v>
      </c>
      <c r="B37" t="s">
        <v>19</v>
      </c>
      <c r="C37" t="s">
        <v>101</v>
      </c>
      <c r="D37" t="s">
        <v>102</v>
      </c>
      <c r="E37" t="s">
        <v>71</v>
      </c>
      <c r="F37" t="s">
        <v>23</v>
      </c>
      <c r="G37">
        <v>245</v>
      </c>
      <c r="H37">
        <v>0</v>
      </c>
      <c r="I37">
        <v>158</v>
      </c>
      <c r="J37">
        <v>87</v>
      </c>
      <c r="K37">
        <v>156</v>
      </c>
      <c r="L37" t="b">
        <v>1</v>
      </c>
      <c r="M37">
        <v>57.69</v>
      </c>
      <c r="N37">
        <v>5019.1499999999996</v>
      </c>
      <c r="O37" t="s">
        <v>32</v>
      </c>
      <c r="P37" t="str">
        <f>IF(J37=G37+H37-I37,"OK","Check")</f>
        <v>OK</v>
      </c>
      <c r="Q37" t="str">
        <f>IF(AND(J37&lt;=K37,L37=TRUE),"OK",IF(AND(J37&gt;K37,L37=FALSE),"OK","Check"))</f>
        <v>OK</v>
      </c>
      <c r="R37" t="str">
        <f>IF(ABS(N37-J37*M37)&lt;=J37*0.005+0.01,"OK","Check")</f>
        <v>OK</v>
      </c>
      <c r="S37" s="3">
        <f t="shared" si="0"/>
        <v>1</v>
      </c>
    </row>
    <row r="38" spans="1:19">
      <c r="A38" s="1">
        <v>46054</v>
      </c>
      <c r="B38" t="s">
        <v>19</v>
      </c>
      <c r="C38" t="s">
        <v>103</v>
      </c>
      <c r="D38" t="s">
        <v>104</v>
      </c>
      <c r="E38" t="s">
        <v>71</v>
      </c>
      <c r="F38" t="s">
        <v>23</v>
      </c>
      <c r="G38">
        <v>265</v>
      </c>
      <c r="H38">
        <v>0</v>
      </c>
      <c r="I38">
        <v>179</v>
      </c>
      <c r="J38">
        <v>86</v>
      </c>
      <c r="K38">
        <v>201</v>
      </c>
      <c r="L38" t="b">
        <v>1</v>
      </c>
      <c r="M38">
        <v>480.93</v>
      </c>
      <c r="N38">
        <v>41360.22</v>
      </c>
      <c r="O38" t="s">
        <v>98</v>
      </c>
      <c r="P38" t="str">
        <f>IF(J38=G38+H38-I38,"OK","Check")</f>
        <v>OK</v>
      </c>
      <c r="Q38" t="str">
        <f>IF(AND(J38&lt;=K38,L38=TRUE),"OK",IF(AND(J38&gt;K38,L38=FALSE),"OK","Check"))</f>
        <v>OK</v>
      </c>
      <c r="R38" t="str">
        <f>IF(ABS(N38-J38*M38)&lt;=J38*0.005+0.01,"OK","Check")</f>
        <v>OK</v>
      </c>
      <c r="S38" s="3">
        <f t="shared" si="0"/>
        <v>1</v>
      </c>
    </row>
    <row r="39" spans="1:19">
      <c r="A39" s="1">
        <v>46054</v>
      </c>
      <c r="B39" t="s">
        <v>19</v>
      </c>
      <c r="C39" t="s">
        <v>105</v>
      </c>
      <c r="D39" t="s">
        <v>106</v>
      </c>
      <c r="E39" t="s">
        <v>71</v>
      </c>
      <c r="F39" t="s">
        <v>23</v>
      </c>
      <c r="G39">
        <v>450</v>
      </c>
      <c r="H39">
        <v>0</v>
      </c>
      <c r="I39">
        <v>173</v>
      </c>
      <c r="J39">
        <v>277</v>
      </c>
      <c r="K39">
        <v>201</v>
      </c>
      <c r="L39" t="b">
        <v>0</v>
      </c>
      <c r="M39">
        <v>2392.23</v>
      </c>
      <c r="N39">
        <v>662646.56999999995</v>
      </c>
      <c r="O39" t="s">
        <v>32</v>
      </c>
      <c r="P39" t="str">
        <f>IF(J39=G39+H39-I39,"OK","Check")</f>
        <v>OK</v>
      </c>
      <c r="Q39" t="str">
        <f>IF(AND(J39&lt;=K39,L39=TRUE),"OK",IF(AND(J39&gt;K39,L39=FALSE),"OK","Check"))</f>
        <v>OK</v>
      </c>
      <c r="R39" t="str">
        <f>IF(ABS(N39-J39*M39)&lt;=J39*0.005+0.01,"OK","Check")</f>
        <v>OK</v>
      </c>
      <c r="S39" s="3">
        <f t="shared" si="0"/>
        <v>1</v>
      </c>
    </row>
    <row r="40" spans="1:19">
      <c r="A40" s="1">
        <v>46054</v>
      </c>
      <c r="B40" t="s">
        <v>19</v>
      </c>
      <c r="C40" t="s">
        <v>107</v>
      </c>
      <c r="D40" t="s">
        <v>108</v>
      </c>
      <c r="E40" t="s">
        <v>109</v>
      </c>
      <c r="F40" t="s">
        <v>110</v>
      </c>
      <c r="G40">
        <v>125</v>
      </c>
      <c r="H40">
        <v>0</v>
      </c>
      <c r="I40">
        <v>125</v>
      </c>
      <c r="J40">
        <v>0</v>
      </c>
      <c r="K40">
        <v>99</v>
      </c>
      <c r="L40" t="b">
        <v>1</v>
      </c>
      <c r="M40">
        <v>93.71</v>
      </c>
      <c r="N40">
        <v>0</v>
      </c>
      <c r="O40" t="s">
        <v>24</v>
      </c>
      <c r="P40" t="str">
        <f>IF(J40=G40+H40-I40,"OK","Check")</f>
        <v>OK</v>
      </c>
      <c r="Q40" t="str">
        <f>IF(AND(J40&lt;=K40,L40=TRUE),"OK",IF(AND(J40&gt;K40,L40=FALSE),"OK","Check"))</f>
        <v>OK</v>
      </c>
      <c r="R40" t="str">
        <f>IF(ABS(N40-J40*M40)&lt;=J40*0.005+0.01,"OK","Check")</f>
        <v>OK</v>
      </c>
      <c r="S40" s="3">
        <f t="shared" si="0"/>
        <v>1</v>
      </c>
    </row>
    <row r="41" spans="1:19">
      <c r="A41" s="1">
        <v>46054</v>
      </c>
      <c r="B41" t="s">
        <v>19</v>
      </c>
      <c r="C41" t="s">
        <v>111</v>
      </c>
      <c r="D41" t="s">
        <v>112</v>
      </c>
      <c r="E41" t="s">
        <v>109</v>
      </c>
      <c r="F41" t="s">
        <v>110</v>
      </c>
      <c r="G41">
        <v>95</v>
      </c>
      <c r="H41">
        <v>248</v>
      </c>
      <c r="I41">
        <v>87</v>
      </c>
      <c r="J41">
        <v>256</v>
      </c>
      <c r="K41">
        <v>79</v>
      </c>
      <c r="L41" t="b">
        <v>0</v>
      </c>
      <c r="M41">
        <v>477.37</v>
      </c>
      <c r="N41">
        <v>122206.98</v>
      </c>
      <c r="O41" t="s">
        <v>98</v>
      </c>
      <c r="P41" t="str">
        <f>IF(J41=G41+H41-I41,"OK","Check")</f>
        <v>OK</v>
      </c>
      <c r="Q41" t="str">
        <f>IF(AND(J41&lt;=K41,L41=TRUE),"OK",IF(AND(J41&gt;K41,L41=FALSE),"OK","Check"))</f>
        <v>OK</v>
      </c>
      <c r="R41" t="str">
        <f>IF(ABS(N41-J41*M41)&lt;=J41*0.005+0.01,"OK","Check")</f>
        <v>OK</v>
      </c>
      <c r="S41" s="3">
        <f t="shared" si="0"/>
        <v>1</v>
      </c>
    </row>
    <row r="42" spans="1:19">
      <c r="A42" s="1">
        <v>46054</v>
      </c>
      <c r="B42" t="s">
        <v>19</v>
      </c>
      <c r="C42" t="s">
        <v>113</v>
      </c>
      <c r="D42" t="s">
        <v>114</v>
      </c>
      <c r="E42" t="s">
        <v>109</v>
      </c>
      <c r="F42" t="s">
        <v>110</v>
      </c>
      <c r="G42">
        <v>540</v>
      </c>
      <c r="H42">
        <v>499</v>
      </c>
      <c r="I42">
        <v>151</v>
      </c>
      <c r="J42">
        <v>888</v>
      </c>
      <c r="K42">
        <v>224</v>
      </c>
      <c r="L42" t="b">
        <v>0</v>
      </c>
      <c r="M42">
        <v>153.99</v>
      </c>
      <c r="N42">
        <v>136741.37</v>
      </c>
      <c r="O42" t="s">
        <v>27</v>
      </c>
      <c r="P42" t="str">
        <f>IF(J42=G42+H42-I42,"OK","Check")</f>
        <v>OK</v>
      </c>
      <c r="Q42" t="str">
        <f>IF(AND(J42&lt;=K42,L42=TRUE),"OK",IF(AND(J42&gt;K42,L42=FALSE),"OK","Check"))</f>
        <v>OK</v>
      </c>
      <c r="R42" t="str">
        <f>IF(ABS(N42-J42*M42)&lt;=J42*0.005+0.01,"OK","Check")</f>
        <v>OK</v>
      </c>
      <c r="S42" s="3">
        <f t="shared" si="0"/>
        <v>1</v>
      </c>
    </row>
    <row r="43" spans="1:19">
      <c r="A43" s="1">
        <v>46054</v>
      </c>
      <c r="B43" t="s">
        <v>19</v>
      </c>
      <c r="C43" t="s">
        <v>115</v>
      </c>
      <c r="D43" t="s">
        <v>116</v>
      </c>
      <c r="E43" t="s">
        <v>109</v>
      </c>
      <c r="F43" t="s">
        <v>110</v>
      </c>
      <c r="G43">
        <v>165</v>
      </c>
      <c r="H43">
        <v>389</v>
      </c>
      <c r="I43">
        <v>187</v>
      </c>
      <c r="J43">
        <v>367</v>
      </c>
      <c r="K43">
        <v>151</v>
      </c>
      <c r="L43" t="b">
        <v>0</v>
      </c>
      <c r="M43">
        <v>677.01</v>
      </c>
      <c r="N43">
        <v>248461.73</v>
      </c>
      <c r="O43" t="s">
        <v>44</v>
      </c>
      <c r="P43" t="str">
        <f>IF(J43=G43+H43-I43,"OK","Check")</f>
        <v>OK</v>
      </c>
      <c r="Q43" t="str">
        <f>IF(AND(J43&lt;=K43,L43=TRUE),"OK",IF(AND(J43&gt;K43,L43=FALSE),"OK","Check"))</f>
        <v>OK</v>
      </c>
      <c r="R43" t="str">
        <f>IF(ABS(N43-J43*M43)&lt;=J43*0.005+0.01,"OK","Check")</f>
        <v>OK</v>
      </c>
      <c r="S43" s="3">
        <f t="shared" si="0"/>
        <v>1</v>
      </c>
    </row>
    <row r="44" spans="1:19">
      <c r="A44" s="1">
        <v>46054</v>
      </c>
      <c r="B44" t="s">
        <v>19</v>
      </c>
      <c r="C44" t="s">
        <v>117</v>
      </c>
      <c r="D44" t="s">
        <v>118</v>
      </c>
      <c r="E44" t="s">
        <v>109</v>
      </c>
      <c r="F44" t="s">
        <v>110</v>
      </c>
      <c r="G44">
        <v>315</v>
      </c>
      <c r="H44">
        <v>318</v>
      </c>
      <c r="I44">
        <v>108</v>
      </c>
      <c r="J44">
        <v>525</v>
      </c>
      <c r="K44">
        <v>139</v>
      </c>
      <c r="L44" t="b">
        <v>0</v>
      </c>
      <c r="M44">
        <v>41.2</v>
      </c>
      <c r="N44">
        <v>21628.48</v>
      </c>
      <c r="O44" t="s">
        <v>32</v>
      </c>
      <c r="P44" t="str">
        <f>IF(J44=G44+H44-I44,"OK","Check")</f>
        <v>OK</v>
      </c>
      <c r="Q44" t="str">
        <f>IF(AND(J44&lt;=K44,L44=TRUE),"OK",IF(AND(J44&gt;K44,L44=FALSE),"OK","Check"))</f>
        <v>OK</v>
      </c>
      <c r="R44" t="str">
        <f>IF(ABS(N44-J44*M44)&lt;=J44*0.005+0.01,"OK","Check")</f>
        <v>OK</v>
      </c>
      <c r="S44" s="3">
        <f t="shared" si="0"/>
        <v>1</v>
      </c>
    </row>
    <row r="45" spans="1:19">
      <c r="A45" s="1">
        <v>46054</v>
      </c>
      <c r="B45" t="s">
        <v>19</v>
      </c>
      <c r="C45" t="s">
        <v>119</v>
      </c>
      <c r="D45" t="s">
        <v>120</v>
      </c>
      <c r="E45" t="s">
        <v>109</v>
      </c>
      <c r="F45" t="s">
        <v>110</v>
      </c>
      <c r="G45">
        <v>267</v>
      </c>
      <c r="H45">
        <v>444</v>
      </c>
      <c r="I45">
        <v>111</v>
      </c>
      <c r="J45">
        <v>600</v>
      </c>
      <c r="K45">
        <v>167</v>
      </c>
      <c r="L45" t="b">
        <v>0</v>
      </c>
      <c r="M45">
        <v>185.85</v>
      </c>
      <c r="N45">
        <v>111512.1</v>
      </c>
      <c r="O45" t="s">
        <v>32</v>
      </c>
      <c r="P45" t="str">
        <f>IF(J45=G45+H45-I45,"OK","Check")</f>
        <v>OK</v>
      </c>
      <c r="Q45" t="str">
        <f>IF(AND(J45&lt;=K45,L45=TRUE),"OK",IF(AND(J45&gt;K45,L45=FALSE),"OK","Check"))</f>
        <v>OK</v>
      </c>
      <c r="R45" t="str">
        <f>IF(ABS(N45-J45*M45)&lt;=J45*0.005+0.01,"OK","Check")</f>
        <v>OK</v>
      </c>
      <c r="S45" s="3">
        <f t="shared" si="0"/>
        <v>1</v>
      </c>
    </row>
    <row r="46" spans="1:19">
      <c r="A46" s="1">
        <v>46054</v>
      </c>
      <c r="B46" t="s">
        <v>19</v>
      </c>
      <c r="C46" t="s">
        <v>121</v>
      </c>
      <c r="D46" t="s">
        <v>122</v>
      </c>
      <c r="E46" t="s">
        <v>109</v>
      </c>
      <c r="F46" t="s">
        <v>110</v>
      </c>
      <c r="G46">
        <v>202</v>
      </c>
      <c r="H46">
        <v>0</v>
      </c>
      <c r="I46">
        <v>77</v>
      </c>
      <c r="J46">
        <v>125</v>
      </c>
      <c r="K46">
        <v>89</v>
      </c>
      <c r="L46" t="b">
        <v>0</v>
      </c>
      <c r="M46">
        <v>40.72</v>
      </c>
      <c r="N46">
        <v>5089.8500000000004</v>
      </c>
      <c r="O46" t="s">
        <v>47</v>
      </c>
      <c r="P46" t="str">
        <f>IF(J46=G46+H46-I46,"OK","Check")</f>
        <v>OK</v>
      </c>
      <c r="Q46" t="str">
        <f>IF(AND(J46&lt;=K46,L46=TRUE),"OK",IF(AND(J46&gt;K46,L46=FALSE),"OK","Check"))</f>
        <v>OK</v>
      </c>
      <c r="R46" t="str">
        <f>IF(ABS(N46-J46*M46)&lt;=J46*0.005+0.01,"OK","Check")</f>
        <v>OK</v>
      </c>
      <c r="S46" s="3">
        <f t="shared" si="0"/>
        <v>1</v>
      </c>
    </row>
    <row r="47" spans="1:19">
      <c r="A47" s="1">
        <v>46054</v>
      </c>
      <c r="B47" t="s">
        <v>19</v>
      </c>
      <c r="C47" t="s">
        <v>123</v>
      </c>
      <c r="D47" t="s">
        <v>124</v>
      </c>
      <c r="E47" t="s">
        <v>109</v>
      </c>
      <c r="F47" t="s">
        <v>110</v>
      </c>
      <c r="G47">
        <v>130</v>
      </c>
      <c r="H47">
        <v>0</v>
      </c>
      <c r="I47">
        <v>90</v>
      </c>
      <c r="J47">
        <v>40</v>
      </c>
      <c r="K47">
        <v>106</v>
      </c>
      <c r="L47" t="b">
        <v>1</v>
      </c>
      <c r="M47">
        <v>190.36</v>
      </c>
      <c r="N47">
        <v>7614.56</v>
      </c>
      <c r="O47" t="s">
        <v>24</v>
      </c>
      <c r="P47" t="str">
        <f>IF(J47=G47+H47-I47,"OK","Check")</f>
        <v>OK</v>
      </c>
      <c r="Q47" t="str">
        <f>IF(AND(J47&lt;=K47,L47=TRUE),"OK",IF(AND(J47&gt;K47,L47=FALSE),"OK","Check"))</f>
        <v>OK</v>
      </c>
      <c r="R47" t="str">
        <f>IF(ABS(N47-J47*M47)&lt;=J47*0.005+0.01,"OK","Check")</f>
        <v>OK</v>
      </c>
      <c r="S47" s="3">
        <f t="shared" si="0"/>
        <v>1</v>
      </c>
    </row>
    <row r="48" spans="1:19">
      <c r="A48" s="1">
        <v>46054</v>
      </c>
      <c r="B48" t="s">
        <v>19</v>
      </c>
      <c r="C48" t="s">
        <v>125</v>
      </c>
      <c r="D48" t="s">
        <v>126</v>
      </c>
      <c r="E48" t="s">
        <v>109</v>
      </c>
      <c r="F48" t="s">
        <v>110</v>
      </c>
      <c r="G48">
        <v>347</v>
      </c>
      <c r="H48">
        <v>0</v>
      </c>
      <c r="I48">
        <v>179</v>
      </c>
      <c r="J48">
        <v>168</v>
      </c>
      <c r="K48">
        <v>215</v>
      </c>
      <c r="L48" t="b">
        <v>1</v>
      </c>
      <c r="M48">
        <v>129.99</v>
      </c>
      <c r="N48">
        <v>21838.65</v>
      </c>
      <c r="O48" t="s">
        <v>47</v>
      </c>
      <c r="P48" t="str">
        <f>IF(J48=G48+H48-I48,"OK","Check")</f>
        <v>OK</v>
      </c>
      <c r="Q48" t="str">
        <f>IF(AND(J48&lt;=K48,L48=TRUE),"OK",IF(AND(J48&gt;K48,L48=FALSE),"OK","Check"))</f>
        <v>OK</v>
      </c>
      <c r="R48" t="str">
        <f>IF(ABS(N48-J48*M48)&lt;=J48*0.005+0.01,"OK","Check")</f>
        <v>OK</v>
      </c>
      <c r="S48" s="3">
        <f t="shared" si="0"/>
        <v>1</v>
      </c>
    </row>
    <row r="49" spans="1:19">
      <c r="A49" s="1">
        <v>46054</v>
      </c>
      <c r="B49" t="s">
        <v>19</v>
      </c>
      <c r="C49" t="s">
        <v>127</v>
      </c>
      <c r="D49" t="s">
        <v>128</v>
      </c>
      <c r="E49" t="s">
        <v>109</v>
      </c>
      <c r="F49" t="s">
        <v>110</v>
      </c>
      <c r="G49">
        <v>146</v>
      </c>
      <c r="H49">
        <v>0</v>
      </c>
      <c r="I49">
        <v>60</v>
      </c>
      <c r="J49">
        <v>86</v>
      </c>
      <c r="K49">
        <v>120</v>
      </c>
      <c r="L49" t="b">
        <v>1</v>
      </c>
      <c r="M49">
        <v>622.80999999999995</v>
      </c>
      <c r="N49">
        <v>53561.91</v>
      </c>
      <c r="O49" t="s">
        <v>44</v>
      </c>
      <c r="P49" t="str">
        <f>IF(J49=G49+H49-I49,"OK","Check")</f>
        <v>OK</v>
      </c>
      <c r="Q49" t="str">
        <f>IF(AND(J49&lt;=K49,L49=TRUE),"OK",IF(AND(J49&gt;K49,L49=FALSE),"OK","Check"))</f>
        <v>OK</v>
      </c>
      <c r="R49" t="str">
        <f>IF(ABS(N49-J49*M49)&lt;=J49*0.005+0.01,"OK","Check")</f>
        <v>OK</v>
      </c>
      <c r="S49" s="3">
        <f t="shared" si="0"/>
        <v>1</v>
      </c>
    </row>
    <row r="50" spans="1:19">
      <c r="A50" s="1">
        <v>46054</v>
      </c>
      <c r="B50" t="s">
        <v>19</v>
      </c>
      <c r="C50" t="s">
        <v>129</v>
      </c>
      <c r="D50" t="s">
        <v>130</v>
      </c>
      <c r="E50" t="s">
        <v>109</v>
      </c>
      <c r="F50" t="s">
        <v>110</v>
      </c>
      <c r="G50">
        <v>453</v>
      </c>
      <c r="H50">
        <v>0</v>
      </c>
      <c r="I50">
        <v>263</v>
      </c>
      <c r="J50">
        <v>190</v>
      </c>
      <c r="K50">
        <v>274</v>
      </c>
      <c r="L50" t="b">
        <v>1</v>
      </c>
      <c r="M50">
        <v>412.71</v>
      </c>
      <c r="N50">
        <v>78415.429999999993</v>
      </c>
      <c r="O50" t="s">
        <v>32</v>
      </c>
      <c r="P50" t="str">
        <f>IF(J50=G50+H50-I50,"OK","Check")</f>
        <v>OK</v>
      </c>
      <c r="Q50" t="str">
        <f>IF(AND(J50&lt;=K50,L50=TRUE),"OK",IF(AND(J50&gt;K50,L50=FALSE),"OK","Check"))</f>
        <v>OK</v>
      </c>
      <c r="R50" t="str">
        <f>IF(ABS(N50-J50*M50)&lt;=J50*0.005+0.01,"OK","Check")</f>
        <v>OK</v>
      </c>
      <c r="S50" s="3">
        <f t="shared" si="0"/>
        <v>1</v>
      </c>
    </row>
    <row r="51" spans="1:19">
      <c r="A51" s="1">
        <v>46054</v>
      </c>
      <c r="B51" t="s">
        <v>19</v>
      </c>
      <c r="C51" t="s">
        <v>131</v>
      </c>
      <c r="D51" t="s">
        <v>132</v>
      </c>
      <c r="E51" t="s">
        <v>109</v>
      </c>
      <c r="F51" t="s">
        <v>110</v>
      </c>
      <c r="G51">
        <v>134</v>
      </c>
      <c r="H51">
        <v>0</v>
      </c>
      <c r="I51">
        <v>59</v>
      </c>
      <c r="J51">
        <v>75</v>
      </c>
      <c r="K51">
        <v>56</v>
      </c>
      <c r="L51" t="b">
        <v>0</v>
      </c>
      <c r="M51">
        <v>1980.46</v>
      </c>
      <c r="N51">
        <v>148534.35</v>
      </c>
      <c r="O51" t="s">
        <v>24</v>
      </c>
      <c r="P51" t="str">
        <f>IF(J51=G51+H51-I51,"OK","Check")</f>
        <v>OK</v>
      </c>
      <c r="Q51" t="str">
        <f>IF(AND(J51&lt;=K51,L51=TRUE),"OK",IF(AND(J51&gt;K51,L51=FALSE),"OK","Check"))</f>
        <v>OK</v>
      </c>
      <c r="R51" t="str">
        <f>IF(ABS(N51-J51*M51)&lt;=J51*0.005+0.01,"OK","Check")</f>
        <v>OK</v>
      </c>
      <c r="S51" s="3">
        <f t="shared" si="0"/>
        <v>1</v>
      </c>
    </row>
    <row r="52" spans="1:19">
      <c r="A52" s="1">
        <v>46054</v>
      </c>
      <c r="B52" t="s">
        <v>19</v>
      </c>
      <c r="C52" t="s">
        <v>133</v>
      </c>
      <c r="D52" t="s">
        <v>134</v>
      </c>
      <c r="E52" t="s">
        <v>109</v>
      </c>
      <c r="F52" t="s">
        <v>110</v>
      </c>
      <c r="G52">
        <v>358</v>
      </c>
      <c r="H52">
        <v>0</v>
      </c>
      <c r="I52">
        <v>276</v>
      </c>
      <c r="J52">
        <v>82</v>
      </c>
      <c r="K52">
        <v>160</v>
      </c>
      <c r="L52" t="b">
        <v>1</v>
      </c>
      <c r="M52">
        <v>23.88</v>
      </c>
      <c r="N52">
        <v>1958.3</v>
      </c>
      <c r="O52" t="s">
        <v>98</v>
      </c>
      <c r="P52" t="str">
        <f>IF(J52=G52+H52-I52,"OK","Check")</f>
        <v>OK</v>
      </c>
      <c r="Q52" t="str">
        <f>IF(AND(J52&lt;=K52,L52=TRUE),"OK",IF(AND(J52&gt;K52,L52=FALSE),"OK","Check"))</f>
        <v>OK</v>
      </c>
      <c r="R52" t="str">
        <f>IF(ABS(N52-J52*M52)&lt;=J52*0.005+0.01,"OK","Check")</f>
        <v>OK</v>
      </c>
      <c r="S52" s="3">
        <f t="shared" si="0"/>
        <v>1</v>
      </c>
    </row>
    <row r="53" spans="1:19">
      <c r="A53" s="1">
        <v>46054</v>
      </c>
      <c r="B53" t="s">
        <v>19</v>
      </c>
      <c r="C53" t="s">
        <v>135</v>
      </c>
      <c r="D53" t="s">
        <v>136</v>
      </c>
      <c r="E53" t="s">
        <v>109</v>
      </c>
      <c r="F53" t="s">
        <v>110</v>
      </c>
      <c r="G53">
        <v>130</v>
      </c>
      <c r="H53">
        <v>282</v>
      </c>
      <c r="I53">
        <v>97</v>
      </c>
      <c r="J53">
        <v>315</v>
      </c>
      <c r="K53">
        <v>135</v>
      </c>
      <c r="L53" t="b">
        <v>0</v>
      </c>
      <c r="M53">
        <v>110.78</v>
      </c>
      <c r="N53">
        <v>34894.589999999997</v>
      </c>
      <c r="O53" t="s">
        <v>32</v>
      </c>
      <c r="P53" t="str">
        <f>IF(J53=G53+H53-I53,"OK","Check")</f>
        <v>OK</v>
      </c>
      <c r="Q53" t="str">
        <f>IF(AND(J53&lt;=K53,L53=TRUE),"OK",IF(AND(J53&gt;K53,L53=FALSE),"OK","Check"))</f>
        <v>OK</v>
      </c>
      <c r="R53" t="str">
        <f>IF(ABS(N53-J53*M53)&lt;=J53*0.005+0.01,"OK","Check")</f>
        <v>OK</v>
      </c>
      <c r="S53" s="3">
        <f t="shared" si="0"/>
        <v>1</v>
      </c>
    </row>
    <row r="54" spans="1:19">
      <c r="A54" s="1">
        <v>46054</v>
      </c>
      <c r="B54" t="s">
        <v>19</v>
      </c>
      <c r="C54" t="s">
        <v>137</v>
      </c>
      <c r="D54" t="s">
        <v>138</v>
      </c>
      <c r="E54" t="s">
        <v>109</v>
      </c>
      <c r="F54" t="s">
        <v>110</v>
      </c>
      <c r="G54">
        <v>184</v>
      </c>
      <c r="H54">
        <v>0</v>
      </c>
      <c r="I54">
        <v>119</v>
      </c>
      <c r="J54">
        <v>65</v>
      </c>
      <c r="K54">
        <v>135</v>
      </c>
      <c r="L54" t="b">
        <v>1</v>
      </c>
      <c r="M54">
        <v>60.61</v>
      </c>
      <c r="N54">
        <v>3939.65</v>
      </c>
      <c r="O54" t="s">
        <v>27</v>
      </c>
      <c r="P54" t="str">
        <f>IF(J54=G54+H54-I54,"OK","Check")</f>
        <v>OK</v>
      </c>
      <c r="Q54" t="str">
        <f>IF(AND(J54&lt;=K54,L54=TRUE),"OK",IF(AND(J54&gt;K54,L54=FALSE),"OK","Check"))</f>
        <v>OK</v>
      </c>
      <c r="R54" t="str">
        <f>IF(ABS(N54-J54*M54)&lt;=J54*0.005+0.01,"OK","Check")</f>
        <v>OK</v>
      </c>
      <c r="S54" s="3">
        <f t="shared" si="0"/>
        <v>1</v>
      </c>
    </row>
    <row r="55" spans="1:19">
      <c r="A55" s="1">
        <v>46054</v>
      </c>
      <c r="B55" t="s">
        <v>19</v>
      </c>
      <c r="C55" t="s">
        <v>139</v>
      </c>
      <c r="D55" t="s">
        <v>140</v>
      </c>
      <c r="E55" t="s">
        <v>109</v>
      </c>
      <c r="F55" t="s">
        <v>110</v>
      </c>
      <c r="G55">
        <v>382</v>
      </c>
      <c r="H55">
        <v>0</v>
      </c>
      <c r="I55">
        <v>164</v>
      </c>
      <c r="J55">
        <v>218</v>
      </c>
      <c r="K55">
        <v>110</v>
      </c>
      <c r="L55" t="b">
        <v>0</v>
      </c>
      <c r="M55">
        <v>298.79000000000002</v>
      </c>
      <c r="N55">
        <v>65137.03</v>
      </c>
      <c r="O55" t="s">
        <v>32</v>
      </c>
      <c r="P55" t="str">
        <f>IF(J55=G55+H55-I55,"OK","Check")</f>
        <v>OK</v>
      </c>
      <c r="Q55" t="str">
        <f>IF(AND(J55&lt;=K55,L55=TRUE),"OK",IF(AND(J55&gt;K55,L55=FALSE),"OK","Check"))</f>
        <v>OK</v>
      </c>
      <c r="R55" t="str">
        <f>IF(ABS(N55-J55*M55)&lt;=J55*0.005+0.01,"OK","Check")</f>
        <v>OK</v>
      </c>
      <c r="S55" s="3">
        <f t="shared" si="0"/>
        <v>1</v>
      </c>
    </row>
    <row r="56" spans="1:19">
      <c r="A56" s="1">
        <v>46054</v>
      </c>
      <c r="B56" t="s">
        <v>19</v>
      </c>
      <c r="C56" t="s">
        <v>141</v>
      </c>
      <c r="D56" t="s">
        <v>142</v>
      </c>
      <c r="E56" t="s">
        <v>109</v>
      </c>
      <c r="F56" t="s">
        <v>110</v>
      </c>
      <c r="G56">
        <v>291</v>
      </c>
      <c r="H56">
        <v>0</v>
      </c>
      <c r="I56">
        <v>87</v>
      </c>
      <c r="J56">
        <v>204</v>
      </c>
      <c r="K56">
        <v>96</v>
      </c>
      <c r="L56" t="b">
        <v>0</v>
      </c>
      <c r="M56">
        <v>89.97</v>
      </c>
      <c r="N56">
        <v>18354.03</v>
      </c>
      <c r="O56" t="s">
        <v>37</v>
      </c>
      <c r="P56" t="str">
        <f>IF(J56=G56+H56-I56,"OK","Check")</f>
        <v>OK</v>
      </c>
      <c r="Q56" t="str">
        <f>IF(AND(J56&lt;=K56,L56=TRUE),"OK",IF(AND(J56&gt;K56,L56=FALSE),"OK","Check"))</f>
        <v>OK</v>
      </c>
      <c r="R56" t="str">
        <f>IF(ABS(N56-J56*M56)&lt;=J56*0.005+0.01,"OK","Check")</f>
        <v>OK</v>
      </c>
      <c r="S56" s="3">
        <f t="shared" si="0"/>
        <v>1</v>
      </c>
    </row>
    <row r="57" spans="1:19">
      <c r="A57" s="1">
        <v>46054</v>
      </c>
      <c r="B57" t="s">
        <v>19</v>
      </c>
      <c r="C57" t="s">
        <v>143</v>
      </c>
      <c r="D57" t="s">
        <v>144</v>
      </c>
      <c r="E57" t="s">
        <v>109</v>
      </c>
      <c r="F57" t="s">
        <v>110</v>
      </c>
      <c r="G57">
        <v>250</v>
      </c>
      <c r="H57">
        <v>0</v>
      </c>
      <c r="I57">
        <v>130</v>
      </c>
      <c r="J57">
        <v>120</v>
      </c>
      <c r="K57">
        <v>187</v>
      </c>
      <c r="L57" t="b">
        <v>1</v>
      </c>
      <c r="M57">
        <v>441.72</v>
      </c>
      <c r="N57">
        <v>53005.82</v>
      </c>
      <c r="O57" t="s">
        <v>24</v>
      </c>
      <c r="P57" t="str">
        <f>IF(J57=G57+H57-I57,"OK","Check")</f>
        <v>OK</v>
      </c>
      <c r="Q57" t="str">
        <f>IF(AND(J57&lt;=K57,L57=TRUE),"OK",IF(AND(J57&gt;K57,L57=FALSE),"OK","Check"))</f>
        <v>OK</v>
      </c>
      <c r="R57" t="str">
        <f>IF(ABS(N57-J57*M57)&lt;=J57*0.005+0.01,"OK","Check")</f>
        <v>OK</v>
      </c>
      <c r="S57" s="3">
        <f t="shared" si="0"/>
        <v>1</v>
      </c>
    </row>
    <row r="58" spans="1:19">
      <c r="A58" s="1">
        <v>46054</v>
      </c>
      <c r="B58" t="s">
        <v>19</v>
      </c>
      <c r="C58" t="s">
        <v>145</v>
      </c>
      <c r="D58" t="s">
        <v>146</v>
      </c>
      <c r="E58" t="s">
        <v>109</v>
      </c>
      <c r="F58" t="s">
        <v>110</v>
      </c>
      <c r="G58">
        <v>454</v>
      </c>
      <c r="H58">
        <v>0</v>
      </c>
      <c r="I58">
        <v>289</v>
      </c>
      <c r="J58">
        <v>165</v>
      </c>
      <c r="K58">
        <v>209</v>
      </c>
      <c r="L58" t="b">
        <v>1</v>
      </c>
      <c r="M58">
        <v>63.49</v>
      </c>
      <c r="N58">
        <v>10475.290000000001</v>
      </c>
      <c r="O58" t="s">
        <v>37</v>
      </c>
      <c r="P58" t="str">
        <f>IF(J58=G58+H58-I58,"OK","Check")</f>
        <v>OK</v>
      </c>
      <c r="Q58" t="str">
        <f>IF(AND(J58&lt;=K58,L58=TRUE),"OK",IF(AND(J58&gt;K58,L58=FALSE),"OK","Check"))</f>
        <v>OK</v>
      </c>
      <c r="R58" t="str">
        <f>IF(ABS(N58-J58*M58)&lt;=J58*0.005+0.01,"OK","Check")</f>
        <v>OK</v>
      </c>
      <c r="S58" s="3">
        <f t="shared" si="0"/>
        <v>1</v>
      </c>
    </row>
    <row r="59" spans="1:19">
      <c r="A59" s="1">
        <v>46054</v>
      </c>
      <c r="B59" t="s">
        <v>19</v>
      </c>
      <c r="C59" t="s">
        <v>147</v>
      </c>
      <c r="D59" t="s">
        <v>148</v>
      </c>
      <c r="E59" t="s">
        <v>109</v>
      </c>
      <c r="F59" t="s">
        <v>110</v>
      </c>
      <c r="G59">
        <v>562</v>
      </c>
      <c r="H59">
        <v>533</v>
      </c>
      <c r="I59">
        <v>153</v>
      </c>
      <c r="J59">
        <v>942</v>
      </c>
      <c r="K59">
        <v>235</v>
      </c>
      <c r="L59" t="b">
        <v>0</v>
      </c>
      <c r="M59">
        <v>320.77</v>
      </c>
      <c r="N59">
        <v>302164.21999999997</v>
      </c>
      <c r="O59" t="s">
        <v>98</v>
      </c>
      <c r="P59" t="str">
        <f>IF(J59=G59+H59-I59,"OK","Check")</f>
        <v>OK</v>
      </c>
      <c r="Q59" t="str">
        <f>IF(AND(J59&lt;=K59,L59=TRUE),"OK",IF(AND(J59&gt;K59,L59=FALSE),"OK","Check"))</f>
        <v>OK</v>
      </c>
      <c r="R59" t="str">
        <f>IF(ABS(N59-J59*M59)&lt;=J59*0.005+0.01,"OK","Check")</f>
        <v>OK</v>
      </c>
      <c r="S59" s="3">
        <f t="shared" si="0"/>
        <v>1</v>
      </c>
    </row>
    <row r="60" spans="1:19">
      <c r="A60" s="1">
        <v>46054</v>
      </c>
      <c r="B60" t="s">
        <v>19</v>
      </c>
      <c r="C60" t="s">
        <v>149</v>
      </c>
      <c r="D60" t="s">
        <v>150</v>
      </c>
      <c r="E60" t="s">
        <v>151</v>
      </c>
      <c r="F60" t="s">
        <v>23</v>
      </c>
      <c r="G60">
        <v>131</v>
      </c>
      <c r="H60">
        <v>0</v>
      </c>
      <c r="I60">
        <v>91</v>
      </c>
      <c r="J60">
        <v>40</v>
      </c>
      <c r="K60">
        <v>96</v>
      </c>
      <c r="L60" t="b">
        <v>1</v>
      </c>
      <c r="M60">
        <v>282.58</v>
      </c>
      <c r="N60">
        <v>11303.24</v>
      </c>
      <c r="O60" t="s">
        <v>32</v>
      </c>
      <c r="P60" t="str">
        <f>IF(J60=G60+H60-I60,"OK","Check")</f>
        <v>OK</v>
      </c>
      <c r="Q60" t="str">
        <f>IF(AND(J60&lt;=K60,L60=TRUE),"OK",IF(AND(J60&gt;K60,L60=FALSE),"OK","Check"))</f>
        <v>OK</v>
      </c>
      <c r="R60" t="str">
        <f>IF(ABS(N60-J60*M60)&lt;=J60*0.005+0.01,"OK","Check")</f>
        <v>OK</v>
      </c>
      <c r="S60" s="3">
        <f t="shared" si="0"/>
        <v>1</v>
      </c>
    </row>
    <row r="61" spans="1:19">
      <c r="A61" s="1">
        <v>46054</v>
      </c>
      <c r="B61" t="s">
        <v>19</v>
      </c>
      <c r="C61" t="s">
        <v>152</v>
      </c>
      <c r="D61" t="s">
        <v>153</v>
      </c>
      <c r="E61" t="s">
        <v>151</v>
      </c>
      <c r="F61" t="s">
        <v>23</v>
      </c>
      <c r="G61">
        <v>186</v>
      </c>
      <c r="H61">
        <v>238</v>
      </c>
      <c r="I61">
        <v>67</v>
      </c>
      <c r="J61">
        <v>357</v>
      </c>
      <c r="K61">
        <v>163</v>
      </c>
      <c r="L61" t="b">
        <v>0</v>
      </c>
      <c r="M61">
        <v>1147.81</v>
      </c>
      <c r="N61">
        <v>409769.8</v>
      </c>
      <c r="O61" t="s">
        <v>98</v>
      </c>
      <c r="P61" t="str">
        <f>IF(J61=G61+H61-I61,"OK","Check")</f>
        <v>OK</v>
      </c>
      <c r="Q61" t="str">
        <f>IF(AND(J61&lt;=K61,L61=TRUE),"OK",IF(AND(J61&gt;K61,L61=FALSE),"OK","Check"))</f>
        <v>OK</v>
      </c>
      <c r="R61" t="str">
        <f>IF(ABS(N61-J61*M61)&lt;=J61*0.005+0.01,"OK","Check")</f>
        <v>OK</v>
      </c>
      <c r="S61" s="3">
        <f t="shared" si="0"/>
        <v>1</v>
      </c>
    </row>
    <row r="62" spans="1:19">
      <c r="A62" s="1">
        <v>46054</v>
      </c>
      <c r="B62" t="s">
        <v>19</v>
      </c>
      <c r="C62" t="s">
        <v>154</v>
      </c>
      <c r="D62" t="s">
        <v>155</v>
      </c>
      <c r="E62" t="s">
        <v>151</v>
      </c>
      <c r="F62" t="s">
        <v>23</v>
      </c>
      <c r="G62">
        <v>267</v>
      </c>
      <c r="H62">
        <v>0</v>
      </c>
      <c r="I62">
        <v>133</v>
      </c>
      <c r="J62">
        <v>134</v>
      </c>
      <c r="K62">
        <v>202</v>
      </c>
      <c r="L62" t="b">
        <v>1</v>
      </c>
      <c r="M62">
        <v>297.51</v>
      </c>
      <c r="N62">
        <v>39866.35</v>
      </c>
      <c r="O62" t="s">
        <v>60</v>
      </c>
      <c r="P62" t="str">
        <f>IF(J62=G62+H62-I62,"OK","Check")</f>
        <v>OK</v>
      </c>
      <c r="Q62" t="str">
        <f>IF(AND(J62&lt;=K62,L62=TRUE),"OK",IF(AND(J62&gt;K62,L62=FALSE),"OK","Check"))</f>
        <v>OK</v>
      </c>
      <c r="R62" t="str">
        <f>IF(ABS(N62-J62*M62)&lt;=J62*0.005+0.01,"OK","Check")</f>
        <v>OK</v>
      </c>
      <c r="S62" s="3">
        <f t="shared" si="0"/>
        <v>1</v>
      </c>
    </row>
    <row r="63" spans="1:19">
      <c r="A63" s="1">
        <v>46054</v>
      </c>
      <c r="B63" t="s">
        <v>19</v>
      </c>
      <c r="C63" t="s">
        <v>156</v>
      </c>
      <c r="D63" t="s">
        <v>157</v>
      </c>
      <c r="E63" t="s">
        <v>151</v>
      </c>
      <c r="F63" t="s">
        <v>23</v>
      </c>
      <c r="G63">
        <v>263</v>
      </c>
      <c r="H63">
        <v>0</v>
      </c>
      <c r="I63">
        <v>110</v>
      </c>
      <c r="J63">
        <v>153</v>
      </c>
      <c r="K63">
        <v>130</v>
      </c>
      <c r="L63" t="b">
        <v>0</v>
      </c>
      <c r="M63">
        <v>1484.79</v>
      </c>
      <c r="N63">
        <v>227172.23</v>
      </c>
      <c r="O63" t="s">
        <v>32</v>
      </c>
      <c r="P63" t="str">
        <f>IF(J63=G63+H63-I63,"OK","Check")</f>
        <v>OK</v>
      </c>
      <c r="Q63" t="str">
        <f>IF(AND(J63&lt;=K63,L63=TRUE),"OK",IF(AND(J63&gt;K63,L63=FALSE),"OK","Check"))</f>
        <v>OK</v>
      </c>
      <c r="R63" t="str">
        <f>IF(ABS(N63-J63*M63)&lt;=J63*0.005+0.01,"OK","Check")</f>
        <v>OK</v>
      </c>
      <c r="S63" s="3">
        <f t="shared" si="0"/>
        <v>1</v>
      </c>
    </row>
    <row r="64" spans="1:19">
      <c r="A64" s="1">
        <v>46054</v>
      </c>
      <c r="B64" t="s">
        <v>19</v>
      </c>
      <c r="C64" t="s">
        <v>158</v>
      </c>
      <c r="D64" t="s">
        <v>159</v>
      </c>
      <c r="E64" t="s">
        <v>151</v>
      </c>
      <c r="F64" t="s">
        <v>23</v>
      </c>
      <c r="G64">
        <v>149</v>
      </c>
      <c r="H64">
        <v>378</v>
      </c>
      <c r="I64">
        <v>105</v>
      </c>
      <c r="J64">
        <v>422</v>
      </c>
      <c r="K64">
        <v>111</v>
      </c>
      <c r="L64" t="b">
        <v>0</v>
      </c>
      <c r="M64">
        <v>46.78</v>
      </c>
      <c r="N64">
        <v>19740.099999999999</v>
      </c>
      <c r="O64" t="s">
        <v>37</v>
      </c>
      <c r="P64" t="str">
        <f>IF(J64=G64+H64-I64,"OK","Check")</f>
        <v>OK</v>
      </c>
      <c r="Q64" t="str">
        <f>IF(AND(J64&lt;=K64,L64=TRUE),"OK",IF(AND(J64&gt;K64,L64=FALSE),"OK","Check"))</f>
        <v>OK</v>
      </c>
      <c r="R64" t="str">
        <f>IF(ABS(N64-J64*M64)&lt;=J64*0.005+0.01,"OK","Check")</f>
        <v>OK</v>
      </c>
      <c r="S64" s="3">
        <f t="shared" si="0"/>
        <v>1</v>
      </c>
    </row>
    <row r="65" spans="1:19">
      <c r="A65" s="1">
        <v>46054</v>
      </c>
      <c r="B65" t="s">
        <v>19</v>
      </c>
      <c r="C65" t="s">
        <v>160</v>
      </c>
      <c r="D65" t="s">
        <v>161</v>
      </c>
      <c r="E65" t="s">
        <v>151</v>
      </c>
      <c r="F65" t="s">
        <v>23</v>
      </c>
      <c r="G65">
        <v>337</v>
      </c>
      <c r="H65">
        <v>0</v>
      </c>
      <c r="I65">
        <v>118</v>
      </c>
      <c r="J65">
        <v>219</v>
      </c>
      <c r="K65">
        <v>127</v>
      </c>
      <c r="L65" t="b">
        <v>0</v>
      </c>
      <c r="M65">
        <v>188.11</v>
      </c>
      <c r="N65">
        <v>41195.43</v>
      </c>
      <c r="O65" t="s">
        <v>24</v>
      </c>
      <c r="P65" t="str">
        <f>IF(J65=G65+H65-I65,"OK","Check")</f>
        <v>OK</v>
      </c>
      <c r="Q65" t="str">
        <f>IF(AND(J65&lt;=K65,L65=TRUE),"OK",IF(AND(J65&gt;K65,L65=FALSE),"OK","Check"))</f>
        <v>OK</v>
      </c>
      <c r="R65" t="str">
        <f>IF(ABS(N65-J65*M65)&lt;=J65*0.005+0.01,"OK","Check")</f>
        <v>OK</v>
      </c>
      <c r="S65" s="3">
        <f t="shared" si="0"/>
        <v>1</v>
      </c>
    </row>
    <row r="66" spans="1:19">
      <c r="A66" s="1">
        <v>46054</v>
      </c>
      <c r="B66" t="s">
        <v>19</v>
      </c>
      <c r="C66" t="s">
        <v>162</v>
      </c>
      <c r="D66" t="s">
        <v>163</v>
      </c>
      <c r="E66" t="s">
        <v>151</v>
      </c>
      <c r="F66" t="s">
        <v>23</v>
      </c>
      <c r="G66">
        <v>439</v>
      </c>
      <c r="H66">
        <v>0</v>
      </c>
      <c r="I66">
        <v>88</v>
      </c>
      <c r="J66">
        <v>351</v>
      </c>
      <c r="K66">
        <v>216</v>
      </c>
      <c r="L66" t="b">
        <v>0</v>
      </c>
      <c r="M66">
        <v>205.22</v>
      </c>
      <c r="N66">
        <v>72030.570000000007</v>
      </c>
      <c r="O66" t="s">
        <v>37</v>
      </c>
      <c r="P66" t="str">
        <f>IF(J66=G66+H66-I66,"OK","Check")</f>
        <v>OK</v>
      </c>
      <c r="Q66" t="str">
        <f>IF(AND(J66&lt;=K66,L66=TRUE),"OK",IF(AND(J66&gt;K66,L66=FALSE),"OK","Check"))</f>
        <v>OK</v>
      </c>
      <c r="R66" t="str">
        <f>IF(ABS(N66-J66*M66)&lt;=J66*0.005+0.01,"OK","Check")</f>
        <v>OK</v>
      </c>
      <c r="S66" s="3">
        <f t="shared" ref="S66:S129" si="1">COUNTIFS(A:A,A66,B:B,B66,C:C,C66)</f>
        <v>1</v>
      </c>
    </row>
    <row r="67" spans="1:19">
      <c r="A67" s="1">
        <v>46054</v>
      </c>
      <c r="B67" t="s">
        <v>19</v>
      </c>
      <c r="C67" t="s">
        <v>164</v>
      </c>
      <c r="D67" t="s">
        <v>165</v>
      </c>
      <c r="E67" t="s">
        <v>151</v>
      </c>
      <c r="F67" t="s">
        <v>23</v>
      </c>
      <c r="G67">
        <v>447</v>
      </c>
      <c r="H67">
        <v>332</v>
      </c>
      <c r="I67">
        <v>224</v>
      </c>
      <c r="J67">
        <v>555</v>
      </c>
      <c r="K67">
        <v>207</v>
      </c>
      <c r="L67" t="b">
        <v>0</v>
      </c>
      <c r="M67">
        <v>965.1</v>
      </c>
      <c r="N67">
        <v>535629.11</v>
      </c>
      <c r="O67" t="s">
        <v>98</v>
      </c>
      <c r="P67" t="str">
        <f>IF(J67=G67+H67-I67,"OK","Check")</f>
        <v>OK</v>
      </c>
      <c r="Q67" t="str">
        <f>IF(AND(J67&lt;=K67,L67=TRUE),"OK",IF(AND(J67&gt;K67,L67=FALSE),"OK","Check"))</f>
        <v>OK</v>
      </c>
      <c r="R67" t="str">
        <f>IF(ABS(N67-J67*M67)&lt;=J67*0.005+0.01,"OK","Check")</f>
        <v>OK</v>
      </c>
      <c r="S67" s="3">
        <f t="shared" si="1"/>
        <v>1</v>
      </c>
    </row>
    <row r="68" spans="1:19">
      <c r="A68" s="1">
        <v>46054</v>
      </c>
      <c r="B68" t="s">
        <v>19</v>
      </c>
      <c r="C68" t="s">
        <v>166</v>
      </c>
      <c r="D68" t="s">
        <v>167</v>
      </c>
      <c r="E68" t="s">
        <v>151</v>
      </c>
      <c r="F68" t="s">
        <v>23</v>
      </c>
      <c r="G68">
        <v>49</v>
      </c>
      <c r="H68">
        <v>64</v>
      </c>
      <c r="I68">
        <v>9</v>
      </c>
      <c r="J68">
        <v>104</v>
      </c>
      <c r="K68">
        <v>26</v>
      </c>
      <c r="L68" t="b">
        <v>0</v>
      </c>
      <c r="M68">
        <v>150.35</v>
      </c>
      <c r="N68">
        <v>15636.57</v>
      </c>
      <c r="O68" t="s">
        <v>44</v>
      </c>
      <c r="P68" t="str">
        <f>IF(J68=G68+H68-I68,"OK","Check")</f>
        <v>OK</v>
      </c>
      <c r="Q68" t="str">
        <f>IF(AND(J68&lt;=K68,L68=TRUE),"OK",IF(AND(J68&gt;K68,L68=FALSE),"OK","Check"))</f>
        <v>OK</v>
      </c>
      <c r="R68" t="str">
        <f>IF(ABS(N68-J68*M68)&lt;=J68*0.005+0.01,"OK","Check")</f>
        <v>OK</v>
      </c>
      <c r="S68" s="3">
        <f t="shared" si="1"/>
        <v>1</v>
      </c>
    </row>
    <row r="69" spans="1:19">
      <c r="A69" s="1">
        <v>46054</v>
      </c>
      <c r="B69" t="s">
        <v>19</v>
      </c>
      <c r="C69" t="s">
        <v>168</v>
      </c>
      <c r="D69" t="s">
        <v>169</v>
      </c>
      <c r="E69" t="s">
        <v>151</v>
      </c>
      <c r="F69" t="s">
        <v>23</v>
      </c>
      <c r="G69">
        <v>398</v>
      </c>
      <c r="H69">
        <v>0</v>
      </c>
      <c r="I69">
        <v>243</v>
      </c>
      <c r="J69">
        <v>155</v>
      </c>
      <c r="K69">
        <v>215</v>
      </c>
      <c r="L69" t="b">
        <v>1</v>
      </c>
      <c r="M69">
        <v>644.4</v>
      </c>
      <c r="N69">
        <v>99882.1</v>
      </c>
      <c r="O69" t="s">
        <v>27</v>
      </c>
      <c r="P69" t="str">
        <f>IF(J69=G69+H69-I69,"OK","Check")</f>
        <v>OK</v>
      </c>
      <c r="Q69" t="str">
        <f>IF(AND(J69&lt;=K69,L69=TRUE),"OK",IF(AND(J69&gt;K69,L69=FALSE),"OK","Check"))</f>
        <v>OK</v>
      </c>
      <c r="R69" t="str">
        <f>IF(ABS(N69-J69*M69)&lt;=J69*0.005+0.01,"OK","Check")</f>
        <v>OK</v>
      </c>
      <c r="S69" s="3">
        <f t="shared" si="1"/>
        <v>1</v>
      </c>
    </row>
    <row r="70" spans="1:19">
      <c r="A70" s="1">
        <v>46054</v>
      </c>
      <c r="B70" t="s">
        <v>19</v>
      </c>
      <c r="C70" t="s">
        <v>170</v>
      </c>
      <c r="D70" t="s">
        <v>171</v>
      </c>
      <c r="E70" t="s">
        <v>151</v>
      </c>
      <c r="F70" t="s">
        <v>23</v>
      </c>
      <c r="G70">
        <v>376</v>
      </c>
      <c r="H70">
        <v>0</v>
      </c>
      <c r="I70">
        <v>142</v>
      </c>
      <c r="J70">
        <v>234</v>
      </c>
      <c r="K70">
        <v>177</v>
      </c>
      <c r="L70" t="b">
        <v>0</v>
      </c>
      <c r="M70">
        <v>2783.31</v>
      </c>
      <c r="N70">
        <v>651294.06999999995</v>
      </c>
      <c r="O70" t="s">
        <v>47</v>
      </c>
      <c r="P70" t="str">
        <f>IF(J70=G70+H70-I70,"OK","Check")</f>
        <v>OK</v>
      </c>
      <c r="Q70" t="str">
        <f>IF(AND(J70&lt;=K70,L70=TRUE),"OK",IF(AND(J70&gt;K70,L70=FALSE),"OK","Check"))</f>
        <v>OK</v>
      </c>
      <c r="R70" t="str">
        <f>IF(ABS(N70-J70*M70)&lt;=J70*0.005+0.01,"OK","Check")</f>
        <v>OK</v>
      </c>
      <c r="S70" s="3">
        <f t="shared" si="1"/>
        <v>1</v>
      </c>
    </row>
    <row r="71" spans="1:19">
      <c r="A71" s="1">
        <v>46054</v>
      </c>
      <c r="B71" t="s">
        <v>19</v>
      </c>
      <c r="C71" t="s">
        <v>172</v>
      </c>
      <c r="D71" t="s">
        <v>173</v>
      </c>
      <c r="E71" t="s">
        <v>151</v>
      </c>
      <c r="F71" t="s">
        <v>23</v>
      </c>
      <c r="G71">
        <v>186</v>
      </c>
      <c r="H71">
        <v>267</v>
      </c>
      <c r="I71">
        <v>68</v>
      </c>
      <c r="J71">
        <v>385</v>
      </c>
      <c r="K71">
        <v>164</v>
      </c>
      <c r="L71" t="b">
        <v>0</v>
      </c>
      <c r="M71">
        <v>498.5</v>
      </c>
      <c r="N71">
        <v>191922.36</v>
      </c>
      <c r="O71" t="s">
        <v>24</v>
      </c>
      <c r="P71" t="str">
        <f>IF(J71=G71+H71-I71,"OK","Check")</f>
        <v>OK</v>
      </c>
      <c r="Q71" t="str">
        <f>IF(AND(J71&lt;=K71,L71=TRUE),"OK",IF(AND(J71&gt;K71,L71=FALSE),"OK","Check"))</f>
        <v>OK</v>
      </c>
      <c r="R71" t="str">
        <f>IF(ABS(N71-J71*M71)&lt;=J71*0.005+0.01,"OK","Check")</f>
        <v>OK</v>
      </c>
      <c r="S71" s="3">
        <f t="shared" si="1"/>
        <v>1</v>
      </c>
    </row>
    <row r="72" spans="1:19">
      <c r="A72" s="1">
        <v>46054</v>
      </c>
      <c r="B72" t="s">
        <v>19</v>
      </c>
      <c r="C72" t="s">
        <v>174</v>
      </c>
      <c r="D72" t="s">
        <v>175</v>
      </c>
      <c r="E72" t="s">
        <v>151</v>
      </c>
      <c r="F72" t="s">
        <v>23</v>
      </c>
      <c r="G72">
        <v>400</v>
      </c>
      <c r="H72">
        <v>0</v>
      </c>
      <c r="I72">
        <v>157</v>
      </c>
      <c r="J72">
        <v>243</v>
      </c>
      <c r="K72">
        <v>206</v>
      </c>
      <c r="L72" t="b">
        <v>0</v>
      </c>
      <c r="M72">
        <v>2366.69</v>
      </c>
      <c r="N72">
        <v>575104.57999999996</v>
      </c>
      <c r="O72" t="s">
        <v>27</v>
      </c>
      <c r="P72" t="str">
        <f>IF(J72=G72+H72-I72,"OK","Check")</f>
        <v>OK</v>
      </c>
      <c r="Q72" t="str">
        <f>IF(AND(J72&lt;=K72,L72=TRUE),"OK",IF(AND(J72&gt;K72,L72=FALSE),"OK","Check"))</f>
        <v>OK</v>
      </c>
      <c r="R72" t="str">
        <f>IF(ABS(N72-J72*M72)&lt;=J72*0.005+0.01,"OK","Check")</f>
        <v>OK</v>
      </c>
      <c r="S72" s="3">
        <f t="shared" si="1"/>
        <v>1</v>
      </c>
    </row>
    <row r="73" spans="1:19">
      <c r="A73" s="1">
        <v>46054</v>
      </c>
      <c r="B73" t="s">
        <v>19</v>
      </c>
      <c r="C73" t="s">
        <v>176</v>
      </c>
      <c r="D73" t="s">
        <v>177</v>
      </c>
      <c r="E73" t="s">
        <v>151</v>
      </c>
      <c r="F73" t="s">
        <v>23</v>
      </c>
      <c r="G73">
        <v>226</v>
      </c>
      <c r="H73">
        <v>0</v>
      </c>
      <c r="I73">
        <v>62</v>
      </c>
      <c r="J73">
        <v>164</v>
      </c>
      <c r="K73">
        <v>94</v>
      </c>
      <c r="L73" t="b">
        <v>0</v>
      </c>
      <c r="M73">
        <v>73.63</v>
      </c>
      <c r="N73">
        <v>12075.59</v>
      </c>
      <c r="O73" t="s">
        <v>27</v>
      </c>
      <c r="P73" t="str">
        <f>IF(J73=G73+H73-I73,"OK","Check")</f>
        <v>OK</v>
      </c>
      <c r="Q73" t="str">
        <f>IF(AND(J73&lt;=K73,L73=TRUE),"OK",IF(AND(J73&gt;K73,L73=FALSE),"OK","Check"))</f>
        <v>OK</v>
      </c>
      <c r="R73" t="str">
        <f>IF(ABS(N73-J73*M73)&lt;=J73*0.005+0.01,"OK","Check")</f>
        <v>OK</v>
      </c>
      <c r="S73" s="3">
        <f t="shared" si="1"/>
        <v>1</v>
      </c>
    </row>
    <row r="74" spans="1:19">
      <c r="A74" s="1">
        <v>46054</v>
      </c>
      <c r="B74" t="s">
        <v>19</v>
      </c>
      <c r="C74" t="s">
        <v>178</v>
      </c>
      <c r="D74" t="s">
        <v>179</v>
      </c>
      <c r="E74" t="s">
        <v>151</v>
      </c>
      <c r="F74" t="s">
        <v>23</v>
      </c>
      <c r="G74">
        <v>220</v>
      </c>
      <c r="H74">
        <v>0</v>
      </c>
      <c r="I74">
        <v>71</v>
      </c>
      <c r="J74">
        <v>149</v>
      </c>
      <c r="K74">
        <v>159</v>
      </c>
      <c r="L74" t="b">
        <v>1</v>
      </c>
      <c r="M74">
        <v>330.45</v>
      </c>
      <c r="N74">
        <v>49236.57</v>
      </c>
      <c r="O74" t="s">
        <v>32</v>
      </c>
      <c r="P74" t="str">
        <f>IF(J74=G74+H74-I74,"OK","Check")</f>
        <v>OK</v>
      </c>
      <c r="Q74" t="str">
        <f>IF(AND(J74&lt;=K74,L74=TRUE),"OK",IF(AND(J74&gt;K74,L74=FALSE),"OK","Check"))</f>
        <v>OK</v>
      </c>
      <c r="R74" t="str">
        <f>IF(ABS(N74-J74*M74)&lt;=J74*0.005+0.01,"OK","Check")</f>
        <v>OK</v>
      </c>
      <c r="S74" s="3">
        <f t="shared" si="1"/>
        <v>1</v>
      </c>
    </row>
    <row r="75" spans="1:19">
      <c r="A75" s="1">
        <v>46054</v>
      </c>
      <c r="B75" t="s">
        <v>19</v>
      </c>
      <c r="C75" t="s">
        <v>180</v>
      </c>
      <c r="D75" t="s">
        <v>181</v>
      </c>
      <c r="E75" t="s">
        <v>151</v>
      </c>
      <c r="F75" t="s">
        <v>23</v>
      </c>
      <c r="G75">
        <v>508</v>
      </c>
      <c r="H75">
        <v>0</v>
      </c>
      <c r="I75">
        <v>174</v>
      </c>
      <c r="J75">
        <v>334</v>
      </c>
      <c r="K75">
        <v>305</v>
      </c>
      <c r="L75" t="b">
        <v>0</v>
      </c>
      <c r="M75">
        <v>54.27</v>
      </c>
      <c r="N75">
        <v>18127.41</v>
      </c>
      <c r="O75" t="s">
        <v>44</v>
      </c>
      <c r="P75" t="str">
        <f>IF(J75=G75+H75-I75,"OK","Check")</f>
        <v>OK</v>
      </c>
      <c r="Q75" t="str">
        <f>IF(AND(J75&lt;=K75,L75=TRUE),"OK",IF(AND(J75&gt;K75,L75=FALSE),"OK","Check"))</f>
        <v>OK</v>
      </c>
      <c r="R75" t="str">
        <f>IF(ABS(N75-J75*M75)&lt;=J75*0.005+0.01,"OK","Check")</f>
        <v>OK</v>
      </c>
      <c r="S75" s="3">
        <f t="shared" si="1"/>
        <v>1</v>
      </c>
    </row>
    <row r="76" spans="1:19">
      <c r="A76" s="1">
        <v>46054</v>
      </c>
      <c r="B76" t="s">
        <v>19</v>
      </c>
      <c r="C76" t="s">
        <v>182</v>
      </c>
      <c r="D76" t="s">
        <v>183</v>
      </c>
      <c r="E76" t="s">
        <v>151</v>
      </c>
      <c r="F76" t="s">
        <v>23</v>
      </c>
      <c r="G76">
        <v>96</v>
      </c>
      <c r="H76">
        <v>78</v>
      </c>
      <c r="I76">
        <v>28</v>
      </c>
      <c r="J76">
        <v>146</v>
      </c>
      <c r="K76">
        <v>43</v>
      </c>
      <c r="L76" t="b">
        <v>0</v>
      </c>
      <c r="M76">
        <v>250.15</v>
      </c>
      <c r="N76">
        <v>36521.919999999998</v>
      </c>
      <c r="O76" t="s">
        <v>32</v>
      </c>
      <c r="P76" t="str">
        <f>IF(J76=G76+H76-I76,"OK","Check")</f>
        <v>OK</v>
      </c>
      <c r="Q76" t="str">
        <f>IF(AND(J76&lt;=K76,L76=TRUE),"OK",IF(AND(J76&gt;K76,L76=FALSE),"OK","Check"))</f>
        <v>OK</v>
      </c>
      <c r="R76" t="str">
        <f>IF(ABS(N76-J76*M76)&lt;=J76*0.005+0.01,"OK","Check")</f>
        <v>OK</v>
      </c>
      <c r="S76" s="3">
        <f t="shared" si="1"/>
        <v>1</v>
      </c>
    </row>
    <row r="77" spans="1:19">
      <c r="A77" s="1">
        <v>46054</v>
      </c>
      <c r="B77" t="s">
        <v>19</v>
      </c>
      <c r="C77" t="s">
        <v>184</v>
      </c>
      <c r="D77" t="s">
        <v>185</v>
      </c>
      <c r="E77" t="s">
        <v>151</v>
      </c>
      <c r="F77" t="s">
        <v>23</v>
      </c>
      <c r="G77">
        <v>171</v>
      </c>
      <c r="H77">
        <v>324</v>
      </c>
      <c r="I77">
        <v>89</v>
      </c>
      <c r="J77">
        <v>406</v>
      </c>
      <c r="K77">
        <v>225</v>
      </c>
      <c r="L77" t="b">
        <v>0</v>
      </c>
      <c r="M77">
        <v>414.16</v>
      </c>
      <c r="N77">
        <v>168148.32</v>
      </c>
      <c r="O77" t="s">
        <v>60</v>
      </c>
      <c r="P77" t="str">
        <f>IF(J77=G77+H77-I77,"OK","Check")</f>
        <v>OK</v>
      </c>
      <c r="Q77" t="str">
        <f>IF(AND(J77&lt;=K77,L77=TRUE),"OK",IF(AND(J77&gt;K77,L77=FALSE),"OK","Check"))</f>
        <v>OK</v>
      </c>
      <c r="R77" t="str">
        <f>IF(ABS(N77-J77*M77)&lt;=J77*0.005+0.01,"OK","Check")</f>
        <v>OK</v>
      </c>
      <c r="S77" s="3">
        <f t="shared" si="1"/>
        <v>1</v>
      </c>
    </row>
    <row r="78" spans="1:19">
      <c r="A78" s="1">
        <v>46054</v>
      </c>
      <c r="B78" t="s">
        <v>19</v>
      </c>
      <c r="C78" t="s">
        <v>186</v>
      </c>
      <c r="D78" t="s">
        <v>187</v>
      </c>
      <c r="E78" t="s">
        <v>188</v>
      </c>
      <c r="F78" t="s">
        <v>23</v>
      </c>
      <c r="G78">
        <v>97</v>
      </c>
      <c r="H78">
        <v>0</v>
      </c>
      <c r="I78">
        <v>87</v>
      </c>
      <c r="J78">
        <v>10</v>
      </c>
      <c r="K78">
        <v>79</v>
      </c>
      <c r="L78" t="b">
        <v>1</v>
      </c>
      <c r="M78">
        <v>120.75</v>
      </c>
      <c r="N78">
        <v>1207.48</v>
      </c>
      <c r="O78" t="s">
        <v>24</v>
      </c>
      <c r="P78" t="str">
        <f>IF(J78=G78+H78-I78,"OK","Check")</f>
        <v>OK</v>
      </c>
      <c r="Q78" t="str">
        <f>IF(AND(J78&lt;=K78,L78=TRUE),"OK",IF(AND(J78&gt;K78,L78=FALSE),"OK","Check"))</f>
        <v>OK</v>
      </c>
      <c r="R78" t="str">
        <f>IF(ABS(N78-J78*M78)&lt;=J78*0.005+0.01,"OK","Check")</f>
        <v>OK</v>
      </c>
      <c r="S78" s="3">
        <f t="shared" si="1"/>
        <v>1</v>
      </c>
    </row>
    <row r="79" spans="1:19">
      <c r="A79" s="1">
        <v>46054</v>
      </c>
      <c r="B79" t="s">
        <v>19</v>
      </c>
      <c r="C79" t="s">
        <v>189</v>
      </c>
      <c r="D79" t="s">
        <v>190</v>
      </c>
      <c r="E79" t="s">
        <v>188</v>
      </c>
      <c r="F79" t="s">
        <v>23</v>
      </c>
      <c r="G79">
        <v>175</v>
      </c>
      <c r="H79">
        <v>362</v>
      </c>
      <c r="I79">
        <v>144</v>
      </c>
      <c r="J79">
        <v>393</v>
      </c>
      <c r="K79">
        <v>177</v>
      </c>
      <c r="L79" t="b">
        <v>0</v>
      </c>
      <c r="M79">
        <v>505.52</v>
      </c>
      <c r="N79">
        <v>198668.62</v>
      </c>
      <c r="O79" t="s">
        <v>98</v>
      </c>
      <c r="P79" t="str">
        <f>IF(J79=G79+H79-I79,"OK","Check")</f>
        <v>OK</v>
      </c>
      <c r="Q79" t="str">
        <f>IF(AND(J79&lt;=K79,L79=TRUE),"OK",IF(AND(J79&gt;K79,L79=FALSE),"OK","Check"))</f>
        <v>OK</v>
      </c>
      <c r="R79" t="str">
        <f>IF(ABS(N79-J79*M79)&lt;=J79*0.005+0.01,"OK","Check")</f>
        <v>OK</v>
      </c>
      <c r="S79" s="3">
        <f t="shared" si="1"/>
        <v>1</v>
      </c>
    </row>
    <row r="80" spans="1:19">
      <c r="A80" s="1">
        <v>46054</v>
      </c>
      <c r="B80" t="s">
        <v>19</v>
      </c>
      <c r="C80" t="s">
        <v>191</v>
      </c>
      <c r="D80" t="s">
        <v>192</v>
      </c>
      <c r="E80" t="s">
        <v>188</v>
      </c>
      <c r="F80" t="s">
        <v>23</v>
      </c>
      <c r="G80">
        <v>286</v>
      </c>
      <c r="H80">
        <v>0</v>
      </c>
      <c r="I80">
        <v>205</v>
      </c>
      <c r="J80">
        <v>81</v>
      </c>
      <c r="K80">
        <v>238</v>
      </c>
      <c r="L80" t="b">
        <v>1</v>
      </c>
      <c r="M80">
        <v>102.84</v>
      </c>
      <c r="N80">
        <v>8330.34</v>
      </c>
      <c r="O80" t="s">
        <v>98</v>
      </c>
      <c r="P80" t="str">
        <f>IF(J80=G80+H80-I80,"OK","Check")</f>
        <v>OK</v>
      </c>
      <c r="Q80" t="str">
        <f>IF(AND(J80&lt;=K80,L80=TRUE),"OK",IF(AND(J80&gt;K80,L80=FALSE),"OK","Check"))</f>
        <v>OK</v>
      </c>
      <c r="R80" t="str">
        <f>IF(ABS(N80-J80*M80)&lt;=J80*0.005+0.01,"OK","Check")</f>
        <v>OK</v>
      </c>
      <c r="S80" s="3">
        <f t="shared" si="1"/>
        <v>1</v>
      </c>
    </row>
    <row r="81" spans="1:19">
      <c r="A81" s="1">
        <v>46054</v>
      </c>
      <c r="B81" t="s">
        <v>19</v>
      </c>
      <c r="C81" t="s">
        <v>193</v>
      </c>
      <c r="D81" t="s">
        <v>194</v>
      </c>
      <c r="E81" t="s">
        <v>188</v>
      </c>
      <c r="F81" t="s">
        <v>23</v>
      </c>
      <c r="G81">
        <v>66</v>
      </c>
      <c r="H81">
        <v>0</v>
      </c>
      <c r="I81">
        <v>44</v>
      </c>
      <c r="J81">
        <v>22</v>
      </c>
      <c r="K81">
        <v>49</v>
      </c>
      <c r="L81" t="b">
        <v>1</v>
      </c>
      <c r="M81">
        <v>415.62</v>
      </c>
      <c r="N81">
        <v>9143.5400000000009</v>
      </c>
      <c r="O81" t="s">
        <v>27</v>
      </c>
      <c r="P81" t="str">
        <f>IF(J81=G81+H81-I81,"OK","Check")</f>
        <v>OK</v>
      </c>
      <c r="Q81" t="str">
        <f>IF(AND(J81&lt;=K81,L81=TRUE),"OK",IF(AND(J81&gt;K81,L81=FALSE),"OK","Check"))</f>
        <v>OK</v>
      </c>
      <c r="R81" t="str">
        <f>IF(ABS(N81-J81*M81)&lt;=J81*0.005+0.01,"OK","Check")</f>
        <v>OK</v>
      </c>
      <c r="S81" s="3">
        <f t="shared" si="1"/>
        <v>1</v>
      </c>
    </row>
    <row r="82" spans="1:19">
      <c r="A82" s="1">
        <v>46054</v>
      </c>
      <c r="B82" t="s">
        <v>19</v>
      </c>
      <c r="C82" t="s">
        <v>195</v>
      </c>
      <c r="D82" t="s">
        <v>196</v>
      </c>
      <c r="E82" t="s">
        <v>188</v>
      </c>
      <c r="F82" t="s">
        <v>23</v>
      </c>
      <c r="G82">
        <v>47</v>
      </c>
      <c r="H82">
        <v>0</v>
      </c>
      <c r="I82">
        <v>9</v>
      </c>
      <c r="J82">
        <v>38</v>
      </c>
      <c r="K82">
        <v>23</v>
      </c>
      <c r="L82" t="b">
        <v>0</v>
      </c>
      <c r="M82">
        <v>72.489999999999995</v>
      </c>
      <c r="N82">
        <v>2754.49</v>
      </c>
      <c r="O82" t="s">
        <v>47</v>
      </c>
      <c r="P82" t="str">
        <f>IF(J82=G82+H82-I82,"OK","Check")</f>
        <v>OK</v>
      </c>
      <c r="Q82" t="str">
        <f>IF(AND(J82&lt;=K82,L82=TRUE),"OK",IF(AND(J82&gt;K82,L82=FALSE),"OK","Check"))</f>
        <v>OK</v>
      </c>
      <c r="R82" t="str">
        <f>IF(ABS(N82-J82*M82)&lt;=J82*0.005+0.01,"OK","Check")</f>
        <v>OK</v>
      </c>
      <c r="S82" s="3">
        <f t="shared" si="1"/>
        <v>1</v>
      </c>
    </row>
    <row r="83" spans="1:19">
      <c r="A83" s="1">
        <v>46054</v>
      </c>
      <c r="B83" t="s">
        <v>19</v>
      </c>
      <c r="C83" t="s">
        <v>197</v>
      </c>
      <c r="D83" t="s">
        <v>198</v>
      </c>
      <c r="E83" t="s">
        <v>188</v>
      </c>
      <c r="F83" t="s">
        <v>23</v>
      </c>
      <c r="G83">
        <v>80</v>
      </c>
      <c r="H83">
        <v>153</v>
      </c>
      <c r="I83">
        <v>52</v>
      </c>
      <c r="J83">
        <v>181</v>
      </c>
      <c r="K83">
        <v>52</v>
      </c>
      <c r="L83" t="b">
        <v>0</v>
      </c>
      <c r="M83">
        <v>111.93</v>
      </c>
      <c r="N83">
        <v>20258.71</v>
      </c>
      <c r="O83" t="s">
        <v>98</v>
      </c>
      <c r="P83" t="str">
        <f>IF(J83=G83+H83-I83,"OK","Check")</f>
        <v>OK</v>
      </c>
      <c r="Q83" t="str">
        <f>IF(AND(J83&lt;=K83,L83=TRUE),"OK",IF(AND(J83&gt;K83,L83=FALSE),"OK","Check"))</f>
        <v>OK</v>
      </c>
      <c r="R83" t="str">
        <f>IF(ABS(N83-J83*M83)&lt;=J83*0.005+0.01,"OK","Check")</f>
        <v>OK</v>
      </c>
      <c r="S83" s="3">
        <f t="shared" si="1"/>
        <v>1</v>
      </c>
    </row>
    <row r="84" spans="1:19">
      <c r="A84" s="1">
        <v>46054</v>
      </c>
      <c r="B84" t="s">
        <v>19</v>
      </c>
      <c r="C84" t="s">
        <v>199</v>
      </c>
      <c r="D84" t="s">
        <v>200</v>
      </c>
      <c r="E84" t="s">
        <v>188</v>
      </c>
      <c r="F84" t="s">
        <v>23</v>
      </c>
      <c r="G84">
        <v>219</v>
      </c>
      <c r="H84">
        <v>472</v>
      </c>
      <c r="I84">
        <v>110</v>
      </c>
      <c r="J84">
        <v>581</v>
      </c>
      <c r="K84">
        <v>160</v>
      </c>
      <c r="L84" t="b">
        <v>0</v>
      </c>
      <c r="M84">
        <v>540.94000000000005</v>
      </c>
      <c r="N84">
        <v>314288.90000000002</v>
      </c>
      <c r="O84" t="s">
        <v>98</v>
      </c>
      <c r="P84" t="str">
        <f>IF(J84=G84+H84-I84,"OK","Check")</f>
        <v>OK</v>
      </c>
      <c r="Q84" t="str">
        <f>IF(AND(J84&lt;=K84,L84=TRUE),"OK",IF(AND(J84&gt;K84,L84=FALSE),"OK","Check"))</f>
        <v>OK</v>
      </c>
      <c r="R84" t="str">
        <f>IF(ABS(N84-J84*M84)&lt;=J84*0.005+0.01,"OK","Check")</f>
        <v>OK</v>
      </c>
      <c r="S84" s="3">
        <f t="shared" si="1"/>
        <v>1</v>
      </c>
    </row>
    <row r="85" spans="1:19">
      <c r="A85" s="1">
        <v>46054</v>
      </c>
      <c r="B85" t="s">
        <v>19</v>
      </c>
      <c r="C85" t="s">
        <v>201</v>
      </c>
      <c r="D85" t="s">
        <v>202</v>
      </c>
      <c r="E85" t="s">
        <v>188</v>
      </c>
      <c r="F85" t="s">
        <v>23</v>
      </c>
      <c r="G85">
        <v>109</v>
      </c>
      <c r="H85">
        <v>0</v>
      </c>
      <c r="I85">
        <v>70</v>
      </c>
      <c r="J85">
        <v>39</v>
      </c>
      <c r="K85">
        <v>59</v>
      </c>
      <c r="L85" t="b">
        <v>1</v>
      </c>
      <c r="M85">
        <v>900.07</v>
      </c>
      <c r="N85">
        <v>35102.69</v>
      </c>
      <c r="O85" t="s">
        <v>47</v>
      </c>
      <c r="P85" t="str">
        <f>IF(J85=G85+H85-I85,"OK","Check")</f>
        <v>OK</v>
      </c>
      <c r="Q85" t="str">
        <f>IF(AND(J85&lt;=K85,L85=TRUE),"OK",IF(AND(J85&gt;K85,L85=FALSE),"OK","Check"))</f>
        <v>OK</v>
      </c>
      <c r="R85" t="str">
        <f>IF(ABS(N85-J85*M85)&lt;=J85*0.005+0.01,"OK","Check")</f>
        <v>OK</v>
      </c>
      <c r="S85" s="3">
        <f t="shared" si="1"/>
        <v>1</v>
      </c>
    </row>
    <row r="86" spans="1:19">
      <c r="A86" s="1">
        <v>46054</v>
      </c>
      <c r="B86" t="s">
        <v>19</v>
      </c>
      <c r="C86" t="s">
        <v>203</v>
      </c>
      <c r="D86" t="s">
        <v>204</v>
      </c>
      <c r="E86" t="s">
        <v>188</v>
      </c>
      <c r="F86" t="s">
        <v>23</v>
      </c>
      <c r="G86">
        <v>394</v>
      </c>
      <c r="H86">
        <v>0</v>
      </c>
      <c r="I86">
        <v>144</v>
      </c>
      <c r="J86">
        <v>250</v>
      </c>
      <c r="K86">
        <v>159</v>
      </c>
      <c r="L86" t="b">
        <v>0</v>
      </c>
      <c r="M86">
        <v>4191.03</v>
      </c>
      <c r="N86">
        <v>1047757.92</v>
      </c>
      <c r="O86" t="s">
        <v>47</v>
      </c>
      <c r="P86" t="str">
        <f>IF(J86=G86+H86-I86,"OK","Check")</f>
        <v>OK</v>
      </c>
      <c r="Q86" t="str">
        <f>IF(AND(J86&lt;=K86,L86=TRUE),"OK",IF(AND(J86&gt;K86,L86=FALSE),"OK","Check"))</f>
        <v>OK</v>
      </c>
      <c r="R86" t="str">
        <f>IF(ABS(N86-J86*M86)&lt;=J86*0.005+0.01,"OK","Check")</f>
        <v>OK</v>
      </c>
      <c r="S86" s="3">
        <f t="shared" si="1"/>
        <v>1</v>
      </c>
    </row>
    <row r="87" spans="1:19">
      <c r="A87" s="1">
        <v>46054</v>
      </c>
      <c r="B87" t="s">
        <v>19</v>
      </c>
      <c r="C87" t="s">
        <v>205</v>
      </c>
      <c r="D87" t="s">
        <v>206</v>
      </c>
      <c r="E87" t="s">
        <v>188</v>
      </c>
      <c r="F87" t="s">
        <v>23</v>
      </c>
      <c r="G87">
        <v>333</v>
      </c>
      <c r="H87">
        <v>0</v>
      </c>
      <c r="I87">
        <v>218</v>
      </c>
      <c r="J87">
        <v>115</v>
      </c>
      <c r="K87">
        <v>271</v>
      </c>
      <c r="L87" t="b">
        <v>1</v>
      </c>
      <c r="M87">
        <v>86.12</v>
      </c>
      <c r="N87">
        <v>9903.89</v>
      </c>
      <c r="O87" t="s">
        <v>98</v>
      </c>
      <c r="P87" t="str">
        <f>IF(J87=G87+H87-I87,"OK","Check")</f>
        <v>OK</v>
      </c>
      <c r="Q87" t="str">
        <f>IF(AND(J87&lt;=K87,L87=TRUE),"OK",IF(AND(J87&gt;K87,L87=FALSE),"OK","Check"))</f>
        <v>OK</v>
      </c>
      <c r="R87" t="str">
        <f>IF(ABS(N87-J87*M87)&lt;=J87*0.005+0.01,"OK","Check")</f>
        <v>OK</v>
      </c>
      <c r="S87" s="3">
        <f t="shared" si="1"/>
        <v>1</v>
      </c>
    </row>
    <row r="88" spans="1:19">
      <c r="A88" s="1">
        <v>46054</v>
      </c>
      <c r="B88" t="s">
        <v>19</v>
      </c>
      <c r="C88" t="s">
        <v>207</v>
      </c>
      <c r="D88" t="s">
        <v>208</v>
      </c>
      <c r="E88" t="s">
        <v>188</v>
      </c>
      <c r="F88" t="s">
        <v>23</v>
      </c>
      <c r="G88">
        <v>170</v>
      </c>
      <c r="H88">
        <v>522</v>
      </c>
      <c r="I88">
        <v>172</v>
      </c>
      <c r="J88">
        <v>520</v>
      </c>
      <c r="K88">
        <v>205</v>
      </c>
      <c r="L88" t="b">
        <v>0</v>
      </c>
      <c r="M88">
        <v>76.599999999999994</v>
      </c>
      <c r="N88">
        <v>39829.97</v>
      </c>
      <c r="O88" t="s">
        <v>47</v>
      </c>
      <c r="P88" t="str">
        <f>IF(J88=G88+H88-I88,"OK","Check")</f>
        <v>OK</v>
      </c>
      <c r="Q88" t="str">
        <f>IF(AND(J88&lt;=K88,L88=TRUE),"OK",IF(AND(J88&gt;K88,L88=FALSE),"OK","Check"))</f>
        <v>OK</v>
      </c>
      <c r="R88" t="str">
        <f>IF(ABS(N88-J88*M88)&lt;=J88*0.005+0.01,"OK","Check")</f>
        <v>OK</v>
      </c>
      <c r="S88" s="3">
        <f t="shared" si="1"/>
        <v>1</v>
      </c>
    </row>
    <row r="89" spans="1:19">
      <c r="A89" s="1">
        <v>46054</v>
      </c>
      <c r="B89" t="s">
        <v>19</v>
      </c>
      <c r="C89" t="s">
        <v>209</v>
      </c>
      <c r="D89" t="s">
        <v>210</v>
      </c>
      <c r="E89" t="s">
        <v>188</v>
      </c>
      <c r="F89" t="s">
        <v>23</v>
      </c>
      <c r="G89">
        <v>183</v>
      </c>
      <c r="H89">
        <v>314</v>
      </c>
      <c r="I89">
        <v>93</v>
      </c>
      <c r="J89">
        <v>404</v>
      </c>
      <c r="K89">
        <v>167</v>
      </c>
      <c r="L89" t="b">
        <v>0</v>
      </c>
      <c r="M89">
        <v>365.62</v>
      </c>
      <c r="N89">
        <v>147711.01999999999</v>
      </c>
      <c r="O89" t="s">
        <v>37</v>
      </c>
      <c r="P89" t="str">
        <f>IF(J89=G89+H89-I89,"OK","Check")</f>
        <v>OK</v>
      </c>
      <c r="Q89" t="str">
        <f>IF(AND(J89&lt;=K89,L89=TRUE),"OK",IF(AND(J89&gt;K89,L89=FALSE),"OK","Check"))</f>
        <v>OK</v>
      </c>
      <c r="R89" t="str">
        <f>IF(ABS(N89-J89*M89)&lt;=J89*0.005+0.01,"OK","Check")</f>
        <v>OK</v>
      </c>
      <c r="S89" s="3">
        <f t="shared" si="1"/>
        <v>1</v>
      </c>
    </row>
    <row r="90" spans="1:19">
      <c r="A90" s="1">
        <v>46054</v>
      </c>
      <c r="B90" t="s">
        <v>19</v>
      </c>
      <c r="C90" t="s">
        <v>211</v>
      </c>
      <c r="D90" t="s">
        <v>212</v>
      </c>
      <c r="E90" t="s">
        <v>188</v>
      </c>
      <c r="F90" t="s">
        <v>23</v>
      </c>
      <c r="G90">
        <v>316</v>
      </c>
      <c r="H90">
        <v>0</v>
      </c>
      <c r="I90">
        <v>154</v>
      </c>
      <c r="J90">
        <v>162</v>
      </c>
      <c r="K90">
        <v>145</v>
      </c>
      <c r="L90" t="b">
        <v>0</v>
      </c>
      <c r="M90">
        <v>466.41</v>
      </c>
      <c r="N90">
        <v>75558.539999999994</v>
      </c>
      <c r="O90" t="s">
        <v>60</v>
      </c>
      <c r="P90" t="str">
        <f>IF(J90=G90+H90-I90,"OK","Check")</f>
        <v>OK</v>
      </c>
      <c r="Q90" t="str">
        <f>IF(AND(J90&lt;=K90,L90=TRUE),"OK",IF(AND(J90&gt;K90,L90=FALSE),"OK","Check"))</f>
        <v>OK</v>
      </c>
      <c r="R90" t="str">
        <f>IF(ABS(N90-J90*M90)&lt;=J90*0.005+0.01,"OK","Check")</f>
        <v>OK</v>
      </c>
      <c r="S90" s="3">
        <f t="shared" si="1"/>
        <v>1</v>
      </c>
    </row>
    <row r="91" spans="1:19">
      <c r="A91" s="1">
        <v>46054</v>
      </c>
      <c r="B91" t="s">
        <v>19</v>
      </c>
      <c r="C91" t="s">
        <v>213</v>
      </c>
      <c r="D91" t="s">
        <v>214</v>
      </c>
      <c r="E91" t="s">
        <v>188</v>
      </c>
      <c r="F91" t="s">
        <v>23</v>
      </c>
      <c r="G91">
        <v>356</v>
      </c>
      <c r="H91">
        <v>0</v>
      </c>
      <c r="I91">
        <v>119</v>
      </c>
      <c r="J91">
        <v>237</v>
      </c>
      <c r="K91">
        <v>200</v>
      </c>
      <c r="L91" t="b">
        <v>0</v>
      </c>
      <c r="M91">
        <v>363.01</v>
      </c>
      <c r="N91">
        <v>86032.639999999999</v>
      </c>
      <c r="O91" t="s">
        <v>44</v>
      </c>
      <c r="P91" t="str">
        <f>IF(J91=G91+H91-I91,"OK","Check")</f>
        <v>OK</v>
      </c>
      <c r="Q91" t="str">
        <f>IF(AND(J91&lt;=K91,L91=TRUE),"OK",IF(AND(J91&gt;K91,L91=FALSE),"OK","Check"))</f>
        <v>OK</v>
      </c>
      <c r="R91" t="str">
        <f>IF(ABS(N91-J91*M91)&lt;=J91*0.005+0.01,"OK","Check")</f>
        <v>OK</v>
      </c>
      <c r="S91" s="3">
        <f t="shared" si="1"/>
        <v>1</v>
      </c>
    </row>
    <row r="92" spans="1:19">
      <c r="A92" s="1">
        <v>46054</v>
      </c>
      <c r="B92" t="s">
        <v>19</v>
      </c>
      <c r="C92" t="s">
        <v>215</v>
      </c>
      <c r="D92" t="s">
        <v>216</v>
      </c>
      <c r="E92" t="s">
        <v>188</v>
      </c>
      <c r="F92" t="s">
        <v>23</v>
      </c>
      <c r="G92">
        <v>329</v>
      </c>
      <c r="H92">
        <v>0</v>
      </c>
      <c r="I92">
        <v>154</v>
      </c>
      <c r="J92">
        <v>175</v>
      </c>
      <c r="K92">
        <v>205</v>
      </c>
      <c r="L92" t="b">
        <v>1</v>
      </c>
      <c r="M92">
        <v>1504.23</v>
      </c>
      <c r="N92">
        <v>263240.99</v>
      </c>
      <c r="O92" t="s">
        <v>27</v>
      </c>
      <c r="P92" t="str">
        <f>IF(J92=G92+H92-I92,"OK","Check")</f>
        <v>OK</v>
      </c>
      <c r="Q92" t="str">
        <f>IF(AND(J92&lt;=K92,L92=TRUE),"OK",IF(AND(J92&gt;K92,L92=FALSE),"OK","Check"))</f>
        <v>OK</v>
      </c>
      <c r="R92" t="str">
        <f>IF(ABS(N92-J92*M92)&lt;=J92*0.005+0.01,"OK","Check")</f>
        <v>OK</v>
      </c>
      <c r="S92" s="3">
        <f t="shared" si="1"/>
        <v>1</v>
      </c>
    </row>
    <row r="93" spans="1:19">
      <c r="A93" s="1">
        <v>46054</v>
      </c>
      <c r="B93" t="s">
        <v>19</v>
      </c>
      <c r="C93" t="s">
        <v>217</v>
      </c>
      <c r="D93" t="s">
        <v>218</v>
      </c>
      <c r="E93" t="s">
        <v>219</v>
      </c>
      <c r="F93" t="s">
        <v>23</v>
      </c>
      <c r="G93">
        <v>259</v>
      </c>
      <c r="H93">
        <v>308</v>
      </c>
      <c r="I93">
        <v>125</v>
      </c>
      <c r="J93">
        <v>442</v>
      </c>
      <c r="K93">
        <v>127</v>
      </c>
      <c r="L93" t="b">
        <v>0</v>
      </c>
      <c r="M93">
        <v>16.52</v>
      </c>
      <c r="N93">
        <v>7303.82</v>
      </c>
      <c r="O93" t="s">
        <v>37</v>
      </c>
      <c r="P93" t="str">
        <f>IF(J93=G93+H93-I93,"OK","Check")</f>
        <v>OK</v>
      </c>
      <c r="Q93" t="str">
        <f>IF(AND(J93&lt;=K93,L93=TRUE),"OK",IF(AND(J93&gt;K93,L93=FALSE),"OK","Check"))</f>
        <v>OK</v>
      </c>
      <c r="R93" t="str">
        <f>IF(ABS(N93-J93*M93)&lt;=J93*0.005+0.01,"OK","Check")</f>
        <v>OK</v>
      </c>
      <c r="S93" s="3">
        <f t="shared" si="1"/>
        <v>1</v>
      </c>
    </row>
    <row r="94" spans="1:19">
      <c r="A94" s="1">
        <v>46054</v>
      </c>
      <c r="B94" t="s">
        <v>19</v>
      </c>
      <c r="C94" t="s">
        <v>220</v>
      </c>
      <c r="D94" t="s">
        <v>221</v>
      </c>
      <c r="E94" t="s">
        <v>219</v>
      </c>
      <c r="F94" t="s">
        <v>23</v>
      </c>
      <c r="G94">
        <v>102</v>
      </c>
      <c r="H94">
        <v>184</v>
      </c>
      <c r="I94">
        <v>55</v>
      </c>
      <c r="J94">
        <v>231</v>
      </c>
      <c r="K94">
        <v>99</v>
      </c>
      <c r="L94" t="b">
        <v>0</v>
      </c>
      <c r="M94">
        <v>76.709999999999994</v>
      </c>
      <c r="N94">
        <v>17719.68</v>
      </c>
      <c r="O94" t="s">
        <v>60</v>
      </c>
      <c r="P94" t="str">
        <f>IF(J94=G94+H94-I94,"OK","Check")</f>
        <v>OK</v>
      </c>
      <c r="Q94" t="str">
        <f>IF(AND(J94&lt;=K94,L94=TRUE),"OK",IF(AND(J94&gt;K94,L94=FALSE),"OK","Check"))</f>
        <v>OK</v>
      </c>
      <c r="R94" t="str">
        <f>IF(ABS(N94-J94*M94)&lt;=J94*0.005+0.01,"OK","Check")</f>
        <v>OK</v>
      </c>
      <c r="S94" s="3">
        <f t="shared" si="1"/>
        <v>1</v>
      </c>
    </row>
    <row r="95" spans="1:19">
      <c r="A95" s="1">
        <v>46054</v>
      </c>
      <c r="B95" t="s">
        <v>19</v>
      </c>
      <c r="C95" t="s">
        <v>222</v>
      </c>
      <c r="D95" t="s">
        <v>223</v>
      </c>
      <c r="E95" t="s">
        <v>219</v>
      </c>
      <c r="F95" t="s">
        <v>23</v>
      </c>
      <c r="G95">
        <v>258</v>
      </c>
      <c r="H95">
        <v>0</v>
      </c>
      <c r="I95">
        <v>146</v>
      </c>
      <c r="J95">
        <v>112</v>
      </c>
      <c r="K95">
        <v>185</v>
      </c>
      <c r="L95" t="b">
        <v>1</v>
      </c>
      <c r="M95">
        <v>45.47</v>
      </c>
      <c r="N95">
        <v>5093.01</v>
      </c>
      <c r="O95" t="s">
        <v>37</v>
      </c>
      <c r="P95" t="str">
        <f>IF(J95=G95+H95-I95,"OK","Check")</f>
        <v>OK</v>
      </c>
      <c r="Q95" t="str">
        <f>IF(AND(J95&lt;=K95,L95=TRUE),"OK",IF(AND(J95&gt;K95,L95=FALSE),"OK","Check"))</f>
        <v>OK</v>
      </c>
      <c r="R95" t="str">
        <f>IF(ABS(N95-J95*M95)&lt;=J95*0.005+0.01,"OK","Check")</f>
        <v>OK</v>
      </c>
      <c r="S95" s="3">
        <f t="shared" si="1"/>
        <v>1</v>
      </c>
    </row>
    <row r="96" spans="1:19">
      <c r="A96" s="1">
        <v>46054</v>
      </c>
      <c r="B96" t="s">
        <v>19</v>
      </c>
      <c r="C96" t="s">
        <v>224</v>
      </c>
      <c r="D96" t="s">
        <v>225</v>
      </c>
      <c r="E96" t="s">
        <v>219</v>
      </c>
      <c r="F96" t="s">
        <v>23</v>
      </c>
      <c r="G96">
        <v>490</v>
      </c>
      <c r="H96">
        <v>0</v>
      </c>
      <c r="I96">
        <v>227</v>
      </c>
      <c r="J96">
        <v>263</v>
      </c>
      <c r="K96">
        <v>181</v>
      </c>
      <c r="L96" t="b">
        <v>0</v>
      </c>
      <c r="M96">
        <v>192.5</v>
      </c>
      <c r="N96">
        <v>50627.13</v>
      </c>
      <c r="O96" t="s">
        <v>44</v>
      </c>
      <c r="P96" t="str">
        <f>IF(J96=G96+H96-I96,"OK","Check")</f>
        <v>OK</v>
      </c>
      <c r="Q96" t="str">
        <f>IF(AND(J96&lt;=K96,L96=TRUE),"OK",IF(AND(J96&gt;K96,L96=FALSE),"OK","Check"))</f>
        <v>OK</v>
      </c>
      <c r="R96" t="str">
        <f>IF(ABS(N96-J96*M96)&lt;=J96*0.005+0.01,"OK","Check")</f>
        <v>OK</v>
      </c>
      <c r="S96" s="3">
        <f t="shared" si="1"/>
        <v>1</v>
      </c>
    </row>
    <row r="97" spans="1:19">
      <c r="A97" s="1">
        <v>46054</v>
      </c>
      <c r="B97" t="s">
        <v>19</v>
      </c>
      <c r="C97" t="s">
        <v>226</v>
      </c>
      <c r="D97" t="s">
        <v>227</v>
      </c>
      <c r="E97" t="s">
        <v>219</v>
      </c>
      <c r="F97" t="s">
        <v>23</v>
      </c>
      <c r="G97">
        <v>302</v>
      </c>
      <c r="H97">
        <v>0</v>
      </c>
      <c r="I97">
        <v>143</v>
      </c>
      <c r="J97">
        <v>159</v>
      </c>
      <c r="K97">
        <v>238</v>
      </c>
      <c r="L97" t="b">
        <v>1</v>
      </c>
      <c r="M97">
        <v>350.75</v>
      </c>
      <c r="N97">
        <v>55769.71</v>
      </c>
      <c r="O97" t="s">
        <v>60</v>
      </c>
      <c r="P97" t="str">
        <f>IF(J97=G97+H97-I97,"OK","Check")</f>
        <v>OK</v>
      </c>
      <c r="Q97" t="str">
        <f>IF(AND(J97&lt;=K97,L97=TRUE),"OK",IF(AND(J97&gt;K97,L97=FALSE),"OK","Check"))</f>
        <v>OK</v>
      </c>
      <c r="R97" t="str">
        <f>IF(ABS(N97-J97*M97)&lt;=J97*0.005+0.01,"OK","Check")</f>
        <v>OK</v>
      </c>
      <c r="S97" s="3">
        <f t="shared" si="1"/>
        <v>1</v>
      </c>
    </row>
    <row r="98" spans="1:19">
      <c r="A98" s="1">
        <v>46054</v>
      </c>
      <c r="B98" t="s">
        <v>19</v>
      </c>
      <c r="C98" t="s">
        <v>228</v>
      </c>
      <c r="D98" t="s">
        <v>229</v>
      </c>
      <c r="E98" t="s">
        <v>219</v>
      </c>
      <c r="F98" t="s">
        <v>23</v>
      </c>
      <c r="G98">
        <v>622</v>
      </c>
      <c r="H98">
        <v>0</v>
      </c>
      <c r="I98">
        <v>222</v>
      </c>
      <c r="J98">
        <v>400</v>
      </c>
      <c r="K98">
        <v>190</v>
      </c>
      <c r="L98" t="b">
        <v>0</v>
      </c>
      <c r="M98">
        <v>48.24</v>
      </c>
      <c r="N98">
        <v>19296.509999999998</v>
      </c>
      <c r="O98" t="s">
        <v>44</v>
      </c>
      <c r="P98" t="str">
        <f>IF(J98=G98+H98-I98,"OK","Check")</f>
        <v>OK</v>
      </c>
      <c r="Q98" t="str">
        <f>IF(AND(J98&lt;=K98,L98=TRUE),"OK",IF(AND(J98&gt;K98,L98=FALSE),"OK","Check"))</f>
        <v>OK</v>
      </c>
      <c r="R98" t="str">
        <f>IF(ABS(N98-J98*M98)&lt;=J98*0.005+0.01,"OK","Check")</f>
        <v>OK</v>
      </c>
      <c r="S98" s="3">
        <f t="shared" si="1"/>
        <v>1</v>
      </c>
    </row>
    <row r="99" spans="1:19">
      <c r="A99" s="1">
        <v>46054</v>
      </c>
      <c r="B99" t="s">
        <v>19</v>
      </c>
      <c r="C99" t="s">
        <v>230</v>
      </c>
      <c r="D99" t="s">
        <v>231</v>
      </c>
      <c r="E99" t="s">
        <v>219</v>
      </c>
      <c r="F99" t="s">
        <v>23</v>
      </c>
      <c r="G99">
        <v>479</v>
      </c>
      <c r="H99">
        <v>0</v>
      </c>
      <c r="I99">
        <v>125</v>
      </c>
      <c r="J99">
        <v>354</v>
      </c>
      <c r="K99">
        <v>242</v>
      </c>
      <c r="L99" t="b">
        <v>0</v>
      </c>
      <c r="M99">
        <v>219.61</v>
      </c>
      <c r="N99">
        <v>77741.91</v>
      </c>
      <c r="O99" t="s">
        <v>32</v>
      </c>
      <c r="P99" t="str">
        <f>IF(J99=G99+H99-I99,"OK","Check")</f>
        <v>OK</v>
      </c>
      <c r="Q99" t="str">
        <f>IF(AND(J99&lt;=K99,L99=TRUE),"OK",IF(AND(J99&gt;K99,L99=FALSE),"OK","Check"))</f>
        <v>OK</v>
      </c>
      <c r="R99" t="str">
        <f>IF(ABS(N99-J99*M99)&lt;=J99*0.005+0.01,"OK","Check")</f>
        <v>OK</v>
      </c>
      <c r="S99" s="3">
        <f t="shared" si="1"/>
        <v>1</v>
      </c>
    </row>
    <row r="100" spans="1:19">
      <c r="A100" s="1">
        <v>46054</v>
      </c>
      <c r="B100" t="s">
        <v>19</v>
      </c>
      <c r="C100" t="s">
        <v>232</v>
      </c>
      <c r="D100" t="s">
        <v>233</v>
      </c>
      <c r="E100" t="s">
        <v>219</v>
      </c>
      <c r="F100" t="s">
        <v>23</v>
      </c>
      <c r="G100">
        <v>92</v>
      </c>
      <c r="H100">
        <v>247</v>
      </c>
      <c r="I100">
        <v>79</v>
      </c>
      <c r="J100">
        <v>260</v>
      </c>
      <c r="K100">
        <v>121</v>
      </c>
      <c r="L100" t="b">
        <v>0</v>
      </c>
      <c r="M100">
        <v>161.16999999999999</v>
      </c>
      <c r="N100">
        <v>41904.28</v>
      </c>
      <c r="O100" t="s">
        <v>32</v>
      </c>
      <c r="P100" t="str">
        <f>IF(J100=G100+H100-I100,"OK","Check")</f>
        <v>OK</v>
      </c>
      <c r="Q100" t="str">
        <f>IF(AND(J100&lt;=K100,L100=TRUE),"OK",IF(AND(J100&gt;K100,L100=FALSE),"OK","Check"))</f>
        <v>OK</v>
      </c>
      <c r="R100" t="str">
        <f>IF(ABS(N100-J100*M100)&lt;=J100*0.005+0.01,"OK","Check")</f>
        <v>OK</v>
      </c>
      <c r="S100" s="3">
        <f t="shared" si="1"/>
        <v>1</v>
      </c>
    </row>
    <row r="101" spans="1:19">
      <c r="A101" s="1">
        <v>46054</v>
      </c>
      <c r="B101" t="s">
        <v>19</v>
      </c>
      <c r="C101" t="s">
        <v>234</v>
      </c>
      <c r="D101" t="s">
        <v>235</v>
      </c>
      <c r="E101" t="s">
        <v>219</v>
      </c>
      <c r="F101" t="s">
        <v>23</v>
      </c>
      <c r="G101">
        <v>253</v>
      </c>
      <c r="H101">
        <v>0</v>
      </c>
      <c r="I101">
        <v>119</v>
      </c>
      <c r="J101">
        <v>134</v>
      </c>
      <c r="K101">
        <v>137</v>
      </c>
      <c r="L101" t="b">
        <v>1</v>
      </c>
      <c r="M101">
        <v>2432.4499999999998</v>
      </c>
      <c r="N101">
        <v>325948.78000000003</v>
      </c>
      <c r="O101" t="s">
        <v>47</v>
      </c>
      <c r="P101" t="str">
        <f>IF(J101=G101+H101-I101,"OK","Check")</f>
        <v>OK</v>
      </c>
      <c r="Q101" t="str">
        <f>IF(AND(J101&lt;=K101,L101=TRUE),"OK",IF(AND(J101&gt;K101,L101=FALSE),"OK","Check"))</f>
        <v>OK</v>
      </c>
      <c r="R101" t="str">
        <f>IF(ABS(N101-J101*M101)&lt;=J101*0.005+0.01,"OK","Check")</f>
        <v>OK</v>
      </c>
      <c r="S101" s="3">
        <f t="shared" si="1"/>
        <v>1</v>
      </c>
    </row>
    <row r="102" spans="1:19">
      <c r="A102" s="1">
        <v>46054</v>
      </c>
      <c r="B102" t="s">
        <v>19</v>
      </c>
      <c r="C102" t="s">
        <v>236</v>
      </c>
      <c r="D102" t="s">
        <v>237</v>
      </c>
      <c r="E102" t="s">
        <v>219</v>
      </c>
      <c r="F102" t="s">
        <v>23</v>
      </c>
      <c r="G102">
        <v>223</v>
      </c>
      <c r="H102">
        <v>581</v>
      </c>
      <c r="I102">
        <v>315</v>
      </c>
      <c r="J102">
        <v>489</v>
      </c>
      <c r="K102">
        <v>267</v>
      </c>
      <c r="L102" t="b">
        <v>0</v>
      </c>
      <c r="M102">
        <v>958.13</v>
      </c>
      <c r="N102">
        <v>468523.4</v>
      </c>
      <c r="O102" t="s">
        <v>98</v>
      </c>
      <c r="P102" t="str">
        <f>IF(J102=G102+H102-I102,"OK","Check")</f>
        <v>OK</v>
      </c>
      <c r="Q102" t="str">
        <f>IF(AND(J102&lt;=K102,L102=TRUE),"OK",IF(AND(J102&gt;K102,L102=FALSE),"OK","Check"))</f>
        <v>OK</v>
      </c>
      <c r="R102" t="str">
        <f>IF(ABS(N102-J102*M102)&lt;=J102*0.005+0.01,"OK","Check")</f>
        <v>OK</v>
      </c>
      <c r="S102" s="3">
        <f t="shared" si="1"/>
        <v>1</v>
      </c>
    </row>
    <row r="103" spans="1:19">
      <c r="A103" s="1">
        <v>46054</v>
      </c>
      <c r="B103" t="s">
        <v>19</v>
      </c>
      <c r="C103" t="s">
        <v>238</v>
      </c>
      <c r="D103" t="s">
        <v>239</v>
      </c>
      <c r="E103" t="s">
        <v>219</v>
      </c>
      <c r="F103" t="s">
        <v>23</v>
      </c>
      <c r="G103">
        <v>42</v>
      </c>
      <c r="H103">
        <v>0</v>
      </c>
      <c r="I103">
        <v>25</v>
      </c>
      <c r="J103">
        <v>17</v>
      </c>
      <c r="K103">
        <v>28</v>
      </c>
      <c r="L103" t="b">
        <v>1</v>
      </c>
      <c r="M103">
        <v>174.37</v>
      </c>
      <c r="N103">
        <v>2964.31</v>
      </c>
      <c r="O103" t="s">
        <v>32</v>
      </c>
      <c r="P103" t="str">
        <f>IF(J103=G103+H103-I103,"OK","Check")</f>
        <v>OK</v>
      </c>
      <c r="Q103" t="str">
        <f>IF(AND(J103&lt;=K103,L103=TRUE),"OK",IF(AND(J103&gt;K103,L103=FALSE),"OK","Check"))</f>
        <v>OK</v>
      </c>
      <c r="R103" t="str">
        <f>IF(ABS(N103-J103*M103)&lt;=J103*0.005+0.01,"OK","Check")</f>
        <v>OK</v>
      </c>
      <c r="S103" s="3">
        <f t="shared" si="1"/>
        <v>1</v>
      </c>
    </row>
    <row r="104" spans="1:19">
      <c r="A104" s="1">
        <v>46054</v>
      </c>
      <c r="B104" t="s">
        <v>19</v>
      </c>
      <c r="C104" t="s">
        <v>240</v>
      </c>
      <c r="D104" t="s">
        <v>241</v>
      </c>
      <c r="E104" t="s">
        <v>219</v>
      </c>
      <c r="F104" t="s">
        <v>23</v>
      </c>
      <c r="G104">
        <v>159</v>
      </c>
      <c r="H104">
        <v>0</v>
      </c>
      <c r="I104">
        <v>78</v>
      </c>
      <c r="J104">
        <v>81</v>
      </c>
      <c r="K104">
        <v>50</v>
      </c>
      <c r="L104" t="b">
        <v>0</v>
      </c>
      <c r="M104">
        <v>64.91</v>
      </c>
      <c r="N104">
        <v>5257.92</v>
      </c>
      <c r="O104" t="s">
        <v>27</v>
      </c>
      <c r="P104" t="str">
        <f>IF(J104=G104+H104-I104,"OK","Check")</f>
        <v>OK</v>
      </c>
      <c r="Q104" t="str">
        <f>IF(AND(J104&lt;=K104,L104=TRUE),"OK",IF(AND(J104&gt;K104,L104=FALSE),"OK","Check"))</f>
        <v>OK</v>
      </c>
      <c r="R104" t="str">
        <f>IF(ABS(N104-J104*M104)&lt;=J104*0.005+0.01,"OK","Check")</f>
        <v>OK</v>
      </c>
      <c r="S104" s="3">
        <f t="shared" si="1"/>
        <v>1</v>
      </c>
    </row>
    <row r="105" spans="1:19">
      <c r="A105" s="1">
        <v>46054</v>
      </c>
      <c r="B105" t="s">
        <v>19</v>
      </c>
      <c r="C105" t="s">
        <v>242</v>
      </c>
      <c r="D105" t="s">
        <v>243</v>
      </c>
      <c r="E105" t="s">
        <v>219</v>
      </c>
      <c r="F105" t="s">
        <v>23</v>
      </c>
      <c r="G105">
        <v>98</v>
      </c>
      <c r="H105">
        <v>248</v>
      </c>
      <c r="I105">
        <v>93</v>
      </c>
      <c r="J105">
        <v>253</v>
      </c>
      <c r="K105">
        <v>83</v>
      </c>
      <c r="L105" t="b">
        <v>0</v>
      </c>
      <c r="M105">
        <v>300.63</v>
      </c>
      <c r="N105">
        <v>76060.31</v>
      </c>
      <c r="O105" t="s">
        <v>60</v>
      </c>
      <c r="P105" t="str">
        <f>IF(J105=G105+H105-I105,"OK","Check")</f>
        <v>OK</v>
      </c>
      <c r="Q105" t="str">
        <f>IF(AND(J105&lt;=K105,L105=TRUE),"OK",IF(AND(J105&gt;K105,L105=FALSE),"OK","Check"))</f>
        <v>OK</v>
      </c>
      <c r="R105" t="str">
        <f>IF(ABS(N105-J105*M105)&lt;=J105*0.005+0.01,"OK","Check")</f>
        <v>OK</v>
      </c>
      <c r="S105" s="3">
        <f t="shared" si="1"/>
        <v>1</v>
      </c>
    </row>
    <row r="106" spans="1:19">
      <c r="A106" s="1">
        <v>46054</v>
      </c>
      <c r="B106" t="s">
        <v>244</v>
      </c>
      <c r="C106" t="s">
        <v>20</v>
      </c>
      <c r="D106" t="s">
        <v>21</v>
      </c>
      <c r="E106" t="s">
        <v>22</v>
      </c>
      <c r="F106" t="s">
        <v>23</v>
      </c>
      <c r="G106">
        <v>92</v>
      </c>
      <c r="H106">
        <v>161</v>
      </c>
      <c r="I106">
        <v>91</v>
      </c>
      <c r="J106">
        <v>162</v>
      </c>
      <c r="K106">
        <v>88</v>
      </c>
      <c r="L106" t="b">
        <v>0</v>
      </c>
      <c r="M106">
        <v>280.14</v>
      </c>
      <c r="N106">
        <v>45382.27</v>
      </c>
      <c r="O106" t="s">
        <v>24</v>
      </c>
      <c r="P106" t="str">
        <f>IF(J106=G106+H106-I106,"OK","Check")</f>
        <v>OK</v>
      </c>
      <c r="Q106" t="str">
        <f>IF(AND(J106&lt;=K106,L106=TRUE),"OK",IF(AND(J106&gt;K106,L106=FALSE),"OK","Check"))</f>
        <v>OK</v>
      </c>
      <c r="R106" t="str">
        <f>IF(ABS(N106-J106*M106)&lt;=J106*0.005+0.01,"OK","Check")</f>
        <v>OK</v>
      </c>
      <c r="S106" s="3">
        <f t="shared" si="1"/>
        <v>1</v>
      </c>
    </row>
    <row r="107" spans="1:19">
      <c r="A107" s="1">
        <v>46054</v>
      </c>
      <c r="B107" t="s">
        <v>244</v>
      </c>
      <c r="C107" t="s">
        <v>25</v>
      </c>
      <c r="D107" t="s">
        <v>26</v>
      </c>
      <c r="E107" t="s">
        <v>22</v>
      </c>
      <c r="F107" t="s">
        <v>23</v>
      </c>
      <c r="G107">
        <v>100</v>
      </c>
      <c r="H107">
        <v>0</v>
      </c>
      <c r="I107">
        <v>42</v>
      </c>
      <c r="J107">
        <v>58</v>
      </c>
      <c r="K107">
        <v>47</v>
      </c>
      <c r="L107" t="b">
        <v>0</v>
      </c>
      <c r="M107">
        <v>1254.1600000000001</v>
      </c>
      <c r="N107">
        <v>72741.23</v>
      </c>
      <c r="O107" t="s">
        <v>27</v>
      </c>
      <c r="P107" t="str">
        <f>IF(J107=G107+H107-I107,"OK","Check")</f>
        <v>OK</v>
      </c>
      <c r="Q107" t="str">
        <f>IF(AND(J107&lt;=K107,L107=TRUE),"OK",IF(AND(J107&gt;K107,L107=FALSE),"OK","Check"))</f>
        <v>OK</v>
      </c>
      <c r="R107" t="str">
        <f>IF(ABS(N107-J107*M107)&lt;=J107*0.005+0.01,"OK","Check")</f>
        <v>OK</v>
      </c>
      <c r="S107" s="3">
        <f t="shared" si="1"/>
        <v>1</v>
      </c>
    </row>
    <row r="108" spans="1:19">
      <c r="A108" s="1">
        <v>46054</v>
      </c>
      <c r="B108" t="s">
        <v>244</v>
      </c>
      <c r="C108" t="s">
        <v>28</v>
      </c>
      <c r="D108" t="s">
        <v>29</v>
      </c>
      <c r="E108" t="s">
        <v>22</v>
      </c>
      <c r="F108" t="s">
        <v>23</v>
      </c>
      <c r="G108">
        <v>519</v>
      </c>
      <c r="H108">
        <v>0</v>
      </c>
      <c r="I108">
        <v>227</v>
      </c>
      <c r="J108">
        <v>292</v>
      </c>
      <c r="K108">
        <v>228</v>
      </c>
      <c r="L108" t="b">
        <v>0</v>
      </c>
      <c r="M108">
        <v>83.78</v>
      </c>
      <c r="N108">
        <v>24464.17</v>
      </c>
      <c r="O108" t="s">
        <v>24</v>
      </c>
      <c r="P108" t="str">
        <f>IF(J108=G108+H108-I108,"OK","Check")</f>
        <v>OK</v>
      </c>
      <c r="Q108" t="str">
        <f>IF(AND(J108&lt;=K108,L108=TRUE),"OK",IF(AND(J108&gt;K108,L108=FALSE),"OK","Check"))</f>
        <v>OK</v>
      </c>
      <c r="R108" t="str">
        <f>IF(ABS(N108-J108*M108)&lt;=J108*0.005+0.01,"OK","Check")</f>
        <v>OK</v>
      </c>
      <c r="S108" s="3">
        <f t="shared" si="1"/>
        <v>1</v>
      </c>
    </row>
    <row r="109" spans="1:19">
      <c r="A109" s="1">
        <v>46054</v>
      </c>
      <c r="B109" t="s">
        <v>244</v>
      </c>
      <c r="C109" t="s">
        <v>30</v>
      </c>
      <c r="D109" t="s">
        <v>31</v>
      </c>
      <c r="E109" t="s">
        <v>22</v>
      </c>
      <c r="F109" t="s">
        <v>23</v>
      </c>
      <c r="G109">
        <v>197</v>
      </c>
      <c r="H109">
        <v>0</v>
      </c>
      <c r="I109">
        <v>87</v>
      </c>
      <c r="J109">
        <v>110</v>
      </c>
      <c r="K109">
        <v>86</v>
      </c>
      <c r="L109" t="b">
        <v>0</v>
      </c>
      <c r="M109">
        <v>406.39</v>
      </c>
      <c r="N109">
        <v>44703.12</v>
      </c>
      <c r="O109" t="s">
        <v>32</v>
      </c>
      <c r="P109" t="str">
        <f>IF(J109=G109+H109-I109,"OK","Check")</f>
        <v>OK</v>
      </c>
      <c r="Q109" t="str">
        <f>IF(AND(J109&lt;=K109,L109=TRUE),"OK",IF(AND(J109&gt;K109,L109=FALSE),"OK","Check"))</f>
        <v>OK</v>
      </c>
      <c r="R109" t="str">
        <f>IF(ABS(N109-J109*M109)&lt;=J109*0.005+0.01,"OK","Check")</f>
        <v>OK</v>
      </c>
      <c r="S109" s="3">
        <f t="shared" si="1"/>
        <v>1</v>
      </c>
    </row>
    <row r="110" spans="1:19">
      <c r="A110" s="1">
        <v>46054</v>
      </c>
      <c r="B110" t="s">
        <v>244</v>
      </c>
      <c r="C110" t="s">
        <v>33</v>
      </c>
      <c r="D110" t="s">
        <v>34</v>
      </c>
      <c r="E110" t="s">
        <v>22</v>
      </c>
      <c r="F110" t="s">
        <v>23</v>
      </c>
      <c r="G110">
        <v>365</v>
      </c>
      <c r="H110">
        <v>0</v>
      </c>
      <c r="I110">
        <v>290</v>
      </c>
      <c r="J110">
        <v>75</v>
      </c>
      <c r="K110">
        <v>172</v>
      </c>
      <c r="L110" t="b">
        <v>1</v>
      </c>
      <c r="M110">
        <v>118.64</v>
      </c>
      <c r="N110">
        <v>8898.09</v>
      </c>
      <c r="O110" t="s">
        <v>24</v>
      </c>
      <c r="P110" t="str">
        <f>IF(J110=G110+H110-I110,"OK","Check")</f>
        <v>OK</v>
      </c>
      <c r="Q110" t="str">
        <f>IF(AND(J110&lt;=K110,L110=TRUE),"OK",IF(AND(J110&gt;K110,L110=FALSE),"OK","Check"))</f>
        <v>OK</v>
      </c>
      <c r="R110" t="str">
        <f>IF(ABS(N110-J110*M110)&lt;=J110*0.005+0.01,"OK","Check")</f>
        <v>OK</v>
      </c>
      <c r="S110" s="3">
        <f t="shared" si="1"/>
        <v>1</v>
      </c>
    </row>
    <row r="111" spans="1:19">
      <c r="A111" s="1">
        <v>46054</v>
      </c>
      <c r="B111" t="s">
        <v>244</v>
      </c>
      <c r="C111" t="s">
        <v>35</v>
      </c>
      <c r="D111" t="s">
        <v>36</v>
      </c>
      <c r="E111" t="s">
        <v>22</v>
      </c>
      <c r="F111" t="s">
        <v>23</v>
      </c>
      <c r="G111">
        <v>251</v>
      </c>
      <c r="H111">
        <v>597</v>
      </c>
      <c r="I111">
        <v>224</v>
      </c>
      <c r="J111">
        <v>624</v>
      </c>
      <c r="K111">
        <v>293</v>
      </c>
      <c r="L111" t="b">
        <v>0</v>
      </c>
      <c r="M111">
        <v>572.5</v>
      </c>
      <c r="N111">
        <v>357239.44</v>
      </c>
      <c r="O111" t="s">
        <v>37</v>
      </c>
      <c r="P111" t="str">
        <f>IF(J111=G111+H111-I111,"OK","Check")</f>
        <v>OK</v>
      </c>
      <c r="Q111" t="str">
        <f>IF(AND(J111&lt;=K111,L111=TRUE),"OK",IF(AND(J111&gt;K111,L111=FALSE),"OK","Check"))</f>
        <v>OK</v>
      </c>
      <c r="R111" t="str">
        <f>IF(ABS(N111-J111*M111)&lt;=J111*0.005+0.01,"OK","Check")</f>
        <v>OK</v>
      </c>
      <c r="S111" s="3">
        <f t="shared" si="1"/>
        <v>1</v>
      </c>
    </row>
    <row r="112" spans="1:19">
      <c r="A112" s="1">
        <v>46054</v>
      </c>
      <c r="B112" t="s">
        <v>244</v>
      </c>
      <c r="C112" t="s">
        <v>42</v>
      </c>
      <c r="D112" t="s">
        <v>43</v>
      </c>
      <c r="E112" t="s">
        <v>22</v>
      </c>
      <c r="F112" t="s">
        <v>23</v>
      </c>
      <c r="G112">
        <v>217</v>
      </c>
      <c r="H112">
        <v>288</v>
      </c>
      <c r="I112">
        <v>191</v>
      </c>
      <c r="J112">
        <v>314</v>
      </c>
      <c r="K112">
        <v>187</v>
      </c>
      <c r="L112" t="b">
        <v>0</v>
      </c>
      <c r="M112">
        <v>156.74</v>
      </c>
      <c r="N112">
        <v>49216.51</v>
      </c>
      <c r="O112" t="s">
        <v>44</v>
      </c>
      <c r="P112" t="str">
        <f>IF(J112=G112+H112-I112,"OK","Check")</f>
        <v>OK</v>
      </c>
      <c r="Q112" t="str">
        <f>IF(AND(J112&lt;=K112,L112=TRUE),"OK",IF(AND(J112&gt;K112,L112=FALSE),"OK","Check"))</f>
        <v>OK</v>
      </c>
      <c r="R112" t="str">
        <f>IF(ABS(N112-J112*M112)&lt;=J112*0.005+0.01,"OK","Check")</f>
        <v>OK</v>
      </c>
      <c r="S112" s="3">
        <f t="shared" si="1"/>
        <v>1</v>
      </c>
    </row>
    <row r="113" spans="1:19">
      <c r="A113" s="1">
        <v>46054</v>
      </c>
      <c r="B113" t="s">
        <v>244</v>
      </c>
      <c r="C113" t="s">
        <v>45</v>
      </c>
      <c r="D113" t="s">
        <v>46</v>
      </c>
      <c r="E113" t="s">
        <v>22</v>
      </c>
      <c r="F113" t="s">
        <v>23</v>
      </c>
      <c r="G113">
        <v>145</v>
      </c>
      <c r="H113">
        <v>0</v>
      </c>
      <c r="I113">
        <v>51</v>
      </c>
      <c r="J113">
        <v>94</v>
      </c>
      <c r="K113">
        <v>47</v>
      </c>
      <c r="L113" t="b">
        <v>0</v>
      </c>
      <c r="M113">
        <v>729.33</v>
      </c>
      <c r="N113">
        <v>68557.429999999993</v>
      </c>
      <c r="O113" t="s">
        <v>47</v>
      </c>
      <c r="P113" t="str">
        <f>IF(J113=G113+H113-I113,"OK","Check")</f>
        <v>OK</v>
      </c>
      <c r="Q113" t="str">
        <f>IF(AND(J113&lt;=K113,L113=TRUE),"OK",IF(AND(J113&gt;K113,L113=FALSE),"OK","Check"))</f>
        <v>OK</v>
      </c>
      <c r="R113" t="str">
        <f>IF(ABS(N113-J113*M113)&lt;=J113*0.005+0.01,"OK","Check")</f>
        <v>OK</v>
      </c>
      <c r="S113" s="3">
        <f t="shared" si="1"/>
        <v>1</v>
      </c>
    </row>
    <row r="114" spans="1:19">
      <c r="A114" s="1">
        <v>46054</v>
      </c>
      <c r="B114" t="s">
        <v>244</v>
      </c>
      <c r="C114" t="s">
        <v>48</v>
      </c>
      <c r="D114" t="s">
        <v>49</v>
      </c>
      <c r="E114" t="s">
        <v>22</v>
      </c>
      <c r="F114" t="s">
        <v>23</v>
      </c>
      <c r="G114">
        <v>331</v>
      </c>
      <c r="H114">
        <v>354</v>
      </c>
      <c r="I114">
        <v>159</v>
      </c>
      <c r="J114">
        <v>526</v>
      </c>
      <c r="K114">
        <v>188</v>
      </c>
      <c r="L114" t="b">
        <v>0</v>
      </c>
      <c r="M114">
        <v>54.26</v>
      </c>
      <c r="N114">
        <v>28538.81</v>
      </c>
      <c r="O114" t="s">
        <v>44</v>
      </c>
      <c r="P114" t="str">
        <f>IF(J114=G114+H114-I114,"OK","Check")</f>
        <v>OK</v>
      </c>
      <c r="Q114" t="str">
        <f>IF(AND(J114&lt;=K114,L114=TRUE),"OK",IF(AND(J114&gt;K114,L114=FALSE),"OK","Check"))</f>
        <v>OK</v>
      </c>
      <c r="R114" t="str">
        <f>IF(ABS(N114-J114*M114)&lt;=J114*0.005+0.01,"OK","Check")</f>
        <v>OK</v>
      </c>
      <c r="S114" s="3">
        <f t="shared" si="1"/>
        <v>1</v>
      </c>
    </row>
    <row r="115" spans="1:19">
      <c r="A115" s="1">
        <v>46054</v>
      </c>
      <c r="B115" t="s">
        <v>244</v>
      </c>
      <c r="C115" t="s">
        <v>50</v>
      </c>
      <c r="D115" t="s">
        <v>51</v>
      </c>
      <c r="E115" t="s">
        <v>22</v>
      </c>
      <c r="F115" t="s">
        <v>23</v>
      </c>
      <c r="G115">
        <v>220</v>
      </c>
      <c r="H115">
        <v>0</v>
      </c>
      <c r="I115">
        <v>220</v>
      </c>
      <c r="J115">
        <v>0</v>
      </c>
      <c r="K115">
        <v>171</v>
      </c>
      <c r="L115" t="b">
        <v>1</v>
      </c>
      <c r="M115">
        <v>279.56</v>
      </c>
      <c r="N115">
        <v>0</v>
      </c>
      <c r="O115" t="s">
        <v>24</v>
      </c>
      <c r="P115" t="str">
        <f>IF(J115=G115+H115-I115,"OK","Check")</f>
        <v>OK</v>
      </c>
      <c r="Q115" t="str">
        <f>IF(AND(J115&lt;=K115,L115=TRUE),"OK",IF(AND(J115&gt;K115,L115=FALSE),"OK","Check"))</f>
        <v>OK</v>
      </c>
      <c r="R115" t="str">
        <f>IF(ABS(N115-J115*M115)&lt;=J115*0.005+0.01,"OK","Check")</f>
        <v>OK</v>
      </c>
      <c r="S115" s="3">
        <f t="shared" si="1"/>
        <v>1</v>
      </c>
    </row>
    <row r="116" spans="1:19">
      <c r="A116" s="1">
        <v>46054</v>
      </c>
      <c r="B116" t="s">
        <v>244</v>
      </c>
      <c r="C116" t="s">
        <v>52</v>
      </c>
      <c r="D116" t="s">
        <v>53</v>
      </c>
      <c r="E116" t="s">
        <v>22</v>
      </c>
      <c r="F116" t="s">
        <v>23</v>
      </c>
      <c r="G116">
        <v>41</v>
      </c>
      <c r="H116">
        <v>63</v>
      </c>
      <c r="I116">
        <v>25</v>
      </c>
      <c r="J116">
        <v>79</v>
      </c>
      <c r="K116">
        <v>38</v>
      </c>
      <c r="L116" t="b">
        <v>0</v>
      </c>
      <c r="M116">
        <v>51.88</v>
      </c>
      <c r="N116">
        <v>4098.16</v>
      </c>
      <c r="O116" t="s">
        <v>47</v>
      </c>
      <c r="P116" t="str">
        <f>IF(J116=G116+H116-I116,"OK","Check")</f>
        <v>OK</v>
      </c>
      <c r="Q116" t="str">
        <f>IF(AND(J116&lt;=K116,L116=TRUE),"OK",IF(AND(J116&gt;K116,L116=FALSE),"OK","Check"))</f>
        <v>OK</v>
      </c>
      <c r="R116" t="str">
        <f>IF(ABS(N116-J116*M116)&lt;=J116*0.005+0.01,"OK","Check")</f>
        <v>OK</v>
      </c>
      <c r="S116" s="3">
        <f t="shared" si="1"/>
        <v>1</v>
      </c>
    </row>
    <row r="117" spans="1:19">
      <c r="A117" s="1">
        <v>46054</v>
      </c>
      <c r="B117" t="s">
        <v>244</v>
      </c>
      <c r="C117" t="s">
        <v>54</v>
      </c>
      <c r="D117" t="s">
        <v>55</v>
      </c>
      <c r="E117" t="s">
        <v>22</v>
      </c>
      <c r="F117" t="s">
        <v>23</v>
      </c>
      <c r="G117">
        <v>250</v>
      </c>
      <c r="H117">
        <v>0</v>
      </c>
      <c r="I117">
        <v>87</v>
      </c>
      <c r="J117">
        <v>163</v>
      </c>
      <c r="K117">
        <v>199</v>
      </c>
      <c r="L117" t="b">
        <v>1</v>
      </c>
      <c r="M117">
        <v>273.27</v>
      </c>
      <c r="N117">
        <v>44542.5</v>
      </c>
      <c r="O117" t="s">
        <v>44</v>
      </c>
      <c r="P117" t="str">
        <f>IF(J117=G117+H117-I117,"OK","Check")</f>
        <v>OK</v>
      </c>
      <c r="Q117" t="str">
        <f>IF(AND(J117&lt;=K117,L117=TRUE),"OK",IF(AND(J117&gt;K117,L117=FALSE),"OK","Check"))</f>
        <v>OK</v>
      </c>
      <c r="R117" t="str">
        <f>IF(ABS(N117-J117*M117)&lt;=J117*0.005+0.01,"OK","Check")</f>
        <v>OK</v>
      </c>
      <c r="S117" s="3">
        <f t="shared" si="1"/>
        <v>1</v>
      </c>
    </row>
    <row r="118" spans="1:19">
      <c r="A118" s="1">
        <v>46054</v>
      </c>
      <c r="B118" t="s">
        <v>244</v>
      </c>
      <c r="C118" t="s">
        <v>58</v>
      </c>
      <c r="D118" t="s">
        <v>59</v>
      </c>
      <c r="E118" t="s">
        <v>22</v>
      </c>
      <c r="F118" t="s">
        <v>23</v>
      </c>
      <c r="G118">
        <v>20</v>
      </c>
      <c r="H118">
        <v>44</v>
      </c>
      <c r="I118">
        <v>21</v>
      </c>
      <c r="J118">
        <v>43</v>
      </c>
      <c r="K118">
        <v>21</v>
      </c>
      <c r="L118" t="b">
        <v>0</v>
      </c>
      <c r="M118">
        <v>1916.82</v>
      </c>
      <c r="N118">
        <v>82423.12</v>
      </c>
      <c r="O118" t="s">
        <v>60</v>
      </c>
      <c r="P118" t="str">
        <f>IF(J118=G118+H118-I118,"OK","Check")</f>
        <v>OK</v>
      </c>
      <c r="Q118" t="str">
        <f>IF(AND(J118&lt;=K118,L118=TRUE),"OK",IF(AND(J118&gt;K118,L118=FALSE),"OK","Check"))</f>
        <v>OK</v>
      </c>
      <c r="R118" t="str">
        <f>IF(ABS(N118-J118*M118)&lt;=J118*0.005+0.01,"OK","Check")</f>
        <v>OK</v>
      </c>
      <c r="S118" s="3">
        <f t="shared" si="1"/>
        <v>1</v>
      </c>
    </row>
    <row r="119" spans="1:19">
      <c r="A119" s="1">
        <v>46054</v>
      </c>
      <c r="B119" t="s">
        <v>244</v>
      </c>
      <c r="C119" t="s">
        <v>61</v>
      </c>
      <c r="D119" t="s">
        <v>62</v>
      </c>
      <c r="E119" t="s">
        <v>22</v>
      </c>
      <c r="F119" t="s">
        <v>23</v>
      </c>
      <c r="G119">
        <v>154</v>
      </c>
      <c r="H119">
        <v>0</v>
      </c>
      <c r="I119">
        <v>52</v>
      </c>
      <c r="J119">
        <v>102</v>
      </c>
      <c r="K119">
        <v>61</v>
      </c>
      <c r="L119" t="b">
        <v>0</v>
      </c>
      <c r="M119">
        <v>22.63</v>
      </c>
      <c r="N119">
        <v>2308.15</v>
      </c>
      <c r="O119" t="s">
        <v>44</v>
      </c>
      <c r="P119" t="str">
        <f>IF(J119=G119+H119-I119,"OK","Check")</f>
        <v>OK</v>
      </c>
      <c r="Q119" t="str">
        <f>IF(AND(J119&lt;=K119,L119=TRUE),"OK",IF(AND(J119&gt;K119,L119=FALSE),"OK","Check"))</f>
        <v>OK</v>
      </c>
      <c r="R119" t="str">
        <f>IF(ABS(N119-J119*M119)&lt;=J119*0.005+0.01,"OK","Check")</f>
        <v>OK</v>
      </c>
      <c r="S119" s="3">
        <f t="shared" si="1"/>
        <v>1</v>
      </c>
    </row>
    <row r="120" spans="1:19">
      <c r="A120" s="1">
        <v>46054</v>
      </c>
      <c r="B120" t="s">
        <v>244</v>
      </c>
      <c r="C120" t="s">
        <v>63</v>
      </c>
      <c r="D120" t="s">
        <v>64</v>
      </c>
      <c r="E120" t="s">
        <v>22</v>
      </c>
      <c r="F120" t="s">
        <v>23</v>
      </c>
      <c r="G120">
        <v>26</v>
      </c>
      <c r="H120">
        <v>46</v>
      </c>
      <c r="I120">
        <v>22</v>
      </c>
      <c r="J120">
        <v>50</v>
      </c>
      <c r="K120">
        <v>24</v>
      </c>
      <c r="L120" t="b">
        <v>0</v>
      </c>
      <c r="M120">
        <v>110.95</v>
      </c>
      <c r="N120">
        <v>5547.34</v>
      </c>
      <c r="O120" t="s">
        <v>47</v>
      </c>
      <c r="P120" t="str">
        <f>IF(J120=G120+H120-I120,"OK","Check")</f>
        <v>OK</v>
      </c>
      <c r="Q120" t="str">
        <f>IF(AND(J120&lt;=K120,L120=TRUE),"OK",IF(AND(J120&gt;K120,L120=FALSE),"OK","Check"))</f>
        <v>OK</v>
      </c>
      <c r="R120" t="str">
        <f>IF(ABS(N120-J120*M120)&lt;=J120*0.005+0.01,"OK","Check")</f>
        <v>OK</v>
      </c>
      <c r="S120" s="3">
        <f t="shared" si="1"/>
        <v>1</v>
      </c>
    </row>
    <row r="121" spans="1:19">
      <c r="A121" s="1">
        <v>46054</v>
      </c>
      <c r="B121" t="s">
        <v>244</v>
      </c>
      <c r="C121" t="s">
        <v>65</v>
      </c>
      <c r="D121" t="s">
        <v>66</v>
      </c>
      <c r="E121" t="s">
        <v>22</v>
      </c>
      <c r="F121" t="s">
        <v>23</v>
      </c>
      <c r="G121">
        <v>125</v>
      </c>
      <c r="H121">
        <v>0</v>
      </c>
      <c r="I121">
        <v>46</v>
      </c>
      <c r="J121">
        <v>79</v>
      </c>
      <c r="K121">
        <v>42</v>
      </c>
      <c r="L121" t="b">
        <v>0</v>
      </c>
      <c r="M121">
        <v>80.42</v>
      </c>
      <c r="N121">
        <v>6352.97</v>
      </c>
      <c r="O121" t="s">
        <v>44</v>
      </c>
      <c r="P121" t="str">
        <f>IF(J121=G121+H121-I121,"OK","Check")</f>
        <v>OK</v>
      </c>
      <c r="Q121" t="str">
        <f>IF(AND(J121&lt;=K121,L121=TRUE),"OK",IF(AND(J121&gt;K121,L121=FALSE),"OK","Check"))</f>
        <v>OK</v>
      </c>
      <c r="R121" t="str">
        <f>IF(ABS(N121-J121*M121)&lt;=J121*0.005+0.01,"OK","Check")</f>
        <v>OK</v>
      </c>
      <c r="S121" s="3">
        <f t="shared" si="1"/>
        <v>1</v>
      </c>
    </row>
    <row r="122" spans="1:19">
      <c r="A122" s="1">
        <v>46054</v>
      </c>
      <c r="B122" t="s">
        <v>244</v>
      </c>
      <c r="C122" t="s">
        <v>67</v>
      </c>
      <c r="D122" t="s">
        <v>68</v>
      </c>
      <c r="E122" t="s">
        <v>22</v>
      </c>
      <c r="F122" t="s">
        <v>23</v>
      </c>
      <c r="G122">
        <v>429</v>
      </c>
      <c r="H122">
        <v>0</v>
      </c>
      <c r="I122">
        <v>238</v>
      </c>
      <c r="J122">
        <v>191</v>
      </c>
      <c r="K122">
        <v>190</v>
      </c>
      <c r="L122" t="b">
        <v>0</v>
      </c>
      <c r="M122">
        <v>368.97</v>
      </c>
      <c r="N122">
        <v>70474.09</v>
      </c>
      <c r="O122" t="s">
        <v>27</v>
      </c>
      <c r="P122" t="str">
        <f>IF(J122=G122+H122-I122,"OK","Check")</f>
        <v>OK</v>
      </c>
      <c r="Q122" t="str">
        <f>IF(AND(J122&lt;=K122,L122=TRUE),"OK",IF(AND(J122&gt;K122,L122=FALSE),"OK","Check"))</f>
        <v>OK</v>
      </c>
      <c r="R122" t="str">
        <f>IF(ABS(N122-J122*M122)&lt;=J122*0.005+0.01,"OK","Check")</f>
        <v>OK</v>
      </c>
      <c r="S122" s="3">
        <f t="shared" si="1"/>
        <v>1</v>
      </c>
    </row>
    <row r="123" spans="1:19">
      <c r="A123" s="1">
        <v>46054</v>
      </c>
      <c r="B123" t="s">
        <v>244</v>
      </c>
      <c r="C123" t="s">
        <v>69</v>
      </c>
      <c r="D123" t="s">
        <v>70</v>
      </c>
      <c r="E123" t="s">
        <v>71</v>
      </c>
      <c r="F123" t="s">
        <v>23</v>
      </c>
      <c r="G123">
        <v>107</v>
      </c>
      <c r="H123">
        <v>0</v>
      </c>
      <c r="I123">
        <v>32</v>
      </c>
      <c r="J123">
        <v>75</v>
      </c>
      <c r="K123">
        <v>43</v>
      </c>
      <c r="L123" t="b">
        <v>0</v>
      </c>
      <c r="M123">
        <v>86.32</v>
      </c>
      <c r="N123">
        <v>6474.3</v>
      </c>
      <c r="O123" t="s">
        <v>27</v>
      </c>
      <c r="P123" t="str">
        <f>IF(J123=G123+H123-I123,"OK","Check")</f>
        <v>OK</v>
      </c>
      <c r="Q123" t="str">
        <f>IF(AND(J123&lt;=K123,L123=TRUE),"OK",IF(AND(J123&gt;K123,L123=FALSE),"OK","Check"))</f>
        <v>OK</v>
      </c>
      <c r="R123" t="str">
        <f>IF(ABS(N123-J123*M123)&lt;=J123*0.005+0.01,"OK","Check")</f>
        <v>OK</v>
      </c>
      <c r="S123" s="3">
        <f t="shared" si="1"/>
        <v>1</v>
      </c>
    </row>
    <row r="124" spans="1:19">
      <c r="A124" s="1">
        <v>46054</v>
      </c>
      <c r="B124" t="s">
        <v>244</v>
      </c>
      <c r="C124" t="s">
        <v>72</v>
      </c>
      <c r="D124" t="s">
        <v>73</v>
      </c>
      <c r="E124" t="s">
        <v>71</v>
      </c>
      <c r="F124" t="s">
        <v>23</v>
      </c>
      <c r="G124">
        <v>358</v>
      </c>
      <c r="H124">
        <v>0</v>
      </c>
      <c r="I124">
        <v>140</v>
      </c>
      <c r="J124">
        <v>218</v>
      </c>
      <c r="K124">
        <v>246</v>
      </c>
      <c r="L124" t="b">
        <v>1</v>
      </c>
      <c r="M124">
        <v>433.33</v>
      </c>
      <c r="N124">
        <v>94466.58</v>
      </c>
      <c r="O124" t="s">
        <v>60</v>
      </c>
      <c r="P124" t="str">
        <f>IF(J124=G124+H124-I124,"OK","Check")</f>
        <v>OK</v>
      </c>
      <c r="Q124" t="str">
        <f>IF(AND(J124&lt;=K124,L124=TRUE),"OK",IF(AND(J124&gt;K124,L124=FALSE),"OK","Check"))</f>
        <v>OK</v>
      </c>
      <c r="R124" t="str">
        <f>IF(ABS(N124-J124*M124)&lt;=J124*0.005+0.01,"OK","Check")</f>
        <v>OK</v>
      </c>
      <c r="S124" s="3">
        <f t="shared" si="1"/>
        <v>1</v>
      </c>
    </row>
    <row r="125" spans="1:19">
      <c r="A125" s="1">
        <v>46054</v>
      </c>
      <c r="B125" t="s">
        <v>244</v>
      </c>
      <c r="C125" t="s">
        <v>76</v>
      </c>
      <c r="D125" t="s">
        <v>77</v>
      </c>
      <c r="E125" t="s">
        <v>71</v>
      </c>
      <c r="F125" t="s">
        <v>23</v>
      </c>
      <c r="G125">
        <v>416</v>
      </c>
      <c r="H125">
        <v>0</v>
      </c>
      <c r="I125">
        <v>98</v>
      </c>
      <c r="J125">
        <v>318</v>
      </c>
      <c r="K125">
        <v>179</v>
      </c>
      <c r="L125" t="b">
        <v>0</v>
      </c>
      <c r="M125">
        <v>1082.28</v>
      </c>
      <c r="N125">
        <v>344164.11</v>
      </c>
      <c r="O125" t="s">
        <v>37</v>
      </c>
      <c r="P125" t="str">
        <f>IF(J125=G125+H125-I125,"OK","Check")</f>
        <v>OK</v>
      </c>
      <c r="Q125" t="str">
        <f>IF(AND(J125&lt;=K125,L125=TRUE),"OK",IF(AND(J125&gt;K125,L125=FALSE),"OK","Check"))</f>
        <v>OK</v>
      </c>
      <c r="R125" t="str">
        <f>IF(ABS(N125-J125*M125)&lt;=J125*0.005+0.01,"OK","Check")</f>
        <v>OK</v>
      </c>
      <c r="S125" s="3">
        <f t="shared" si="1"/>
        <v>1</v>
      </c>
    </row>
    <row r="126" spans="1:19">
      <c r="A126" s="1">
        <v>46054</v>
      </c>
      <c r="B126" t="s">
        <v>244</v>
      </c>
      <c r="C126" t="s">
        <v>78</v>
      </c>
      <c r="D126" t="s">
        <v>79</v>
      </c>
      <c r="E126" t="s">
        <v>71</v>
      </c>
      <c r="F126" t="s">
        <v>23</v>
      </c>
      <c r="G126">
        <v>438</v>
      </c>
      <c r="H126">
        <v>0</v>
      </c>
      <c r="I126">
        <v>134</v>
      </c>
      <c r="J126">
        <v>304</v>
      </c>
      <c r="K126">
        <v>177</v>
      </c>
      <c r="L126" t="b">
        <v>0</v>
      </c>
      <c r="M126">
        <v>347.59</v>
      </c>
      <c r="N126">
        <v>105665.93</v>
      </c>
      <c r="O126" t="s">
        <v>47</v>
      </c>
      <c r="P126" t="str">
        <f>IF(J126=G126+H126-I126,"OK","Check")</f>
        <v>OK</v>
      </c>
      <c r="Q126" t="str">
        <f>IF(AND(J126&lt;=K126,L126=TRUE),"OK",IF(AND(J126&gt;K126,L126=FALSE),"OK","Check"))</f>
        <v>OK</v>
      </c>
      <c r="R126" t="str">
        <f>IF(ABS(N126-J126*M126)&lt;=J126*0.005+0.01,"OK","Check")</f>
        <v>OK</v>
      </c>
      <c r="S126" s="3">
        <f t="shared" si="1"/>
        <v>1</v>
      </c>
    </row>
    <row r="127" spans="1:19">
      <c r="A127" s="1">
        <v>46054</v>
      </c>
      <c r="B127" t="s">
        <v>244</v>
      </c>
      <c r="C127" t="s">
        <v>80</v>
      </c>
      <c r="D127" t="s">
        <v>81</v>
      </c>
      <c r="E127" t="s">
        <v>71</v>
      </c>
      <c r="F127" t="s">
        <v>23</v>
      </c>
      <c r="G127">
        <v>35</v>
      </c>
      <c r="H127">
        <v>97</v>
      </c>
      <c r="I127">
        <v>42</v>
      </c>
      <c r="J127">
        <v>90</v>
      </c>
      <c r="K127">
        <v>38</v>
      </c>
      <c r="L127" t="b">
        <v>0</v>
      </c>
      <c r="M127">
        <v>1669.35</v>
      </c>
      <c r="N127">
        <v>150241.1</v>
      </c>
      <c r="O127" t="s">
        <v>32</v>
      </c>
      <c r="P127" t="str">
        <f>IF(J127=G127+H127-I127,"OK","Check")</f>
        <v>OK</v>
      </c>
      <c r="Q127" t="str">
        <f>IF(AND(J127&lt;=K127,L127=TRUE),"OK",IF(AND(J127&gt;K127,L127=FALSE),"OK","Check"))</f>
        <v>OK</v>
      </c>
      <c r="R127" t="str">
        <f>IF(ABS(N127-J127*M127)&lt;=J127*0.005+0.01,"OK","Check")</f>
        <v>OK</v>
      </c>
      <c r="S127" s="3">
        <f t="shared" si="1"/>
        <v>1</v>
      </c>
    </row>
    <row r="128" spans="1:19">
      <c r="A128" s="1">
        <v>46054</v>
      </c>
      <c r="B128" t="s">
        <v>244</v>
      </c>
      <c r="C128" t="s">
        <v>84</v>
      </c>
      <c r="D128" t="s">
        <v>85</v>
      </c>
      <c r="E128" t="s">
        <v>71</v>
      </c>
      <c r="F128" t="s">
        <v>23</v>
      </c>
      <c r="G128">
        <v>238</v>
      </c>
      <c r="H128">
        <v>0</v>
      </c>
      <c r="I128">
        <v>54</v>
      </c>
      <c r="J128">
        <v>184</v>
      </c>
      <c r="K128">
        <v>171</v>
      </c>
      <c r="L128" t="b">
        <v>0</v>
      </c>
      <c r="M128">
        <v>9351.86</v>
      </c>
      <c r="N128">
        <v>1720741.59</v>
      </c>
      <c r="O128" t="s">
        <v>47</v>
      </c>
      <c r="P128" t="str">
        <f>IF(J128=G128+H128-I128,"OK","Check")</f>
        <v>OK</v>
      </c>
      <c r="Q128" t="str">
        <f>IF(AND(J128&lt;=K128,L128=TRUE),"OK",IF(AND(J128&gt;K128,L128=FALSE),"OK","Check"))</f>
        <v>OK</v>
      </c>
      <c r="R128" t="str">
        <f>IF(ABS(N128-J128*M128)&lt;=J128*0.005+0.01,"OK","Check")</f>
        <v>OK</v>
      </c>
      <c r="S128" s="3">
        <f t="shared" si="1"/>
        <v>1</v>
      </c>
    </row>
    <row r="129" spans="1:19">
      <c r="A129" s="1">
        <v>46054</v>
      </c>
      <c r="B129" t="s">
        <v>244</v>
      </c>
      <c r="C129" t="s">
        <v>86</v>
      </c>
      <c r="D129" t="s">
        <v>87</v>
      </c>
      <c r="E129" t="s">
        <v>71</v>
      </c>
      <c r="F129" t="s">
        <v>23</v>
      </c>
      <c r="G129">
        <v>273</v>
      </c>
      <c r="H129">
        <v>359</v>
      </c>
      <c r="I129">
        <v>186</v>
      </c>
      <c r="J129">
        <v>446</v>
      </c>
      <c r="K129">
        <v>138</v>
      </c>
      <c r="L129" t="b">
        <v>0</v>
      </c>
      <c r="M129">
        <v>41.39</v>
      </c>
      <c r="N129">
        <v>18461.099999999999</v>
      </c>
      <c r="O129" t="s">
        <v>60</v>
      </c>
      <c r="P129" t="str">
        <f>IF(J129=G129+H129-I129,"OK","Check")</f>
        <v>OK</v>
      </c>
      <c r="Q129" t="str">
        <f>IF(AND(J129&lt;=K129,L129=TRUE),"OK",IF(AND(J129&gt;K129,L129=FALSE),"OK","Check"))</f>
        <v>OK</v>
      </c>
      <c r="R129" t="str">
        <f>IF(ABS(N129-J129*M129)&lt;=J129*0.005+0.01,"OK","Check")</f>
        <v>OK</v>
      </c>
      <c r="S129" s="3">
        <f t="shared" si="1"/>
        <v>1</v>
      </c>
    </row>
    <row r="130" spans="1:19">
      <c r="A130" s="1">
        <v>46054</v>
      </c>
      <c r="B130" t="s">
        <v>244</v>
      </c>
      <c r="C130" t="s">
        <v>88</v>
      </c>
      <c r="D130" t="s">
        <v>89</v>
      </c>
      <c r="E130" t="s">
        <v>71</v>
      </c>
      <c r="F130" t="s">
        <v>23</v>
      </c>
      <c r="G130">
        <v>365</v>
      </c>
      <c r="H130">
        <v>0</v>
      </c>
      <c r="I130">
        <v>168</v>
      </c>
      <c r="J130">
        <v>197</v>
      </c>
      <c r="K130">
        <v>221</v>
      </c>
      <c r="L130" t="b">
        <v>1</v>
      </c>
      <c r="M130">
        <v>218.14</v>
      </c>
      <c r="N130">
        <v>42972.61</v>
      </c>
      <c r="O130" t="s">
        <v>32</v>
      </c>
      <c r="P130" t="str">
        <f>IF(J130=G130+H130-I130,"OK","Check")</f>
        <v>OK</v>
      </c>
      <c r="Q130" t="str">
        <f>IF(AND(J130&lt;=K130,L130=TRUE),"OK",IF(AND(J130&gt;K130,L130=FALSE),"OK","Check"))</f>
        <v>OK</v>
      </c>
      <c r="R130" t="str">
        <f>IF(ABS(N130-J130*M130)&lt;=J130*0.005+0.01,"OK","Check")</f>
        <v>OK</v>
      </c>
      <c r="S130" s="3">
        <f t="shared" ref="S130:S193" si="2">COUNTIFS(A:A,A130,B:B,B130,C:C,C130)</f>
        <v>1</v>
      </c>
    </row>
    <row r="131" spans="1:19">
      <c r="A131" s="1">
        <v>46054</v>
      </c>
      <c r="B131" t="s">
        <v>244</v>
      </c>
      <c r="C131" t="s">
        <v>90</v>
      </c>
      <c r="D131" t="s">
        <v>91</v>
      </c>
      <c r="E131" t="s">
        <v>71</v>
      </c>
      <c r="F131" t="s">
        <v>23</v>
      </c>
      <c r="G131">
        <v>309</v>
      </c>
      <c r="H131">
        <v>507</v>
      </c>
      <c r="I131">
        <v>214</v>
      </c>
      <c r="J131">
        <v>602</v>
      </c>
      <c r="K131">
        <v>154</v>
      </c>
      <c r="L131" t="b">
        <v>0</v>
      </c>
      <c r="M131">
        <v>1560.4</v>
      </c>
      <c r="N131">
        <v>939362.53</v>
      </c>
      <c r="O131" t="s">
        <v>32</v>
      </c>
      <c r="P131" t="str">
        <f>IF(J131=G131+H131-I131,"OK","Check")</f>
        <v>OK</v>
      </c>
      <c r="Q131" t="str">
        <f>IF(AND(J131&lt;=K131,L131=TRUE),"OK",IF(AND(J131&gt;K131,L131=FALSE),"OK","Check"))</f>
        <v>OK</v>
      </c>
      <c r="R131" t="str">
        <f>IF(ABS(N131-J131*M131)&lt;=J131*0.005+0.01,"OK","Check")</f>
        <v>OK</v>
      </c>
      <c r="S131" s="3">
        <f t="shared" si="2"/>
        <v>1</v>
      </c>
    </row>
    <row r="132" spans="1:19">
      <c r="A132" s="1">
        <v>46054</v>
      </c>
      <c r="B132" t="s">
        <v>244</v>
      </c>
      <c r="C132" t="s">
        <v>245</v>
      </c>
      <c r="D132" t="s">
        <v>246</v>
      </c>
      <c r="E132" t="s">
        <v>71</v>
      </c>
      <c r="F132" t="s">
        <v>23</v>
      </c>
      <c r="G132">
        <v>154</v>
      </c>
      <c r="H132">
        <v>0</v>
      </c>
      <c r="I132">
        <v>106</v>
      </c>
      <c r="J132">
        <v>48</v>
      </c>
      <c r="K132">
        <v>94</v>
      </c>
      <c r="L132" t="b">
        <v>1</v>
      </c>
      <c r="M132">
        <v>6975.34</v>
      </c>
      <c r="N132">
        <v>334816.33</v>
      </c>
      <c r="O132" t="s">
        <v>27</v>
      </c>
      <c r="P132" t="str">
        <f>IF(J132=G132+H132-I132,"OK","Check")</f>
        <v>OK</v>
      </c>
      <c r="Q132" t="str">
        <f>IF(AND(J132&lt;=K132,L132=TRUE),"OK",IF(AND(J132&gt;K132,L132=FALSE),"OK","Check"))</f>
        <v>OK</v>
      </c>
      <c r="R132" t="str">
        <f>IF(ABS(N132-J132*M132)&lt;=J132*0.005+0.01,"OK","Check")</f>
        <v>OK</v>
      </c>
      <c r="S132" s="3">
        <f t="shared" si="2"/>
        <v>1</v>
      </c>
    </row>
    <row r="133" spans="1:19">
      <c r="A133" s="1">
        <v>46054</v>
      </c>
      <c r="B133" t="s">
        <v>244</v>
      </c>
      <c r="C133" t="s">
        <v>92</v>
      </c>
      <c r="D133" t="s">
        <v>93</v>
      </c>
      <c r="E133" t="s">
        <v>71</v>
      </c>
      <c r="F133" t="s">
        <v>23</v>
      </c>
      <c r="G133">
        <v>179</v>
      </c>
      <c r="H133">
        <v>0</v>
      </c>
      <c r="I133">
        <v>148</v>
      </c>
      <c r="J133">
        <v>31</v>
      </c>
      <c r="K133">
        <v>129</v>
      </c>
      <c r="L133" t="b">
        <v>1</v>
      </c>
      <c r="M133">
        <v>241.94</v>
      </c>
      <c r="N133">
        <v>7500.05</v>
      </c>
      <c r="O133" t="s">
        <v>24</v>
      </c>
      <c r="P133" t="str">
        <f>IF(J133=G133+H133-I133,"OK","Check")</f>
        <v>OK</v>
      </c>
      <c r="Q133" t="str">
        <f>IF(AND(J133&lt;=K133,L133=TRUE),"OK",IF(AND(J133&gt;K133,L133=FALSE),"OK","Check"))</f>
        <v>OK</v>
      </c>
      <c r="R133" t="str">
        <f>IF(ABS(N133-J133*M133)&lt;=J133*0.005+0.01,"OK","Check")</f>
        <v>OK</v>
      </c>
      <c r="S133" s="3">
        <f t="shared" si="2"/>
        <v>1</v>
      </c>
    </row>
    <row r="134" spans="1:19">
      <c r="A134" s="1">
        <v>46054</v>
      </c>
      <c r="B134" t="s">
        <v>244</v>
      </c>
      <c r="C134" t="s">
        <v>94</v>
      </c>
      <c r="D134" t="s">
        <v>95</v>
      </c>
      <c r="E134" t="s">
        <v>71</v>
      </c>
      <c r="F134" t="s">
        <v>23</v>
      </c>
      <c r="G134">
        <v>543</v>
      </c>
      <c r="H134">
        <v>0</v>
      </c>
      <c r="I134">
        <v>166</v>
      </c>
      <c r="J134">
        <v>377</v>
      </c>
      <c r="K134">
        <v>172</v>
      </c>
      <c r="L134" t="b">
        <v>0</v>
      </c>
      <c r="M134">
        <v>1098.7</v>
      </c>
      <c r="N134">
        <v>414210.14</v>
      </c>
      <c r="O134" t="s">
        <v>32</v>
      </c>
      <c r="P134" t="str">
        <f>IF(J134=G134+H134-I134,"OK","Check")</f>
        <v>OK</v>
      </c>
      <c r="Q134" t="str">
        <f>IF(AND(J134&lt;=K134,L134=TRUE),"OK",IF(AND(J134&gt;K134,L134=FALSE),"OK","Check"))</f>
        <v>OK</v>
      </c>
      <c r="R134" t="str">
        <f>IF(ABS(N134-J134*M134)&lt;=J134*0.005+0.01,"OK","Check")</f>
        <v>OK</v>
      </c>
      <c r="S134" s="3">
        <f t="shared" si="2"/>
        <v>1</v>
      </c>
    </row>
    <row r="135" spans="1:19">
      <c r="A135" s="1">
        <v>46054</v>
      </c>
      <c r="B135" t="s">
        <v>244</v>
      </c>
      <c r="C135" t="s">
        <v>96</v>
      </c>
      <c r="D135" t="s">
        <v>97</v>
      </c>
      <c r="E135" t="s">
        <v>71</v>
      </c>
      <c r="F135" t="s">
        <v>23</v>
      </c>
      <c r="G135">
        <v>91</v>
      </c>
      <c r="H135">
        <v>82</v>
      </c>
      <c r="I135">
        <v>37</v>
      </c>
      <c r="J135">
        <v>136</v>
      </c>
      <c r="K135">
        <v>45</v>
      </c>
      <c r="L135" t="b">
        <v>0</v>
      </c>
      <c r="M135">
        <v>707.89</v>
      </c>
      <c r="N135">
        <v>96273.3</v>
      </c>
      <c r="O135" t="s">
        <v>98</v>
      </c>
      <c r="P135" t="str">
        <f>IF(J135=G135+H135-I135,"OK","Check")</f>
        <v>OK</v>
      </c>
      <c r="Q135" t="str">
        <f>IF(AND(J135&lt;=K135,L135=TRUE),"OK",IF(AND(J135&gt;K135,L135=FALSE),"OK","Check"))</f>
        <v>OK</v>
      </c>
      <c r="R135" t="str">
        <f>IF(ABS(N135-J135*M135)&lt;=J135*0.005+0.01,"OK","Check")</f>
        <v>OK</v>
      </c>
      <c r="S135" s="3">
        <f t="shared" si="2"/>
        <v>1</v>
      </c>
    </row>
    <row r="136" spans="1:19">
      <c r="A136" s="1">
        <v>46054</v>
      </c>
      <c r="B136" t="s">
        <v>244</v>
      </c>
      <c r="C136" t="s">
        <v>99</v>
      </c>
      <c r="D136" t="s">
        <v>100</v>
      </c>
      <c r="E136" t="s">
        <v>71</v>
      </c>
      <c r="F136" t="s">
        <v>23</v>
      </c>
      <c r="G136">
        <v>224</v>
      </c>
      <c r="H136">
        <v>348</v>
      </c>
      <c r="I136">
        <v>125</v>
      </c>
      <c r="J136">
        <v>447</v>
      </c>
      <c r="K136">
        <v>161</v>
      </c>
      <c r="L136" t="b">
        <v>0</v>
      </c>
      <c r="M136">
        <v>2976.72</v>
      </c>
      <c r="N136">
        <v>1330592.48</v>
      </c>
      <c r="O136" t="s">
        <v>47</v>
      </c>
      <c r="P136" t="str">
        <f>IF(J136=G136+H136-I136,"OK","Check")</f>
        <v>OK</v>
      </c>
      <c r="Q136" t="str">
        <f>IF(AND(J136&lt;=K136,L136=TRUE),"OK",IF(AND(J136&gt;K136,L136=FALSE),"OK","Check"))</f>
        <v>OK</v>
      </c>
      <c r="R136" t="str">
        <f>IF(ABS(N136-J136*M136)&lt;=J136*0.005+0.01,"OK","Check")</f>
        <v>OK</v>
      </c>
      <c r="S136" s="3">
        <f t="shared" si="2"/>
        <v>1</v>
      </c>
    </row>
    <row r="137" spans="1:19">
      <c r="A137" s="1">
        <v>46054</v>
      </c>
      <c r="B137" t="s">
        <v>244</v>
      </c>
      <c r="C137" t="s">
        <v>101</v>
      </c>
      <c r="D137" t="s">
        <v>102</v>
      </c>
      <c r="E137" t="s">
        <v>71</v>
      </c>
      <c r="F137" t="s">
        <v>23</v>
      </c>
      <c r="G137">
        <v>218</v>
      </c>
      <c r="H137">
        <v>0</v>
      </c>
      <c r="I137">
        <v>30</v>
      </c>
      <c r="J137">
        <v>188</v>
      </c>
      <c r="K137">
        <v>110</v>
      </c>
      <c r="L137" t="b">
        <v>0</v>
      </c>
      <c r="M137">
        <v>64.42</v>
      </c>
      <c r="N137">
        <v>12110.42</v>
      </c>
      <c r="O137" t="s">
        <v>32</v>
      </c>
      <c r="P137" t="str">
        <f>IF(J137=G137+H137-I137,"OK","Check")</f>
        <v>OK</v>
      </c>
      <c r="Q137" t="str">
        <f>IF(AND(J137&lt;=K137,L137=TRUE),"OK",IF(AND(J137&gt;K137,L137=FALSE),"OK","Check"))</f>
        <v>OK</v>
      </c>
      <c r="R137" t="str">
        <f>IF(ABS(N137-J137*M137)&lt;=J137*0.005+0.01,"OK","Check")</f>
        <v>OK</v>
      </c>
      <c r="S137" s="3">
        <f t="shared" si="2"/>
        <v>1</v>
      </c>
    </row>
    <row r="138" spans="1:19">
      <c r="A138" s="1">
        <v>46054</v>
      </c>
      <c r="B138" t="s">
        <v>244</v>
      </c>
      <c r="C138" t="s">
        <v>247</v>
      </c>
      <c r="D138" t="s">
        <v>248</v>
      </c>
      <c r="E138" t="s">
        <v>71</v>
      </c>
      <c r="F138" t="s">
        <v>23</v>
      </c>
      <c r="G138">
        <v>358</v>
      </c>
      <c r="H138">
        <v>0</v>
      </c>
      <c r="I138">
        <v>200</v>
      </c>
      <c r="J138">
        <v>158</v>
      </c>
      <c r="K138">
        <v>240</v>
      </c>
      <c r="L138" t="b">
        <v>1</v>
      </c>
      <c r="M138">
        <v>267.81</v>
      </c>
      <c r="N138">
        <v>42314.12</v>
      </c>
      <c r="O138" t="s">
        <v>32</v>
      </c>
      <c r="P138" t="str">
        <f>IF(J138=G138+H138-I138,"OK","Check")</f>
        <v>OK</v>
      </c>
      <c r="Q138" t="str">
        <f>IF(AND(J138&lt;=K138,L138=TRUE),"OK",IF(AND(J138&gt;K138,L138=FALSE),"OK","Check"))</f>
        <v>OK</v>
      </c>
      <c r="R138" t="str">
        <f>IF(ABS(N138-J138*M138)&lt;=J138*0.005+0.01,"OK","Check")</f>
        <v>OK</v>
      </c>
      <c r="S138" s="3">
        <f t="shared" si="2"/>
        <v>1</v>
      </c>
    </row>
    <row r="139" spans="1:19">
      <c r="A139" s="1">
        <v>46054</v>
      </c>
      <c r="B139" t="s">
        <v>244</v>
      </c>
      <c r="C139" t="s">
        <v>103</v>
      </c>
      <c r="D139" t="s">
        <v>104</v>
      </c>
      <c r="E139" t="s">
        <v>71</v>
      </c>
      <c r="F139" t="s">
        <v>23</v>
      </c>
      <c r="G139">
        <v>308</v>
      </c>
      <c r="H139">
        <v>0</v>
      </c>
      <c r="I139">
        <v>156</v>
      </c>
      <c r="J139">
        <v>152</v>
      </c>
      <c r="K139">
        <v>126</v>
      </c>
      <c r="L139" t="b">
        <v>0</v>
      </c>
      <c r="M139">
        <v>491.32</v>
      </c>
      <c r="N139">
        <v>74680.86</v>
      </c>
      <c r="O139" t="s">
        <v>98</v>
      </c>
      <c r="P139" t="str">
        <f>IF(J139=G139+H139-I139,"OK","Check")</f>
        <v>OK</v>
      </c>
      <c r="Q139" t="str">
        <f>IF(AND(J139&lt;=K139,L139=TRUE),"OK",IF(AND(J139&gt;K139,L139=FALSE),"OK","Check"))</f>
        <v>OK</v>
      </c>
      <c r="R139" t="str">
        <f>IF(ABS(N139-J139*M139)&lt;=J139*0.005+0.01,"OK","Check")</f>
        <v>OK</v>
      </c>
      <c r="S139" s="3">
        <f t="shared" si="2"/>
        <v>1</v>
      </c>
    </row>
    <row r="140" spans="1:19">
      <c r="A140" s="1">
        <v>46054</v>
      </c>
      <c r="B140" t="s">
        <v>244</v>
      </c>
      <c r="C140" t="s">
        <v>107</v>
      </c>
      <c r="D140" t="s">
        <v>108</v>
      </c>
      <c r="E140" t="s">
        <v>109</v>
      </c>
      <c r="F140" t="s">
        <v>110</v>
      </c>
      <c r="G140">
        <v>64</v>
      </c>
      <c r="H140">
        <v>0</v>
      </c>
      <c r="I140">
        <v>53</v>
      </c>
      <c r="J140">
        <v>11</v>
      </c>
      <c r="K140">
        <v>51</v>
      </c>
      <c r="L140" t="b">
        <v>1</v>
      </c>
      <c r="M140">
        <v>99.99</v>
      </c>
      <c r="N140">
        <v>1099.8800000000001</v>
      </c>
      <c r="O140" t="s">
        <v>24</v>
      </c>
      <c r="P140" t="str">
        <f>IF(J140=G140+H140-I140,"OK","Check")</f>
        <v>OK</v>
      </c>
      <c r="Q140" t="str">
        <f>IF(AND(J140&lt;=K140,L140=TRUE),"OK",IF(AND(J140&gt;K140,L140=FALSE),"OK","Check"))</f>
        <v>OK</v>
      </c>
      <c r="R140" t="str">
        <f>IF(ABS(N140-J140*M140)&lt;=J140*0.005+0.01,"OK","Check")</f>
        <v>OK</v>
      </c>
      <c r="S140" s="3">
        <f t="shared" si="2"/>
        <v>1</v>
      </c>
    </row>
    <row r="141" spans="1:19">
      <c r="A141" s="1">
        <v>46054</v>
      </c>
      <c r="B141" t="s">
        <v>244</v>
      </c>
      <c r="C141" t="s">
        <v>111</v>
      </c>
      <c r="D141" t="s">
        <v>112</v>
      </c>
      <c r="E141" t="s">
        <v>109</v>
      </c>
      <c r="F141" t="s">
        <v>110</v>
      </c>
      <c r="G141">
        <v>356</v>
      </c>
      <c r="H141">
        <v>0</v>
      </c>
      <c r="I141">
        <v>161</v>
      </c>
      <c r="J141">
        <v>195</v>
      </c>
      <c r="K141">
        <v>181</v>
      </c>
      <c r="L141" t="b">
        <v>0</v>
      </c>
      <c r="M141">
        <v>478.48</v>
      </c>
      <c r="N141">
        <v>93302.7</v>
      </c>
      <c r="O141" t="s">
        <v>98</v>
      </c>
      <c r="P141" t="str">
        <f>IF(J141=G141+H141-I141,"OK","Check")</f>
        <v>OK</v>
      </c>
      <c r="Q141" t="str">
        <f>IF(AND(J141&lt;=K141,L141=TRUE),"OK",IF(AND(J141&gt;K141,L141=FALSE),"OK","Check"))</f>
        <v>OK</v>
      </c>
      <c r="R141" t="str">
        <f>IF(ABS(N141-J141*M141)&lt;=J141*0.005+0.01,"OK","Check")</f>
        <v>OK</v>
      </c>
      <c r="S141" s="3">
        <f t="shared" si="2"/>
        <v>1</v>
      </c>
    </row>
    <row r="142" spans="1:19">
      <c r="A142" s="1">
        <v>46054</v>
      </c>
      <c r="B142" t="s">
        <v>244</v>
      </c>
      <c r="C142" t="s">
        <v>113</v>
      </c>
      <c r="D142" t="s">
        <v>114</v>
      </c>
      <c r="E142" t="s">
        <v>109</v>
      </c>
      <c r="F142" t="s">
        <v>110</v>
      </c>
      <c r="G142">
        <v>417</v>
      </c>
      <c r="H142">
        <v>412</v>
      </c>
      <c r="I142">
        <v>130</v>
      </c>
      <c r="J142">
        <v>699</v>
      </c>
      <c r="K142">
        <v>224</v>
      </c>
      <c r="L142" t="b">
        <v>0</v>
      </c>
      <c r="M142">
        <v>126.74</v>
      </c>
      <c r="N142">
        <v>88587.839999999997</v>
      </c>
      <c r="O142" t="s">
        <v>27</v>
      </c>
      <c r="P142" t="str">
        <f>IF(J142=G142+H142-I142,"OK","Check")</f>
        <v>OK</v>
      </c>
      <c r="Q142" t="str">
        <f>IF(AND(J142&lt;=K142,L142=TRUE),"OK",IF(AND(J142&gt;K142,L142=FALSE),"OK","Check"))</f>
        <v>OK</v>
      </c>
      <c r="R142" t="str">
        <f>IF(ABS(N142-J142*M142)&lt;=J142*0.005+0.01,"OK","Check")</f>
        <v>OK</v>
      </c>
      <c r="S142" s="3">
        <f t="shared" si="2"/>
        <v>1</v>
      </c>
    </row>
    <row r="143" spans="1:19">
      <c r="A143" s="1">
        <v>46054</v>
      </c>
      <c r="B143" t="s">
        <v>244</v>
      </c>
      <c r="C143" t="s">
        <v>117</v>
      </c>
      <c r="D143" t="s">
        <v>118</v>
      </c>
      <c r="E143" t="s">
        <v>109</v>
      </c>
      <c r="F143" t="s">
        <v>110</v>
      </c>
      <c r="G143">
        <v>315</v>
      </c>
      <c r="H143">
        <v>687</v>
      </c>
      <c r="I143">
        <v>264</v>
      </c>
      <c r="J143">
        <v>738</v>
      </c>
      <c r="K143">
        <v>283</v>
      </c>
      <c r="L143" t="b">
        <v>0</v>
      </c>
      <c r="M143">
        <v>41.19</v>
      </c>
      <c r="N143">
        <v>30396.49</v>
      </c>
      <c r="O143" t="s">
        <v>32</v>
      </c>
      <c r="P143" t="str">
        <f>IF(J143=G143+H143-I143,"OK","Check")</f>
        <v>OK</v>
      </c>
      <c r="Q143" t="str">
        <f>IF(AND(J143&lt;=K143,L143=TRUE),"OK",IF(AND(J143&gt;K143,L143=FALSE),"OK","Check"))</f>
        <v>OK</v>
      </c>
      <c r="R143" t="str">
        <f>IF(ABS(N143-J143*M143)&lt;=J143*0.005+0.01,"OK","Check")</f>
        <v>OK</v>
      </c>
      <c r="S143" s="3">
        <f t="shared" si="2"/>
        <v>1</v>
      </c>
    </row>
    <row r="144" spans="1:19">
      <c r="A144" s="1">
        <v>46054</v>
      </c>
      <c r="B144" t="s">
        <v>244</v>
      </c>
      <c r="C144" t="s">
        <v>119</v>
      </c>
      <c r="D144" t="s">
        <v>120</v>
      </c>
      <c r="E144" t="s">
        <v>109</v>
      </c>
      <c r="F144" t="s">
        <v>110</v>
      </c>
      <c r="G144">
        <v>267</v>
      </c>
      <c r="H144">
        <v>0</v>
      </c>
      <c r="I144">
        <v>124</v>
      </c>
      <c r="J144">
        <v>143</v>
      </c>
      <c r="K144">
        <v>161</v>
      </c>
      <c r="L144" t="b">
        <v>1</v>
      </c>
      <c r="M144">
        <v>182.41</v>
      </c>
      <c r="N144">
        <v>26084.22</v>
      </c>
      <c r="O144" t="s">
        <v>32</v>
      </c>
      <c r="P144" t="str">
        <f>IF(J144=G144+H144-I144,"OK","Check")</f>
        <v>OK</v>
      </c>
      <c r="Q144" t="str">
        <f>IF(AND(J144&lt;=K144,L144=TRUE),"OK",IF(AND(J144&gt;K144,L144=FALSE),"OK","Check"))</f>
        <v>OK</v>
      </c>
      <c r="R144" t="str">
        <f>IF(ABS(N144-J144*M144)&lt;=J144*0.005+0.01,"OK","Check")</f>
        <v>OK</v>
      </c>
      <c r="S144" s="3">
        <f t="shared" si="2"/>
        <v>1</v>
      </c>
    </row>
    <row r="145" spans="1:19">
      <c r="A145" s="1">
        <v>46054</v>
      </c>
      <c r="B145" t="s">
        <v>244</v>
      </c>
      <c r="C145" t="s">
        <v>125</v>
      </c>
      <c r="D145" t="s">
        <v>126</v>
      </c>
      <c r="E145" t="s">
        <v>109</v>
      </c>
      <c r="F145" t="s">
        <v>110</v>
      </c>
      <c r="G145">
        <v>348</v>
      </c>
      <c r="H145">
        <v>0</v>
      </c>
      <c r="I145">
        <v>156</v>
      </c>
      <c r="J145">
        <v>192</v>
      </c>
      <c r="K145">
        <v>231</v>
      </c>
      <c r="L145" t="b">
        <v>1</v>
      </c>
      <c r="M145">
        <v>125.33</v>
      </c>
      <c r="N145">
        <v>24063.48</v>
      </c>
      <c r="O145" t="s">
        <v>47</v>
      </c>
      <c r="P145" t="str">
        <f>IF(J145=G145+H145-I145,"OK","Check")</f>
        <v>OK</v>
      </c>
      <c r="Q145" t="str">
        <f>IF(AND(J145&lt;=K145,L145=TRUE),"OK",IF(AND(J145&gt;K145,L145=FALSE),"OK","Check"))</f>
        <v>OK</v>
      </c>
      <c r="R145" t="str">
        <f>IF(ABS(N145-J145*M145)&lt;=J145*0.005+0.01,"OK","Check")</f>
        <v>OK</v>
      </c>
      <c r="S145" s="3">
        <f t="shared" si="2"/>
        <v>1</v>
      </c>
    </row>
    <row r="146" spans="1:19">
      <c r="A146" s="1">
        <v>46054</v>
      </c>
      <c r="B146" t="s">
        <v>244</v>
      </c>
      <c r="C146" t="s">
        <v>127</v>
      </c>
      <c r="D146" t="s">
        <v>128</v>
      </c>
      <c r="E146" t="s">
        <v>109</v>
      </c>
      <c r="F146" t="s">
        <v>110</v>
      </c>
      <c r="G146">
        <v>360</v>
      </c>
      <c r="H146">
        <v>0</v>
      </c>
      <c r="I146">
        <v>154</v>
      </c>
      <c r="J146">
        <v>206</v>
      </c>
      <c r="K146">
        <v>118</v>
      </c>
      <c r="L146" t="b">
        <v>0</v>
      </c>
      <c r="M146">
        <v>585.62</v>
      </c>
      <c r="N146">
        <v>120637.62</v>
      </c>
      <c r="O146" t="s">
        <v>44</v>
      </c>
      <c r="P146" t="str">
        <f>IF(J146=G146+H146-I146,"OK","Check")</f>
        <v>OK</v>
      </c>
      <c r="Q146" t="str">
        <f>IF(AND(J146&lt;=K146,L146=TRUE),"OK",IF(AND(J146&gt;K146,L146=FALSE),"OK","Check"))</f>
        <v>OK</v>
      </c>
      <c r="R146" t="str">
        <f>IF(ABS(N146-J146*M146)&lt;=J146*0.005+0.01,"OK","Check")</f>
        <v>OK</v>
      </c>
      <c r="S146" s="3">
        <f t="shared" si="2"/>
        <v>1</v>
      </c>
    </row>
    <row r="147" spans="1:19">
      <c r="A147" s="1">
        <v>46054</v>
      </c>
      <c r="B147" t="s">
        <v>244</v>
      </c>
      <c r="C147" t="s">
        <v>129</v>
      </c>
      <c r="D147" t="s">
        <v>130</v>
      </c>
      <c r="E147" t="s">
        <v>109</v>
      </c>
      <c r="F147" t="s">
        <v>110</v>
      </c>
      <c r="G147">
        <v>175</v>
      </c>
      <c r="H147">
        <v>0</v>
      </c>
      <c r="I147">
        <v>110</v>
      </c>
      <c r="J147">
        <v>65</v>
      </c>
      <c r="K147">
        <v>104</v>
      </c>
      <c r="L147" t="b">
        <v>1</v>
      </c>
      <c r="M147">
        <v>438.61</v>
      </c>
      <c r="N147">
        <v>28509.91</v>
      </c>
      <c r="O147" t="s">
        <v>32</v>
      </c>
      <c r="P147" t="str">
        <f>IF(J147=G147+H147-I147,"OK","Check")</f>
        <v>OK</v>
      </c>
      <c r="Q147" t="str">
        <f>IF(AND(J147&lt;=K147,L147=TRUE),"OK",IF(AND(J147&gt;K147,L147=FALSE),"OK","Check"))</f>
        <v>OK</v>
      </c>
      <c r="R147" t="str">
        <f>IF(ABS(N147-J147*M147)&lt;=J147*0.005+0.01,"OK","Check")</f>
        <v>OK</v>
      </c>
      <c r="S147" s="3">
        <f t="shared" si="2"/>
        <v>1</v>
      </c>
    </row>
    <row r="148" spans="1:19">
      <c r="A148" s="1">
        <v>46054</v>
      </c>
      <c r="B148" t="s">
        <v>244</v>
      </c>
      <c r="C148" t="s">
        <v>131</v>
      </c>
      <c r="D148" t="s">
        <v>132</v>
      </c>
      <c r="E148" t="s">
        <v>109</v>
      </c>
      <c r="F148" t="s">
        <v>110</v>
      </c>
      <c r="G148">
        <v>203</v>
      </c>
      <c r="H148">
        <v>537</v>
      </c>
      <c r="I148">
        <v>169</v>
      </c>
      <c r="J148">
        <v>571</v>
      </c>
      <c r="K148">
        <v>208</v>
      </c>
      <c r="L148" t="b">
        <v>0</v>
      </c>
      <c r="M148">
        <v>1759.13</v>
      </c>
      <c r="N148">
        <v>1004462.12</v>
      </c>
      <c r="O148" t="s">
        <v>24</v>
      </c>
      <c r="P148" t="str">
        <f>IF(J148=G148+H148-I148,"OK","Check")</f>
        <v>OK</v>
      </c>
      <c r="Q148" t="str">
        <f>IF(AND(J148&lt;=K148,L148=TRUE),"OK",IF(AND(J148&gt;K148,L148=FALSE),"OK","Check"))</f>
        <v>OK</v>
      </c>
      <c r="R148" t="str">
        <f>IF(ABS(N148-J148*M148)&lt;=J148*0.005+0.01,"OK","Check")</f>
        <v>OK</v>
      </c>
      <c r="S148" s="3">
        <f t="shared" si="2"/>
        <v>1</v>
      </c>
    </row>
    <row r="149" spans="1:19">
      <c r="A149" s="1">
        <v>46054</v>
      </c>
      <c r="B149" t="s">
        <v>244</v>
      </c>
      <c r="C149" t="s">
        <v>133</v>
      </c>
      <c r="D149" t="s">
        <v>134</v>
      </c>
      <c r="E149" t="s">
        <v>109</v>
      </c>
      <c r="F149" t="s">
        <v>110</v>
      </c>
      <c r="G149">
        <v>110</v>
      </c>
      <c r="H149">
        <v>0</v>
      </c>
      <c r="I149">
        <v>38</v>
      </c>
      <c r="J149">
        <v>72</v>
      </c>
      <c r="K149">
        <v>58</v>
      </c>
      <c r="L149" t="b">
        <v>0</v>
      </c>
      <c r="M149">
        <v>21</v>
      </c>
      <c r="N149">
        <v>1511.8</v>
      </c>
      <c r="O149" t="s">
        <v>98</v>
      </c>
      <c r="P149" t="str">
        <f>IF(J149=G149+H149-I149,"OK","Check")</f>
        <v>OK</v>
      </c>
      <c r="Q149" t="str">
        <f>IF(AND(J149&lt;=K149,L149=TRUE),"OK",IF(AND(J149&gt;K149,L149=FALSE),"OK","Check"))</f>
        <v>OK</v>
      </c>
      <c r="R149" t="str">
        <f>IF(ABS(N149-J149*M149)&lt;=J149*0.005+0.01,"OK","Check")</f>
        <v>OK</v>
      </c>
      <c r="S149" s="3">
        <f t="shared" si="2"/>
        <v>1</v>
      </c>
    </row>
    <row r="150" spans="1:19">
      <c r="A150" s="1">
        <v>46054</v>
      </c>
      <c r="B150" t="s">
        <v>244</v>
      </c>
      <c r="C150" t="s">
        <v>135</v>
      </c>
      <c r="D150" t="s">
        <v>136</v>
      </c>
      <c r="E150" t="s">
        <v>109</v>
      </c>
      <c r="F150" t="s">
        <v>110</v>
      </c>
      <c r="G150">
        <v>283</v>
      </c>
      <c r="H150">
        <v>0</v>
      </c>
      <c r="I150">
        <v>162</v>
      </c>
      <c r="J150">
        <v>121</v>
      </c>
      <c r="K150">
        <v>171</v>
      </c>
      <c r="L150" t="b">
        <v>1</v>
      </c>
      <c r="M150">
        <v>96.61</v>
      </c>
      <c r="N150">
        <v>11689.68</v>
      </c>
      <c r="O150" t="s">
        <v>32</v>
      </c>
      <c r="P150" t="str">
        <f>IF(J150=G150+H150-I150,"OK","Check")</f>
        <v>OK</v>
      </c>
      <c r="Q150" t="str">
        <f>IF(AND(J150&lt;=K150,L150=TRUE),"OK",IF(AND(J150&gt;K150,L150=FALSE),"OK","Check"))</f>
        <v>OK</v>
      </c>
      <c r="R150" t="str">
        <f>IF(ABS(N150-J150*M150)&lt;=J150*0.005+0.01,"OK","Check")</f>
        <v>OK</v>
      </c>
      <c r="S150" s="3">
        <f t="shared" si="2"/>
        <v>1</v>
      </c>
    </row>
    <row r="151" spans="1:19">
      <c r="A151" s="1">
        <v>46054</v>
      </c>
      <c r="B151" t="s">
        <v>244</v>
      </c>
      <c r="C151" t="s">
        <v>137</v>
      </c>
      <c r="D151" t="s">
        <v>138</v>
      </c>
      <c r="E151" t="s">
        <v>109</v>
      </c>
      <c r="F151" t="s">
        <v>110</v>
      </c>
      <c r="G151">
        <v>315</v>
      </c>
      <c r="H151">
        <v>0</v>
      </c>
      <c r="I151">
        <v>149</v>
      </c>
      <c r="J151">
        <v>166</v>
      </c>
      <c r="K151">
        <v>149</v>
      </c>
      <c r="L151" t="b">
        <v>0</v>
      </c>
      <c r="M151">
        <v>57.4</v>
      </c>
      <c r="N151">
        <v>9528.23</v>
      </c>
      <c r="O151" t="s">
        <v>27</v>
      </c>
      <c r="P151" t="str">
        <f>IF(J151=G151+H151-I151,"OK","Check")</f>
        <v>OK</v>
      </c>
      <c r="Q151" t="str">
        <f>IF(AND(J151&lt;=K151,L151=TRUE),"OK",IF(AND(J151&gt;K151,L151=FALSE),"OK","Check"))</f>
        <v>OK</v>
      </c>
      <c r="R151" t="str">
        <f>IF(ABS(N151-J151*M151)&lt;=J151*0.005+0.01,"OK","Check")</f>
        <v>OK</v>
      </c>
      <c r="S151" s="3">
        <f t="shared" si="2"/>
        <v>1</v>
      </c>
    </row>
    <row r="152" spans="1:19">
      <c r="A152" s="1">
        <v>46054</v>
      </c>
      <c r="B152" t="s">
        <v>244</v>
      </c>
      <c r="C152" t="s">
        <v>141</v>
      </c>
      <c r="D152" t="s">
        <v>142</v>
      </c>
      <c r="E152" t="s">
        <v>109</v>
      </c>
      <c r="F152" t="s">
        <v>110</v>
      </c>
      <c r="G152">
        <v>359</v>
      </c>
      <c r="H152">
        <v>0</v>
      </c>
      <c r="I152">
        <v>133</v>
      </c>
      <c r="J152">
        <v>226</v>
      </c>
      <c r="K152">
        <v>175</v>
      </c>
      <c r="L152" t="b">
        <v>0</v>
      </c>
      <c r="M152">
        <v>81.819999999999993</v>
      </c>
      <c r="N152">
        <v>18490.759999999998</v>
      </c>
      <c r="O152" t="s">
        <v>37</v>
      </c>
      <c r="P152" t="str">
        <f>IF(J152=G152+H152-I152,"OK","Check")</f>
        <v>OK</v>
      </c>
      <c r="Q152" t="str">
        <f>IF(AND(J152&lt;=K152,L152=TRUE),"OK",IF(AND(J152&gt;K152,L152=FALSE),"OK","Check"))</f>
        <v>OK</v>
      </c>
      <c r="R152" t="str">
        <f>IF(ABS(N152-J152*M152)&lt;=J152*0.005+0.01,"OK","Check")</f>
        <v>OK</v>
      </c>
      <c r="S152" s="3">
        <f t="shared" si="2"/>
        <v>1</v>
      </c>
    </row>
    <row r="153" spans="1:19">
      <c r="A153" s="1">
        <v>46054</v>
      </c>
      <c r="B153" t="s">
        <v>244</v>
      </c>
      <c r="C153" t="s">
        <v>143</v>
      </c>
      <c r="D153" t="s">
        <v>144</v>
      </c>
      <c r="E153" t="s">
        <v>109</v>
      </c>
      <c r="F153" t="s">
        <v>110</v>
      </c>
      <c r="G153">
        <v>97</v>
      </c>
      <c r="H153">
        <v>216</v>
      </c>
      <c r="I153">
        <v>86</v>
      </c>
      <c r="J153">
        <v>227</v>
      </c>
      <c r="K153">
        <v>117</v>
      </c>
      <c r="L153" t="b">
        <v>0</v>
      </c>
      <c r="M153">
        <v>397.56</v>
      </c>
      <c r="N153">
        <v>90245.56</v>
      </c>
      <c r="O153" t="s">
        <v>24</v>
      </c>
      <c r="P153" t="str">
        <f>IF(J153=G153+H153-I153,"OK","Check")</f>
        <v>OK</v>
      </c>
      <c r="Q153" t="str">
        <f>IF(AND(J153&lt;=K153,L153=TRUE),"OK",IF(AND(J153&gt;K153,L153=FALSE),"OK","Check"))</f>
        <v>OK</v>
      </c>
      <c r="R153" t="str">
        <f>IF(ABS(N153-J153*M153)&lt;=J153*0.005+0.01,"OK","Check")</f>
        <v>OK</v>
      </c>
      <c r="S153" s="3">
        <f t="shared" si="2"/>
        <v>1</v>
      </c>
    </row>
    <row r="154" spans="1:19">
      <c r="A154" s="1">
        <v>46054</v>
      </c>
      <c r="B154" t="s">
        <v>244</v>
      </c>
      <c r="C154" t="s">
        <v>145</v>
      </c>
      <c r="D154" t="s">
        <v>146</v>
      </c>
      <c r="E154" t="s">
        <v>109</v>
      </c>
      <c r="F154" t="s">
        <v>110</v>
      </c>
      <c r="G154">
        <v>88</v>
      </c>
      <c r="H154">
        <v>190</v>
      </c>
      <c r="I154">
        <v>53</v>
      </c>
      <c r="J154">
        <v>225</v>
      </c>
      <c r="K154">
        <v>52</v>
      </c>
      <c r="L154" t="b">
        <v>0</v>
      </c>
      <c r="M154">
        <v>62.77</v>
      </c>
      <c r="N154">
        <v>14122.26</v>
      </c>
      <c r="O154" t="s">
        <v>37</v>
      </c>
      <c r="P154" t="str">
        <f>IF(J154=G154+H154-I154,"OK","Check")</f>
        <v>OK</v>
      </c>
      <c r="Q154" t="str">
        <f>IF(AND(J154&lt;=K154,L154=TRUE),"OK",IF(AND(J154&gt;K154,L154=FALSE),"OK","Check"))</f>
        <v>OK</v>
      </c>
      <c r="R154" t="str">
        <f>IF(ABS(N154-J154*M154)&lt;=J154*0.005+0.01,"OK","Check")</f>
        <v>OK</v>
      </c>
      <c r="S154" s="3">
        <f t="shared" si="2"/>
        <v>1</v>
      </c>
    </row>
    <row r="155" spans="1:19">
      <c r="A155" s="1">
        <v>46054</v>
      </c>
      <c r="B155" t="s">
        <v>244</v>
      </c>
      <c r="C155" t="s">
        <v>147</v>
      </c>
      <c r="D155" t="s">
        <v>148</v>
      </c>
      <c r="E155" t="s">
        <v>109</v>
      </c>
      <c r="F155" t="s">
        <v>110</v>
      </c>
      <c r="G155">
        <v>22</v>
      </c>
      <c r="H155">
        <v>49</v>
      </c>
      <c r="I155">
        <v>20</v>
      </c>
      <c r="J155">
        <v>51</v>
      </c>
      <c r="K155">
        <v>21</v>
      </c>
      <c r="L155" t="b">
        <v>0</v>
      </c>
      <c r="M155">
        <v>291.83999999999997</v>
      </c>
      <c r="N155">
        <v>14883.66</v>
      </c>
      <c r="O155" t="s">
        <v>98</v>
      </c>
      <c r="P155" t="str">
        <f>IF(J155=G155+H155-I155,"OK","Check")</f>
        <v>OK</v>
      </c>
      <c r="Q155" t="str">
        <f>IF(AND(J155&lt;=K155,L155=TRUE),"OK",IF(AND(J155&gt;K155,L155=FALSE),"OK","Check"))</f>
        <v>OK</v>
      </c>
      <c r="R155" t="str">
        <f>IF(ABS(N155-J155*M155)&lt;=J155*0.005+0.01,"OK","Check")</f>
        <v>OK</v>
      </c>
      <c r="S155" s="3">
        <f t="shared" si="2"/>
        <v>1</v>
      </c>
    </row>
    <row r="156" spans="1:19">
      <c r="A156" s="1">
        <v>46054</v>
      </c>
      <c r="B156" t="s">
        <v>244</v>
      </c>
      <c r="C156" t="s">
        <v>149</v>
      </c>
      <c r="D156" t="s">
        <v>150</v>
      </c>
      <c r="E156" t="s">
        <v>151</v>
      </c>
      <c r="F156" t="s">
        <v>23</v>
      </c>
      <c r="G156">
        <v>424</v>
      </c>
      <c r="H156">
        <v>0</v>
      </c>
      <c r="I156">
        <v>192</v>
      </c>
      <c r="J156">
        <v>232</v>
      </c>
      <c r="K156">
        <v>183</v>
      </c>
      <c r="L156" t="b">
        <v>0</v>
      </c>
      <c r="M156">
        <v>275.92</v>
      </c>
      <c r="N156">
        <v>64014</v>
      </c>
      <c r="O156" t="s">
        <v>32</v>
      </c>
      <c r="P156" t="str">
        <f>IF(J156=G156+H156-I156,"OK","Check")</f>
        <v>OK</v>
      </c>
      <c r="Q156" t="str">
        <f>IF(AND(J156&lt;=K156,L156=TRUE),"OK",IF(AND(J156&gt;K156,L156=FALSE),"OK","Check"))</f>
        <v>OK</v>
      </c>
      <c r="R156" t="str">
        <f>IF(ABS(N156-J156*M156)&lt;=J156*0.005+0.01,"OK","Check")</f>
        <v>OK</v>
      </c>
      <c r="S156" s="3">
        <f t="shared" si="2"/>
        <v>1</v>
      </c>
    </row>
    <row r="157" spans="1:19">
      <c r="A157" s="1">
        <v>46054</v>
      </c>
      <c r="B157" t="s">
        <v>244</v>
      </c>
      <c r="C157" t="s">
        <v>152</v>
      </c>
      <c r="D157" t="s">
        <v>153</v>
      </c>
      <c r="E157" t="s">
        <v>151</v>
      </c>
      <c r="F157" t="s">
        <v>23</v>
      </c>
      <c r="G157">
        <v>32</v>
      </c>
      <c r="H157">
        <v>79</v>
      </c>
      <c r="I157">
        <v>43</v>
      </c>
      <c r="J157">
        <v>68</v>
      </c>
      <c r="K157">
        <v>41</v>
      </c>
      <c r="L157" t="b">
        <v>0</v>
      </c>
      <c r="M157">
        <v>1080.8800000000001</v>
      </c>
      <c r="N157">
        <v>73500.039999999994</v>
      </c>
      <c r="O157" t="s">
        <v>98</v>
      </c>
      <c r="P157" t="str">
        <f>IF(J157=G157+H157-I157,"OK","Check")</f>
        <v>OK</v>
      </c>
      <c r="Q157" t="str">
        <f>IF(AND(J157&lt;=K157,L157=TRUE),"OK",IF(AND(J157&gt;K157,L157=FALSE),"OK","Check"))</f>
        <v>OK</v>
      </c>
      <c r="R157" t="str">
        <f>IF(ABS(N157-J157*M157)&lt;=J157*0.005+0.01,"OK","Check")</f>
        <v>OK</v>
      </c>
      <c r="S157" s="3">
        <f t="shared" si="2"/>
        <v>1</v>
      </c>
    </row>
    <row r="158" spans="1:19">
      <c r="A158" s="1">
        <v>46054</v>
      </c>
      <c r="B158" t="s">
        <v>244</v>
      </c>
      <c r="C158" t="s">
        <v>154</v>
      </c>
      <c r="D158" t="s">
        <v>155</v>
      </c>
      <c r="E158" t="s">
        <v>151</v>
      </c>
      <c r="F158" t="s">
        <v>23</v>
      </c>
      <c r="G158">
        <v>438</v>
      </c>
      <c r="H158">
        <v>0</v>
      </c>
      <c r="I158">
        <v>209</v>
      </c>
      <c r="J158">
        <v>229</v>
      </c>
      <c r="K158">
        <v>286</v>
      </c>
      <c r="L158" t="b">
        <v>1</v>
      </c>
      <c r="M158">
        <v>324.7</v>
      </c>
      <c r="N158">
        <v>74355.75</v>
      </c>
      <c r="O158" t="s">
        <v>60</v>
      </c>
      <c r="P158" t="str">
        <f>IF(J158=G158+H158-I158,"OK","Check")</f>
        <v>OK</v>
      </c>
      <c r="Q158" t="str">
        <f>IF(AND(J158&lt;=K158,L158=TRUE),"OK",IF(AND(J158&gt;K158,L158=FALSE),"OK","Check"))</f>
        <v>OK</v>
      </c>
      <c r="R158" t="str">
        <f>IF(ABS(N158-J158*M158)&lt;=J158*0.005+0.01,"OK","Check")</f>
        <v>OK</v>
      </c>
      <c r="S158" s="3">
        <f t="shared" si="2"/>
        <v>1</v>
      </c>
    </row>
    <row r="159" spans="1:19">
      <c r="A159" s="1">
        <v>46054</v>
      </c>
      <c r="B159" t="s">
        <v>244</v>
      </c>
      <c r="C159" t="s">
        <v>156</v>
      </c>
      <c r="D159" t="s">
        <v>157</v>
      </c>
      <c r="E159" t="s">
        <v>151</v>
      </c>
      <c r="F159" t="s">
        <v>23</v>
      </c>
      <c r="G159">
        <v>197</v>
      </c>
      <c r="H159">
        <v>501</v>
      </c>
      <c r="I159">
        <v>191</v>
      </c>
      <c r="J159">
        <v>507</v>
      </c>
      <c r="K159">
        <v>175</v>
      </c>
      <c r="L159" t="b">
        <v>0</v>
      </c>
      <c r="M159">
        <v>1330.94</v>
      </c>
      <c r="N159">
        <v>674786.67</v>
      </c>
      <c r="O159" t="s">
        <v>32</v>
      </c>
      <c r="P159" t="str">
        <f>IF(J159=G159+H159-I159,"OK","Check")</f>
        <v>OK</v>
      </c>
      <c r="Q159" t="str">
        <f>IF(AND(J159&lt;=K159,L159=TRUE),"OK",IF(AND(J159&gt;K159,L159=FALSE),"OK","Check"))</f>
        <v>OK</v>
      </c>
      <c r="R159" t="str">
        <f>IF(ABS(N159-J159*M159)&lt;=J159*0.005+0.01,"OK","Check")</f>
        <v>OK</v>
      </c>
      <c r="S159" s="3">
        <f t="shared" si="2"/>
        <v>1</v>
      </c>
    </row>
    <row r="160" spans="1:19">
      <c r="A160" s="1">
        <v>46054</v>
      </c>
      <c r="B160" t="s">
        <v>244</v>
      </c>
      <c r="C160" t="s">
        <v>158</v>
      </c>
      <c r="D160" t="s">
        <v>159</v>
      </c>
      <c r="E160" t="s">
        <v>151</v>
      </c>
      <c r="F160" t="s">
        <v>23</v>
      </c>
      <c r="G160">
        <v>182</v>
      </c>
      <c r="H160">
        <v>205</v>
      </c>
      <c r="I160">
        <v>29</v>
      </c>
      <c r="J160">
        <v>358</v>
      </c>
      <c r="K160">
        <v>111</v>
      </c>
      <c r="L160" t="b">
        <v>0</v>
      </c>
      <c r="M160">
        <v>47.99</v>
      </c>
      <c r="N160">
        <v>17179.79</v>
      </c>
      <c r="O160" t="s">
        <v>37</v>
      </c>
      <c r="P160" t="str">
        <f>IF(J160=G160+H160-I160,"OK","Check")</f>
        <v>OK</v>
      </c>
      <c r="Q160" t="str">
        <f>IF(AND(J160&lt;=K160,L160=TRUE),"OK",IF(AND(J160&gt;K160,L160=FALSE),"OK","Check"))</f>
        <v>OK</v>
      </c>
      <c r="R160" t="str">
        <f>IF(ABS(N160-J160*M160)&lt;=J160*0.005+0.01,"OK","Check")</f>
        <v>OK</v>
      </c>
      <c r="S160" s="3">
        <f t="shared" si="2"/>
        <v>1</v>
      </c>
    </row>
    <row r="161" spans="1:19">
      <c r="A161" s="1">
        <v>46054</v>
      </c>
      <c r="B161" t="s">
        <v>244</v>
      </c>
      <c r="C161" t="s">
        <v>160</v>
      </c>
      <c r="D161" t="s">
        <v>161</v>
      </c>
      <c r="E161" t="s">
        <v>151</v>
      </c>
      <c r="F161" t="s">
        <v>23</v>
      </c>
      <c r="G161">
        <v>547</v>
      </c>
      <c r="H161">
        <v>0</v>
      </c>
      <c r="I161">
        <v>168</v>
      </c>
      <c r="J161">
        <v>379</v>
      </c>
      <c r="K161">
        <v>175</v>
      </c>
      <c r="L161" t="b">
        <v>0</v>
      </c>
      <c r="M161">
        <v>196.37</v>
      </c>
      <c r="N161">
        <v>74425.48</v>
      </c>
      <c r="O161" t="s">
        <v>24</v>
      </c>
      <c r="P161" t="str">
        <f>IF(J161=G161+H161-I161,"OK","Check")</f>
        <v>OK</v>
      </c>
      <c r="Q161" t="str">
        <f>IF(AND(J161&lt;=K161,L161=TRUE),"OK",IF(AND(J161&gt;K161,L161=FALSE),"OK","Check"))</f>
        <v>OK</v>
      </c>
      <c r="R161" t="str">
        <f>IF(ABS(N161-J161*M161)&lt;=J161*0.005+0.01,"OK","Check")</f>
        <v>OK</v>
      </c>
      <c r="S161" s="3">
        <f t="shared" si="2"/>
        <v>1</v>
      </c>
    </row>
    <row r="162" spans="1:19">
      <c r="A162" s="1">
        <v>46054</v>
      </c>
      <c r="B162" t="s">
        <v>244</v>
      </c>
      <c r="C162" t="s">
        <v>162</v>
      </c>
      <c r="D162" t="s">
        <v>163</v>
      </c>
      <c r="E162" t="s">
        <v>151</v>
      </c>
      <c r="F162" t="s">
        <v>23</v>
      </c>
      <c r="G162">
        <v>243</v>
      </c>
      <c r="H162">
        <v>0</v>
      </c>
      <c r="I162">
        <v>99</v>
      </c>
      <c r="J162">
        <v>144</v>
      </c>
      <c r="K162">
        <v>158</v>
      </c>
      <c r="L162" t="b">
        <v>1</v>
      </c>
      <c r="M162">
        <v>202.03</v>
      </c>
      <c r="N162">
        <v>29092.54</v>
      </c>
      <c r="O162" t="s">
        <v>37</v>
      </c>
      <c r="P162" t="str">
        <f>IF(J162=G162+H162-I162,"OK","Check")</f>
        <v>OK</v>
      </c>
      <c r="Q162" t="str">
        <f>IF(AND(J162&lt;=K162,L162=TRUE),"OK",IF(AND(J162&gt;K162,L162=FALSE),"OK","Check"))</f>
        <v>OK</v>
      </c>
      <c r="R162" t="str">
        <f>IF(ABS(N162-J162*M162)&lt;=J162*0.005+0.01,"OK","Check")</f>
        <v>OK</v>
      </c>
      <c r="S162" s="3">
        <f t="shared" si="2"/>
        <v>1</v>
      </c>
    </row>
    <row r="163" spans="1:19">
      <c r="A163" s="1">
        <v>46054</v>
      </c>
      <c r="B163" t="s">
        <v>244</v>
      </c>
      <c r="C163" t="s">
        <v>164</v>
      </c>
      <c r="D163" t="s">
        <v>165</v>
      </c>
      <c r="E163" t="s">
        <v>151</v>
      </c>
      <c r="F163" t="s">
        <v>23</v>
      </c>
      <c r="G163">
        <v>113</v>
      </c>
      <c r="H163">
        <v>0</v>
      </c>
      <c r="I163">
        <v>97</v>
      </c>
      <c r="J163">
        <v>16</v>
      </c>
      <c r="K163">
        <v>87</v>
      </c>
      <c r="L163" t="b">
        <v>1</v>
      </c>
      <c r="M163">
        <v>968.03</v>
      </c>
      <c r="N163">
        <v>15488.41</v>
      </c>
      <c r="O163" t="s">
        <v>98</v>
      </c>
      <c r="P163" t="str">
        <f>IF(J163=G163+H163-I163,"OK","Check")</f>
        <v>OK</v>
      </c>
      <c r="Q163" t="str">
        <f>IF(AND(J163&lt;=K163,L163=TRUE),"OK",IF(AND(J163&gt;K163,L163=FALSE),"OK","Check"))</f>
        <v>OK</v>
      </c>
      <c r="R163" t="str">
        <f>IF(ABS(N163-J163*M163)&lt;=J163*0.005+0.01,"OK","Check")</f>
        <v>OK</v>
      </c>
      <c r="S163" s="3">
        <f t="shared" si="2"/>
        <v>1</v>
      </c>
    </row>
    <row r="164" spans="1:19">
      <c r="A164" s="1">
        <v>46054</v>
      </c>
      <c r="B164" t="s">
        <v>244</v>
      </c>
      <c r="C164" t="s">
        <v>166</v>
      </c>
      <c r="D164" t="s">
        <v>167</v>
      </c>
      <c r="E164" t="s">
        <v>151</v>
      </c>
      <c r="F164" t="s">
        <v>23</v>
      </c>
      <c r="G164">
        <v>107</v>
      </c>
      <c r="H164">
        <v>0</v>
      </c>
      <c r="I164">
        <v>56</v>
      </c>
      <c r="J164">
        <v>51</v>
      </c>
      <c r="K164">
        <v>44</v>
      </c>
      <c r="L164" t="b">
        <v>0</v>
      </c>
      <c r="M164">
        <v>135.78</v>
      </c>
      <c r="N164">
        <v>6924.91</v>
      </c>
      <c r="O164" t="s">
        <v>44</v>
      </c>
      <c r="P164" t="str">
        <f>IF(J164=G164+H164-I164,"OK","Check")</f>
        <v>OK</v>
      </c>
      <c r="Q164" t="str">
        <f>IF(AND(J164&lt;=K164,L164=TRUE),"OK",IF(AND(J164&gt;K164,L164=FALSE),"OK","Check"))</f>
        <v>OK</v>
      </c>
      <c r="R164" t="str">
        <f>IF(ABS(N164-J164*M164)&lt;=J164*0.005+0.01,"OK","Check")</f>
        <v>OK</v>
      </c>
      <c r="S164" s="3">
        <f t="shared" si="2"/>
        <v>1</v>
      </c>
    </row>
    <row r="165" spans="1:19">
      <c r="A165" s="1">
        <v>46054</v>
      </c>
      <c r="B165" t="s">
        <v>244</v>
      </c>
      <c r="C165" t="s">
        <v>249</v>
      </c>
      <c r="D165" t="s">
        <v>250</v>
      </c>
      <c r="E165" t="s">
        <v>151</v>
      </c>
      <c r="F165" t="s">
        <v>23</v>
      </c>
      <c r="G165">
        <v>431</v>
      </c>
      <c r="H165">
        <v>0</v>
      </c>
      <c r="I165">
        <v>206</v>
      </c>
      <c r="J165">
        <v>225</v>
      </c>
      <c r="K165">
        <v>225</v>
      </c>
      <c r="L165" t="b">
        <v>0</v>
      </c>
      <c r="M165">
        <v>610.03</v>
      </c>
      <c r="N165">
        <v>137257.07</v>
      </c>
      <c r="O165" t="s">
        <v>32</v>
      </c>
      <c r="P165" t="str">
        <f>IF(J165=G165+H165-I165,"OK","Check")</f>
        <v>OK</v>
      </c>
      <c r="Q165" t="str">
        <f>IF(AND(J165&lt;=K165,L165=TRUE),"OK",IF(AND(J165&gt;K165,L165=FALSE),"OK","Check"))</f>
        <v>Check</v>
      </c>
      <c r="R165" t="str">
        <f>IF(ABS(N165-J165*M165)&lt;=J165*0.005+0.01,"OK","Check")</f>
        <v>OK</v>
      </c>
      <c r="S165" s="3">
        <f t="shared" si="2"/>
        <v>1</v>
      </c>
    </row>
    <row r="166" spans="1:19">
      <c r="A166" s="1">
        <v>46054</v>
      </c>
      <c r="B166" t="s">
        <v>244</v>
      </c>
      <c r="C166" t="s">
        <v>168</v>
      </c>
      <c r="D166" t="s">
        <v>169</v>
      </c>
      <c r="E166" t="s">
        <v>151</v>
      </c>
      <c r="F166" t="s">
        <v>23</v>
      </c>
      <c r="G166">
        <v>99</v>
      </c>
      <c r="H166">
        <v>0</v>
      </c>
      <c r="I166">
        <v>38</v>
      </c>
      <c r="J166">
        <v>61</v>
      </c>
      <c r="K166">
        <v>42</v>
      </c>
      <c r="L166" t="b">
        <v>0</v>
      </c>
      <c r="M166">
        <v>683.83</v>
      </c>
      <c r="N166">
        <v>41713.51</v>
      </c>
      <c r="O166" t="s">
        <v>27</v>
      </c>
      <c r="P166" t="str">
        <f>IF(J166=G166+H166-I166,"OK","Check")</f>
        <v>OK</v>
      </c>
      <c r="Q166" t="str">
        <f>IF(AND(J166&lt;=K166,L166=TRUE),"OK",IF(AND(J166&gt;K166,L166=FALSE),"OK","Check"))</f>
        <v>OK</v>
      </c>
      <c r="R166" t="str">
        <f>IF(ABS(N166-J166*M166)&lt;=J166*0.005+0.01,"OK","Check")</f>
        <v>OK</v>
      </c>
      <c r="S166" s="3">
        <f t="shared" si="2"/>
        <v>1</v>
      </c>
    </row>
    <row r="167" spans="1:19">
      <c r="A167" s="1">
        <v>46054</v>
      </c>
      <c r="B167" t="s">
        <v>244</v>
      </c>
      <c r="C167" t="s">
        <v>170</v>
      </c>
      <c r="D167" t="s">
        <v>171</v>
      </c>
      <c r="E167" t="s">
        <v>151</v>
      </c>
      <c r="F167" t="s">
        <v>23</v>
      </c>
      <c r="G167">
        <v>380</v>
      </c>
      <c r="H167">
        <v>0</v>
      </c>
      <c r="I167">
        <v>102</v>
      </c>
      <c r="J167">
        <v>278</v>
      </c>
      <c r="K167">
        <v>138</v>
      </c>
      <c r="L167" t="b">
        <v>0</v>
      </c>
      <c r="M167">
        <v>2986.48</v>
      </c>
      <c r="N167">
        <v>830241.99</v>
      </c>
      <c r="O167" t="s">
        <v>47</v>
      </c>
      <c r="P167" t="str">
        <f>IF(J167=G167+H167-I167,"OK","Check")</f>
        <v>OK</v>
      </c>
      <c r="Q167" t="str">
        <f>IF(AND(J167&lt;=K167,L167=TRUE),"OK",IF(AND(J167&gt;K167,L167=FALSE),"OK","Check"))</f>
        <v>OK</v>
      </c>
      <c r="R167" t="str">
        <f>IF(ABS(N167-J167*M167)&lt;=J167*0.005+0.01,"OK","Check")</f>
        <v>OK</v>
      </c>
      <c r="S167" s="3">
        <f t="shared" si="2"/>
        <v>1</v>
      </c>
    </row>
    <row r="168" spans="1:19">
      <c r="A168" s="1">
        <v>46054</v>
      </c>
      <c r="B168" t="s">
        <v>244</v>
      </c>
      <c r="C168" t="s">
        <v>172</v>
      </c>
      <c r="D168" t="s">
        <v>173</v>
      </c>
      <c r="E168" t="s">
        <v>151</v>
      </c>
      <c r="F168" t="s">
        <v>23</v>
      </c>
      <c r="G168">
        <v>321</v>
      </c>
      <c r="H168">
        <v>0</v>
      </c>
      <c r="I168">
        <v>245</v>
      </c>
      <c r="J168">
        <v>76</v>
      </c>
      <c r="K168">
        <v>225</v>
      </c>
      <c r="L168" t="b">
        <v>1</v>
      </c>
      <c r="M168">
        <v>520.72</v>
      </c>
      <c r="N168">
        <v>39574.629999999997</v>
      </c>
      <c r="O168" t="s">
        <v>24</v>
      </c>
      <c r="P168" t="str">
        <f>IF(J168=G168+H168-I168,"OK","Check")</f>
        <v>OK</v>
      </c>
      <c r="Q168" t="str">
        <f>IF(AND(J168&lt;=K168,L168=TRUE),"OK",IF(AND(J168&gt;K168,L168=FALSE),"OK","Check"))</f>
        <v>OK</v>
      </c>
      <c r="R168" t="str">
        <f>IF(ABS(N168-J168*M168)&lt;=J168*0.005+0.01,"OK","Check")</f>
        <v>OK</v>
      </c>
      <c r="S168" s="3">
        <f t="shared" si="2"/>
        <v>1</v>
      </c>
    </row>
    <row r="169" spans="1:19">
      <c r="A169" s="1">
        <v>46054</v>
      </c>
      <c r="B169" t="s">
        <v>244</v>
      </c>
      <c r="C169" t="s">
        <v>174</v>
      </c>
      <c r="D169" t="s">
        <v>175</v>
      </c>
      <c r="E169" t="s">
        <v>151</v>
      </c>
      <c r="F169" t="s">
        <v>23</v>
      </c>
      <c r="G169">
        <v>293</v>
      </c>
      <c r="H169">
        <v>0</v>
      </c>
      <c r="I169">
        <v>120</v>
      </c>
      <c r="J169">
        <v>173</v>
      </c>
      <c r="K169">
        <v>162</v>
      </c>
      <c r="L169" t="b">
        <v>0</v>
      </c>
      <c r="M169">
        <v>2368.85</v>
      </c>
      <c r="N169">
        <v>409811.3</v>
      </c>
      <c r="O169" t="s">
        <v>27</v>
      </c>
      <c r="P169" t="str">
        <f>IF(J169=G169+H169-I169,"OK","Check")</f>
        <v>OK</v>
      </c>
      <c r="Q169" t="str">
        <f>IF(AND(J169&lt;=K169,L169=TRUE),"OK",IF(AND(J169&gt;K169,L169=FALSE),"OK","Check"))</f>
        <v>OK</v>
      </c>
      <c r="R169" t="str">
        <f>IF(ABS(N169-J169*M169)&lt;=J169*0.005+0.01,"OK","Check")</f>
        <v>OK</v>
      </c>
      <c r="S169" s="3">
        <f t="shared" si="2"/>
        <v>1</v>
      </c>
    </row>
    <row r="170" spans="1:19">
      <c r="A170" s="1">
        <v>46054</v>
      </c>
      <c r="B170" t="s">
        <v>244</v>
      </c>
      <c r="C170" t="s">
        <v>176</v>
      </c>
      <c r="D170" t="s">
        <v>177</v>
      </c>
      <c r="E170" t="s">
        <v>151</v>
      </c>
      <c r="F170" t="s">
        <v>23</v>
      </c>
      <c r="G170">
        <v>163</v>
      </c>
      <c r="H170">
        <v>0</v>
      </c>
      <c r="I170">
        <v>163</v>
      </c>
      <c r="J170">
        <v>0</v>
      </c>
      <c r="K170">
        <v>130</v>
      </c>
      <c r="L170" t="b">
        <v>1</v>
      </c>
      <c r="M170">
        <v>69.19</v>
      </c>
      <c r="N170">
        <v>0</v>
      </c>
      <c r="O170" t="s">
        <v>27</v>
      </c>
      <c r="P170" t="str">
        <f>IF(J170=G170+H170-I170,"OK","Check")</f>
        <v>OK</v>
      </c>
      <c r="Q170" t="str">
        <f>IF(AND(J170&lt;=K170,L170=TRUE),"OK",IF(AND(J170&gt;K170,L170=FALSE),"OK","Check"))</f>
        <v>OK</v>
      </c>
      <c r="R170" t="str">
        <f>IF(ABS(N170-J170*M170)&lt;=J170*0.005+0.01,"OK","Check")</f>
        <v>OK</v>
      </c>
      <c r="S170" s="3">
        <f t="shared" si="2"/>
        <v>1</v>
      </c>
    </row>
    <row r="171" spans="1:19">
      <c r="A171" s="1">
        <v>46054</v>
      </c>
      <c r="B171" t="s">
        <v>244</v>
      </c>
      <c r="C171" t="s">
        <v>178</v>
      </c>
      <c r="D171" t="s">
        <v>179</v>
      </c>
      <c r="E171" t="s">
        <v>151</v>
      </c>
      <c r="F171" t="s">
        <v>23</v>
      </c>
      <c r="G171">
        <v>85</v>
      </c>
      <c r="H171">
        <v>183</v>
      </c>
      <c r="I171">
        <v>76</v>
      </c>
      <c r="J171">
        <v>192</v>
      </c>
      <c r="K171">
        <v>76</v>
      </c>
      <c r="L171" t="b">
        <v>0</v>
      </c>
      <c r="M171">
        <v>322.47000000000003</v>
      </c>
      <c r="N171">
        <v>61914.720000000001</v>
      </c>
      <c r="O171" t="s">
        <v>32</v>
      </c>
      <c r="P171" t="str">
        <f>IF(J171=G171+H171-I171,"OK","Check")</f>
        <v>OK</v>
      </c>
      <c r="Q171" t="str">
        <f>IF(AND(J171&lt;=K171,L171=TRUE),"OK",IF(AND(J171&gt;K171,L171=FALSE),"OK","Check"))</f>
        <v>OK</v>
      </c>
      <c r="R171" t="str">
        <f>IF(ABS(N171-J171*M171)&lt;=J171*0.005+0.01,"OK","Check")</f>
        <v>OK</v>
      </c>
      <c r="S171" s="3">
        <f t="shared" si="2"/>
        <v>1</v>
      </c>
    </row>
    <row r="172" spans="1:19">
      <c r="A172" s="1">
        <v>46054</v>
      </c>
      <c r="B172" t="s">
        <v>244</v>
      </c>
      <c r="C172" t="s">
        <v>182</v>
      </c>
      <c r="D172" t="s">
        <v>183</v>
      </c>
      <c r="E172" t="s">
        <v>151</v>
      </c>
      <c r="F172" t="s">
        <v>23</v>
      </c>
      <c r="G172">
        <v>87</v>
      </c>
      <c r="H172">
        <v>265</v>
      </c>
      <c r="I172">
        <v>96</v>
      </c>
      <c r="J172">
        <v>256</v>
      </c>
      <c r="K172">
        <v>87</v>
      </c>
      <c r="L172" t="b">
        <v>0</v>
      </c>
      <c r="M172">
        <v>269.77999999999997</v>
      </c>
      <c r="N172">
        <v>69064.67</v>
      </c>
      <c r="O172" t="s">
        <v>32</v>
      </c>
      <c r="P172" t="str">
        <f>IF(J172=G172+H172-I172,"OK","Check")</f>
        <v>OK</v>
      </c>
      <c r="Q172" t="str">
        <f>IF(AND(J172&lt;=K172,L172=TRUE),"OK",IF(AND(J172&gt;K172,L172=FALSE),"OK","Check"))</f>
        <v>OK</v>
      </c>
      <c r="R172" t="str">
        <f>IF(ABS(N172-J172*M172)&lt;=J172*0.005+0.01,"OK","Check")</f>
        <v>OK</v>
      </c>
      <c r="S172" s="3">
        <f t="shared" si="2"/>
        <v>1</v>
      </c>
    </row>
    <row r="173" spans="1:19">
      <c r="A173" s="1">
        <v>46054</v>
      </c>
      <c r="B173" t="s">
        <v>244</v>
      </c>
      <c r="C173" t="s">
        <v>251</v>
      </c>
      <c r="D173" t="s">
        <v>252</v>
      </c>
      <c r="E173" t="s">
        <v>151</v>
      </c>
      <c r="F173" t="s">
        <v>23</v>
      </c>
      <c r="G173">
        <v>83</v>
      </c>
      <c r="H173">
        <v>0</v>
      </c>
      <c r="I173">
        <v>33</v>
      </c>
      <c r="J173">
        <v>50</v>
      </c>
      <c r="K173">
        <v>43</v>
      </c>
      <c r="L173" t="b">
        <v>0</v>
      </c>
      <c r="M173">
        <v>86.96</v>
      </c>
      <c r="N173">
        <v>4347.76</v>
      </c>
      <c r="O173" t="s">
        <v>44</v>
      </c>
      <c r="P173" t="str">
        <f>IF(J173=G173+H173-I173,"OK","Check")</f>
        <v>OK</v>
      </c>
      <c r="Q173" t="str">
        <f>IF(AND(J173&lt;=K173,L173=TRUE),"OK",IF(AND(J173&gt;K173,L173=FALSE),"OK","Check"))</f>
        <v>OK</v>
      </c>
      <c r="R173" t="str">
        <f>IF(ABS(N173-J173*M173)&lt;=J173*0.005+0.01,"OK","Check")</f>
        <v>OK</v>
      </c>
      <c r="S173" s="3">
        <f t="shared" si="2"/>
        <v>1</v>
      </c>
    </row>
    <row r="174" spans="1:19">
      <c r="A174" s="1">
        <v>46054</v>
      </c>
      <c r="B174" t="s">
        <v>244</v>
      </c>
      <c r="C174" t="s">
        <v>184</v>
      </c>
      <c r="D174" t="s">
        <v>185</v>
      </c>
      <c r="E174" t="s">
        <v>151</v>
      </c>
      <c r="F174" t="s">
        <v>23</v>
      </c>
      <c r="G174">
        <v>250</v>
      </c>
      <c r="H174">
        <v>0</v>
      </c>
      <c r="I174">
        <v>155</v>
      </c>
      <c r="J174">
        <v>95</v>
      </c>
      <c r="K174">
        <v>133</v>
      </c>
      <c r="L174" t="b">
        <v>1</v>
      </c>
      <c r="M174">
        <v>413.82</v>
      </c>
      <c r="N174">
        <v>39312.910000000003</v>
      </c>
      <c r="O174" t="s">
        <v>60</v>
      </c>
      <c r="P174" t="str">
        <f>IF(J174=G174+H174-I174,"OK","Check")</f>
        <v>OK</v>
      </c>
      <c r="Q174" t="str">
        <f>IF(AND(J174&lt;=K174,L174=TRUE),"OK",IF(AND(J174&gt;K174,L174=FALSE),"OK","Check"))</f>
        <v>OK</v>
      </c>
      <c r="R174" t="str">
        <f>IF(ABS(N174-J174*M174)&lt;=J174*0.005+0.01,"OK","Check")</f>
        <v>OK</v>
      </c>
      <c r="S174" s="3">
        <f t="shared" si="2"/>
        <v>1</v>
      </c>
    </row>
    <row r="175" spans="1:19">
      <c r="A175" s="1">
        <v>46054</v>
      </c>
      <c r="B175" t="s">
        <v>244</v>
      </c>
      <c r="C175" t="s">
        <v>186</v>
      </c>
      <c r="D175" t="s">
        <v>187</v>
      </c>
      <c r="E175" t="s">
        <v>188</v>
      </c>
      <c r="F175" t="s">
        <v>23</v>
      </c>
      <c r="G175">
        <v>520</v>
      </c>
      <c r="H175">
        <v>0</v>
      </c>
      <c r="I175">
        <v>136</v>
      </c>
      <c r="J175">
        <v>384</v>
      </c>
      <c r="K175">
        <v>221</v>
      </c>
      <c r="L175" t="b">
        <v>0</v>
      </c>
      <c r="M175">
        <v>123.64</v>
      </c>
      <c r="N175">
        <v>47479.33</v>
      </c>
      <c r="O175" t="s">
        <v>24</v>
      </c>
      <c r="P175" t="str">
        <f>IF(J175=G175+H175-I175,"OK","Check")</f>
        <v>OK</v>
      </c>
      <c r="Q175" t="str">
        <f>IF(AND(J175&lt;=K175,L175=TRUE),"OK",IF(AND(J175&gt;K175,L175=FALSE),"OK","Check"))</f>
        <v>OK</v>
      </c>
      <c r="R175" t="str">
        <f>IF(ABS(N175-J175*M175)&lt;=J175*0.005+0.01,"OK","Check")</f>
        <v>OK</v>
      </c>
      <c r="S175" s="3">
        <f t="shared" si="2"/>
        <v>1</v>
      </c>
    </row>
    <row r="176" spans="1:19">
      <c r="A176" s="1">
        <v>46054</v>
      </c>
      <c r="B176" t="s">
        <v>244</v>
      </c>
      <c r="C176" t="s">
        <v>189</v>
      </c>
      <c r="D176" t="s">
        <v>190</v>
      </c>
      <c r="E176" t="s">
        <v>188</v>
      </c>
      <c r="F176" t="s">
        <v>23</v>
      </c>
      <c r="G176">
        <v>105</v>
      </c>
      <c r="H176">
        <v>212</v>
      </c>
      <c r="I176">
        <v>96</v>
      </c>
      <c r="J176">
        <v>221</v>
      </c>
      <c r="K176">
        <v>91</v>
      </c>
      <c r="L176" t="b">
        <v>0</v>
      </c>
      <c r="M176">
        <v>503.63</v>
      </c>
      <c r="N176">
        <v>111302.42</v>
      </c>
      <c r="O176" t="s">
        <v>98</v>
      </c>
      <c r="P176" t="str">
        <f>IF(J176=G176+H176-I176,"OK","Check")</f>
        <v>OK</v>
      </c>
      <c r="Q176" t="str">
        <f>IF(AND(J176&lt;=K176,L176=TRUE),"OK",IF(AND(J176&gt;K176,L176=FALSE),"OK","Check"))</f>
        <v>OK</v>
      </c>
      <c r="R176" t="str">
        <f>IF(ABS(N176-J176*M176)&lt;=J176*0.005+0.01,"OK","Check")</f>
        <v>OK</v>
      </c>
      <c r="S176" s="3">
        <f t="shared" si="2"/>
        <v>1</v>
      </c>
    </row>
    <row r="177" spans="1:19">
      <c r="A177" s="1">
        <v>46054</v>
      </c>
      <c r="B177" t="s">
        <v>244</v>
      </c>
      <c r="C177" t="s">
        <v>191</v>
      </c>
      <c r="D177" t="s">
        <v>192</v>
      </c>
      <c r="E177" t="s">
        <v>188</v>
      </c>
      <c r="F177" t="s">
        <v>23</v>
      </c>
      <c r="G177">
        <v>61</v>
      </c>
      <c r="H177">
        <v>123</v>
      </c>
      <c r="I177">
        <v>45</v>
      </c>
      <c r="J177">
        <v>139</v>
      </c>
      <c r="K177">
        <v>51</v>
      </c>
      <c r="L177" t="b">
        <v>0</v>
      </c>
      <c r="M177">
        <v>99.07</v>
      </c>
      <c r="N177">
        <v>13771.01</v>
      </c>
      <c r="O177" t="s">
        <v>98</v>
      </c>
      <c r="P177" t="str">
        <f>IF(J177=G177+H177-I177,"OK","Check")</f>
        <v>OK</v>
      </c>
      <c r="Q177" t="str">
        <f>IF(AND(J177&lt;=K177,L177=TRUE),"OK",IF(AND(J177&gt;K177,L177=FALSE),"OK","Check"))</f>
        <v>OK</v>
      </c>
      <c r="R177" t="str">
        <f>IF(ABS(N177-J177*M177)&lt;=J177*0.005+0.01,"OK","Check")</f>
        <v>OK</v>
      </c>
      <c r="S177" s="3">
        <f t="shared" si="2"/>
        <v>1</v>
      </c>
    </row>
    <row r="178" spans="1:19">
      <c r="A178" s="1">
        <v>46054</v>
      </c>
      <c r="B178" t="s">
        <v>244</v>
      </c>
      <c r="C178" t="s">
        <v>253</v>
      </c>
      <c r="D178" t="s">
        <v>254</v>
      </c>
      <c r="E178" t="s">
        <v>188</v>
      </c>
      <c r="F178" t="s">
        <v>23</v>
      </c>
      <c r="G178">
        <v>177</v>
      </c>
      <c r="H178">
        <v>0</v>
      </c>
      <c r="I178">
        <v>138</v>
      </c>
      <c r="J178">
        <v>39</v>
      </c>
      <c r="K178">
        <v>109</v>
      </c>
      <c r="L178" t="b">
        <v>1</v>
      </c>
      <c r="M178">
        <v>317.99</v>
      </c>
      <c r="N178">
        <v>12401.67</v>
      </c>
      <c r="O178" t="s">
        <v>60</v>
      </c>
      <c r="P178" t="str">
        <f>IF(J178=G178+H178-I178,"OK","Check")</f>
        <v>OK</v>
      </c>
      <c r="Q178" t="str">
        <f>IF(AND(J178&lt;=K178,L178=TRUE),"OK",IF(AND(J178&gt;K178,L178=FALSE),"OK","Check"))</f>
        <v>OK</v>
      </c>
      <c r="R178" t="str">
        <f>IF(ABS(N178-J178*M178)&lt;=J178*0.005+0.01,"OK","Check")</f>
        <v>OK</v>
      </c>
      <c r="S178" s="3">
        <f t="shared" si="2"/>
        <v>1</v>
      </c>
    </row>
    <row r="179" spans="1:19">
      <c r="A179" s="1">
        <v>46054</v>
      </c>
      <c r="B179" t="s">
        <v>244</v>
      </c>
      <c r="C179" t="s">
        <v>197</v>
      </c>
      <c r="D179" t="s">
        <v>198</v>
      </c>
      <c r="E179" t="s">
        <v>188</v>
      </c>
      <c r="F179" t="s">
        <v>23</v>
      </c>
      <c r="G179">
        <v>138</v>
      </c>
      <c r="H179">
        <v>264</v>
      </c>
      <c r="I179">
        <v>117</v>
      </c>
      <c r="J179">
        <v>285</v>
      </c>
      <c r="K179">
        <v>122</v>
      </c>
      <c r="L179" t="b">
        <v>0</v>
      </c>
      <c r="M179">
        <v>107.2</v>
      </c>
      <c r="N179">
        <v>30552.78</v>
      </c>
      <c r="O179" t="s">
        <v>98</v>
      </c>
      <c r="P179" t="str">
        <f>IF(J179=G179+H179-I179,"OK","Check")</f>
        <v>OK</v>
      </c>
      <c r="Q179" t="str">
        <f>IF(AND(J179&lt;=K179,L179=TRUE),"OK",IF(AND(J179&gt;K179,L179=FALSE),"OK","Check"))</f>
        <v>OK</v>
      </c>
      <c r="R179" t="str">
        <f>IF(ABS(N179-J179*M179)&lt;=J179*0.005+0.01,"OK","Check")</f>
        <v>OK</v>
      </c>
      <c r="S179" s="3">
        <f t="shared" si="2"/>
        <v>1</v>
      </c>
    </row>
    <row r="180" spans="1:19">
      <c r="A180" s="1">
        <v>46054</v>
      </c>
      <c r="B180" t="s">
        <v>244</v>
      </c>
      <c r="C180" t="s">
        <v>199</v>
      </c>
      <c r="D180" t="s">
        <v>200</v>
      </c>
      <c r="E180" t="s">
        <v>188</v>
      </c>
      <c r="F180" t="s">
        <v>23</v>
      </c>
      <c r="G180">
        <v>122</v>
      </c>
      <c r="H180">
        <v>0</v>
      </c>
      <c r="I180">
        <v>48</v>
      </c>
      <c r="J180">
        <v>74</v>
      </c>
      <c r="K180">
        <v>79</v>
      </c>
      <c r="L180" t="b">
        <v>1</v>
      </c>
      <c r="M180">
        <v>515.91</v>
      </c>
      <c r="N180">
        <v>38177.050000000003</v>
      </c>
      <c r="O180" t="s">
        <v>98</v>
      </c>
      <c r="P180" t="str">
        <f>IF(J180=G180+H180-I180,"OK","Check")</f>
        <v>OK</v>
      </c>
      <c r="Q180" t="str">
        <f>IF(AND(J180&lt;=K180,L180=TRUE),"OK",IF(AND(J180&gt;K180,L180=FALSE),"OK","Check"))</f>
        <v>OK</v>
      </c>
      <c r="R180" t="str">
        <f>IF(ABS(N180-J180*M180)&lt;=J180*0.005+0.01,"OK","Check")</f>
        <v>OK</v>
      </c>
      <c r="S180" s="3">
        <f t="shared" si="2"/>
        <v>1</v>
      </c>
    </row>
    <row r="181" spans="1:19">
      <c r="A181" s="1">
        <v>46054</v>
      </c>
      <c r="B181" t="s">
        <v>244</v>
      </c>
      <c r="C181" t="s">
        <v>201</v>
      </c>
      <c r="D181" t="s">
        <v>202</v>
      </c>
      <c r="E181" t="s">
        <v>188</v>
      </c>
      <c r="F181" t="s">
        <v>23</v>
      </c>
      <c r="G181">
        <v>200</v>
      </c>
      <c r="H181">
        <v>426</v>
      </c>
      <c r="I181">
        <v>182</v>
      </c>
      <c r="J181">
        <v>444</v>
      </c>
      <c r="K181">
        <v>221</v>
      </c>
      <c r="L181" t="b">
        <v>0</v>
      </c>
      <c r="M181">
        <v>872.96</v>
      </c>
      <c r="N181">
        <v>387592.52</v>
      </c>
      <c r="O181" t="s">
        <v>47</v>
      </c>
      <c r="P181" t="str">
        <f>IF(J181=G181+H181-I181,"OK","Check")</f>
        <v>OK</v>
      </c>
      <c r="Q181" t="str">
        <f>IF(AND(J181&lt;=K181,L181=TRUE),"OK",IF(AND(J181&gt;K181,L181=FALSE),"OK","Check"))</f>
        <v>OK</v>
      </c>
      <c r="R181" t="str">
        <f>IF(ABS(N181-J181*M181)&lt;=J181*0.005+0.01,"OK","Check")</f>
        <v>OK</v>
      </c>
      <c r="S181" s="3">
        <f t="shared" si="2"/>
        <v>1</v>
      </c>
    </row>
    <row r="182" spans="1:19">
      <c r="A182" s="1">
        <v>46054</v>
      </c>
      <c r="B182" t="s">
        <v>244</v>
      </c>
      <c r="C182" t="s">
        <v>203</v>
      </c>
      <c r="D182" t="s">
        <v>204</v>
      </c>
      <c r="E182" t="s">
        <v>188</v>
      </c>
      <c r="F182" t="s">
        <v>23</v>
      </c>
      <c r="G182">
        <v>377</v>
      </c>
      <c r="H182">
        <v>0</v>
      </c>
      <c r="I182">
        <v>150</v>
      </c>
      <c r="J182">
        <v>227</v>
      </c>
      <c r="K182">
        <v>153</v>
      </c>
      <c r="L182" t="b">
        <v>0</v>
      </c>
      <c r="M182">
        <v>4506.84</v>
      </c>
      <c r="N182">
        <v>1023052</v>
      </c>
      <c r="O182" t="s">
        <v>47</v>
      </c>
      <c r="P182" t="str">
        <f>IF(J182=G182+H182-I182,"OK","Check")</f>
        <v>OK</v>
      </c>
      <c r="Q182" t="str">
        <f>IF(AND(J182&lt;=K182,L182=TRUE),"OK",IF(AND(J182&gt;K182,L182=FALSE),"OK","Check"))</f>
        <v>OK</v>
      </c>
      <c r="R182" t="str">
        <f>IF(ABS(N182-J182*M182)&lt;=J182*0.005+0.01,"OK","Check")</f>
        <v>OK</v>
      </c>
      <c r="S182" s="3">
        <f t="shared" si="2"/>
        <v>1</v>
      </c>
    </row>
    <row r="183" spans="1:19">
      <c r="A183" s="1">
        <v>46054</v>
      </c>
      <c r="B183" t="s">
        <v>244</v>
      </c>
      <c r="C183" t="s">
        <v>205</v>
      </c>
      <c r="D183" t="s">
        <v>206</v>
      </c>
      <c r="E183" t="s">
        <v>188</v>
      </c>
      <c r="F183" t="s">
        <v>23</v>
      </c>
      <c r="G183">
        <v>334</v>
      </c>
      <c r="H183">
        <v>501</v>
      </c>
      <c r="I183">
        <v>187</v>
      </c>
      <c r="J183">
        <v>648</v>
      </c>
      <c r="K183">
        <v>283</v>
      </c>
      <c r="L183" t="b">
        <v>0</v>
      </c>
      <c r="M183">
        <v>86.41</v>
      </c>
      <c r="N183">
        <v>55991.46</v>
      </c>
      <c r="O183" t="s">
        <v>98</v>
      </c>
      <c r="P183" t="str">
        <f>IF(J183=G183+H183-I183,"OK","Check")</f>
        <v>OK</v>
      </c>
      <c r="Q183" t="str">
        <f>IF(AND(J183&lt;=K183,L183=TRUE),"OK",IF(AND(J183&gt;K183,L183=FALSE),"OK","Check"))</f>
        <v>OK</v>
      </c>
      <c r="R183" t="str">
        <f>IF(ABS(N183-J183*M183)&lt;=J183*0.005+0.01,"OK","Check")</f>
        <v>OK</v>
      </c>
      <c r="S183" s="3">
        <f t="shared" si="2"/>
        <v>1</v>
      </c>
    </row>
    <row r="184" spans="1:19">
      <c r="A184" s="1">
        <v>46054</v>
      </c>
      <c r="B184" t="s">
        <v>244</v>
      </c>
      <c r="C184" t="s">
        <v>255</v>
      </c>
      <c r="D184" t="s">
        <v>256</v>
      </c>
      <c r="E184" t="s">
        <v>188</v>
      </c>
      <c r="F184" t="s">
        <v>23</v>
      </c>
      <c r="G184">
        <v>129</v>
      </c>
      <c r="H184">
        <v>0</v>
      </c>
      <c r="I184">
        <v>64</v>
      </c>
      <c r="J184">
        <v>65</v>
      </c>
      <c r="K184">
        <v>45</v>
      </c>
      <c r="L184" t="b">
        <v>0</v>
      </c>
      <c r="M184">
        <v>406.52</v>
      </c>
      <c r="N184">
        <v>26423.87</v>
      </c>
      <c r="O184" t="s">
        <v>37</v>
      </c>
      <c r="P184" t="str">
        <f>IF(J184=G184+H184-I184,"OK","Check")</f>
        <v>OK</v>
      </c>
      <c r="Q184" t="str">
        <f>IF(AND(J184&lt;=K184,L184=TRUE),"OK",IF(AND(J184&gt;K184,L184=FALSE),"OK","Check"))</f>
        <v>OK</v>
      </c>
      <c r="R184" t="str">
        <f>IF(ABS(N184-J184*M184)&lt;=J184*0.005+0.01,"OK","Check")</f>
        <v>OK</v>
      </c>
      <c r="S184" s="3">
        <f t="shared" si="2"/>
        <v>1</v>
      </c>
    </row>
    <row r="185" spans="1:19">
      <c r="A185" s="1">
        <v>46054</v>
      </c>
      <c r="B185" t="s">
        <v>244</v>
      </c>
      <c r="C185" t="s">
        <v>207</v>
      </c>
      <c r="D185" t="s">
        <v>208</v>
      </c>
      <c r="E185" t="s">
        <v>188</v>
      </c>
      <c r="F185" t="s">
        <v>23</v>
      </c>
      <c r="G185">
        <v>274</v>
      </c>
      <c r="H185">
        <v>0</v>
      </c>
      <c r="I185">
        <v>71</v>
      </c>
      <c r="J185">
        <v>203</v>
      </c>
      <c r="K185">
        <v>115</v>
      </c>
      <c r="L185" t="b">
        <v>0</v>
      </c>
      <c r="M185">
        <v>72.14</v>
      </c>
      <c r="N185">
        <v>14645.18</v>
      </c>
      <c r="O185" t="s">
        <v>47</v>
      </c>
      <c r="P185" t="str">
        <f>IF(J185=G185+H185-I185,"OK","Check")</f>
        <v>OK</v>
      </c>
      <c r="Q185" t="str">
        <f>IF(AND(J185&lt;=K185,L185=TRUE),"OK",IF(AND(J185&gt;K185,L185=FALSE),"OK","Check"))</f>
        <v>OK</v>
      </c>
      <c r="R185" t="str">
        <f>IF(ABS(N185-J185*M185)&lt;=J185*0.005+0.01,"OK","Check")</f>
        <v>OK</v>
      </c>
      <c r="S185" s="3">
        <f t="shared" si="2"/>
        <v>1</v>
      </c>
    </row>
    <row r="186" spans="1:19">
      <c r="A186" s="1">
        <v>46054</v>
      </c>
      <c r="B186" t="s">
        <v>244</v>
      </c>
      <c r="C186" t="s">
        <v>209</v>
      </c>
      <c r="D186" t="s">
        <v>210</v>
      </c>
      <c r="E186" t="s">
        <v>188</v>
      </c>
      <c r="F186" t="s">
        <v>23</v>
      </c>
      <c r="G186">
        <v>242</v>
      </c>
      <c r="H186">
        <v>0</v>
      </c>
      <c r="I186">
        <v>56</v>
      </c>
      <c r="J186">
        <v>186</v>
      </c>
      <c r="K186">
        <v>124</v>
      </c>
      <c r="L186" t="b">
        <v>0</v>
      </c>
      <c r="M186">
        <v>356.74</v>
      </c>
      <c r="N186">
        <v>66353.27</v>
      </c>
      <c r="O186" t="s">
        <v>37</v>
      </c>
      <c r="P186" t="str">
        <f>IF(J186=G186+H186-I186,"OK","Check")</f>
        <v>OK</v>
      </c>
      <c r="Q186" t="str">
        <f>IF(AND(J186&lt;=K186,L186=TRUE),"OK",IF(AND(J186&gt;K186,L186=FALSE),"OK","Check"))</f>
        <v>OK</v>
      </c>
      <c r="R186" t="str">
        <f>IF(ABS(N186-J186*M186)&lt;=J186*0.005+0.01,"OK","Check")</f>
        <v>OK</v>
      </c>
      <c r="S186" s="3">
        <f t="shared" si="2"/>
        <v>1</v>
      </c>
    </row>
    <row r="187" spans="1:19">
      <c r="A187" s="1">
        <v>46054</v>
      </c>
      <c r="B187" t="s">
        <v>244</v>
      </c>
      <c r="C187" t="s">
        <v>211</v>
      </c>
      <c r="D187" t="s">
        <v>212</v>
      </c>
      <c r="E187" t="s">
        <v>188</v>
      </c>
      <c r="F187" t="s">
        <v>23</v>
      </c>
      <c r="G187">
        <v>438</v>
      </c>
      <c r="H187">
        <v>0</v>
      </c>
      <c r="I187">
        <v>188</v>
      </c>
      <c r="J187">
        <v>250</v>
      </c>
      <c r="K187">
        <v>243</v>
      </c>
      <c r="L187" t="b">
        <v>0</v>
      </c>
      <c r="M187">
        <v>457.8</v>
      </c>
      <c r="N187">
        <v>114450.98</v>
      </c>
      <c r="O187" t="s">
        <v>60</v>
      </c>
      <c r="P187" t="str">
        <f>IF(J187=G187+H187-I187,"OK","Check")</f>
        <v>OK</v>
      </c>
      <c r="Q187" t="str">
        <f>IF(AND(J187&lt;=K187,L187=TRUE),"OK",IF(AND(J187&gt;K187,L187=FALSE),"OK","Check"))</f>
        <v>OK</v>
      </c>
      <c r="R187" t="str">
        <f>IF(ABS(N187-J187*M187)&lt;=J187*0.005+0.01,"OK","Check")</f>
        <v>OK</v>
      </c>
      <c r="S187" s="3">
        <f t="shared" si="2"/>
        <v>1</v>
      </c>
    </row>
    <row r="188" spans="1:19">
      <c r="A188" s="1">
        <v>46054</v>
      </c>
      <c r="B188" t="s">
        <v>244</v>
      </c>
      <c r="C188" t="s">
        <v>213</v>
      </c>
      <c r="D188" t="s">
        <v>214</v>
      </c>
      <c r="E188" t="s">
        <v>188</v>
      </c>
      <c r="F188" t="s">
        <v>23</v>
      </c>
      <c r="G188">
        <v>254</v>
      </c>
      <c r="H188">
        <v>0</v>
      </c>
      <c r="I188">
        <v>82</v>
      </c>
      <c r="J188">
        <v>172</v>
      </c>
      <c r="K188">
        <v>161</v>
      </c>
      <c r="L188" t="b">
        <v>0</v>
      </c>
      <c r="M188">
        <v>330.66</v>
      </c>
      <c r="N188">
        <v>56872.94</v>
      </c>
      <c r="O188" t="s">
        <v>44</v>
      </c>
      <c r="P188" t="str">
        <f>IF(J188=G188+H188-I188,"OK","Check")</f>
        <v>OK</v>
      </c>
      <c r="Q188" t="str">
        <f>IF(AND(J188&lt;=K188,L188=TRUE),"OK",IF(AND(J188&gt;K188,L188=FALSE),"OK","Check"))</f>
        <v>OK</v>
      </c>
      <c r="R188" t="str">
        <f>IF(ABS(N188-J188*M188)&lt;=J188*0.005+0.01,"OK","Check")</f>
        <v>OK</v>
      </c>
      <c r="S188" s="3">
        <f t="shared" si="2"/>
        <v>1</v>
      </c>
    </row>
    <row r="189" spans="1:19">
      <c r="A189" s="1">
        <v>46054</v>
      </c>
      <c r="B189" t="s">
        <v>244</v>
      </c>
      <c r="C189" t="s">
        <v>220</v>
      </c>
      <c r="D189" t="s">
        <v>221</v>
      </c>
      <c r="E189" t="s">
        <v>219</v>
      </c>
      <c r="F189" t="s">
        <v>23</v>
      </c>
      <c r="G189">
        <v>150</v>
      </c>
      <c r="H189">
        <v>0</v>
      </c>
      <c r="I189">
        <v>60</v>
      </c>
      <c r="J189">
        <v>90</v>
      </c>
      <c r="K189">
        <v>49</v>
      </c>
      <c r="L189" t="b">
        <v>0</v>
      </c>
      <c r="M189">
        <v>82.57</v>
      </c>
      <c r="N189">
        <v>7431.54</v>
      </c>
      <c r="O189" t="s">
        <v>60</v>
      </c>
      <c r="P189" t="str">
        <f>IF(J189=G189+H189-I189,"OK","Check")</f>
        <v>OK</v>
      </c>
      <c r="Q189" t="str">
        <f>IF(AND(J189&lt;=K189,L189=TRUE),"OK",IF(AND(J189&gt;K189,L189=FALSE),"OK","Check"))</f>
        <v>OK</v>
      </c>
      <c r="R189" t="str">
        <f>IF(ABS(N189-J189*M189)&lt;=J189*0.005+0.01,"OK","Check")</f>
        <v>OK</v>
      </c>
      <c r="S189" s="3">
        <f t="shared" si="2"/>
        <v>1</v>
      </c>
    </row>
    <row r="190" spans="1:19">
      <c r="A190" s="1">
        <v>46054</v>
      </c>
      <c r="B190" t="s">
        <v>244</v>
      </c>
      <c r="C190" t="s">
        <v>222</v>
      </c>
      <c r="D190" t="s">
        <v>223</v>
      </c>
      <c r="E190" t="s">
        <v>219</v>
      </c>
      <c r="F190" t="s">
        <v>23</v>
      </c>
      <c r="G190">
        <v>70</v>
      </c>
      <c r="H190">
        <v>0</v>
      </c>
      <c r="I190">
        <v>68</v>
      </c>
      <c r="J190">
        <v>2</v>
      </c>
      <c r="K190">
        <v>55</v>
      </c>
      <c r="L190" t="b">
        <v>1</v>
      </c>
      <c r="M190">
        <v>44.89</v>
      </c>
      <c r="N190">
        <v>89.79</v>
      </c>
      <c r="O190" t="s">
        <v>37</v>
      </c>
      <c r="P190" t="str">
        <f>IF(J190=G190+H190-I190,"OK","Check")</f>
        <v>OK</v>
      </c>
      <c r="Q190" t="str">
        <f>IF(AND(J190&lt;=K190,L190=TRUE),"OK",IF(AND(J190&gt;K190,L190=FALSE),"OK","Check"))</f>
        <v>OK</v>
      </c>
      <c r="R190" t="str">
        <f>IF(ABS(N190-J190*M190)&lt;=J190*0.005+0.01,"OK","Check")</f>
        <v>OK</v>
      </c>
      <c r="S190" s="3">
        <f t="shared" si="2"/>
        <v>1</v>
      </c>
    </row>
    <row r="191" spans="1:19">
      <c r="A191" s="1">
        <v>46054</v>
      </c>
      <c r="B191" t="s">
        <v>244</v>
      </c>
      <c r="C191" t="s">
        <v>228</v>
      </c>
      <c r="D191" t="s">
        <v>229</v>
      </c>
      <c r="E191" t="s">
        <v>219</v>
      </c>
      <c r="F191" t="s">
        <v>23</v>
      </c>
      <c r="G191">
        <v>95</v>
      </c>
      <c r="H191">
        <v>0</v>
      </c>
      <c r="I191">
        <v>51</v>
      </c>
      <c r="J191">
        <v>44</v>
      </c>
      <c r="K191">
        <v>47</v>
      </c>
      <c r="L191" t="b">
        <v>1</v>
      </c>
      <c r="M191">
        <v>48.45</v>
      </c>
      <c r="N191">
        <v>2131.94</v>
      </c>
      <c r="O191" t="s">
        <v>44</v>
      </c>
      <c r="P191" t="str">
        <f>IF(J191=G191+H191-I191,"OK","Check")</f>
        <v>OK</v>
      </c>
      <c r="Q191" t="str">
        <f>IF(AND(J191&lt;=K191,L191=TRUE),"OK",IF(AND(J191&gt;K191,L191=FALSE),"OK","Check"))</f>
        <v>OK</v>
      </c>
      <c r="R191" t="str">
        <f>IF(ABS(N191-J191*M191)&lt;=J191*0.005+0.01,"OK","Check")</f>
        <v>OK</v>
      </c>
      <c r="S191" s="3">
        <f t="shared" si="2"/>
        <v>1</v>
      </c>
    </row>
    <row r="192" spans="1:19">
      <c r="A192" s="1">
        <v>46054</v>
      </c>
      <c r="B192" t="s">
        <v>244</v>
      </c>
      <c r="C192" t="s">
        <v>230</v>
      </c>
      <c r="D192" t="s">
        <v>231</v>
      </c>
      <c r="E192" t="s">
        <v>219</v>
      </c>
      <c r="F192" t="s">
        <v>23</v>
      </c>
      <c r="G192">
        <v>57</v>
      </c>
      <c r="H192">
        <v>0</v>
      </c>
      <c r="I192">
        <v>19</v>
      </c>
      <c r="J192">
        <v>38</v>
      </c>
      <c r="K192">
        <v>23</v>
      </c>
      <c r="L192" t="b">
        <v>0</v>
      </c>
      <c r="M192">
        <v>191.73</v>
      </c>
      <c r="N192">
        <v>7285.57</v>
      </c>
      <c r="O192" t="s">
        <v>32</v>
      </c>
      <c r="P192" t="str">
        <f>IF(J192=G192+H192-I192,"OK","Check")</f>
        <v>OK</v>
      </c>
      <c r="Q192" t="str">
        <f>IF(AND(J192&lt;=K192,L192=TRUE),"OK",IF(AND(J192&gt;K192,L192=FALSE),"OK","Check"))</f>
        <v>OK</v>
      </c>
      <c r="R192" t="str">
        <f>IF(ABS(N192-J192*M192)&lt;=J192*0.005+0.01,"OK","Check")</f>
        <v>OK</v>
      </c>
      <c r="S192" s="3">
        <f t="shared" si="2"/>
        <v>1</v>
      </c>
    </row>
    <row r="193" spans="1:19">
      <c r="A193" s="1">
        <v>46054</v>
      </c>
      <c r="B193" t="s">
        <v>244</v>
      </c>
      <c r="C193" t="s">
        <v>257</v>
      </c>
      <c r="D193" t="s">
        <v>258</v>
      </c>
      <c r="E193" t="s">
        <v>219</v>
      </c>
      <c r="F193" t="s">
        <v>23</v>
      </c>
      <c r="G193">
        <v>245</v>
      </c>
      <c r="H193">
        <v>0</v>
      </c>
      <c r="I193">
        <v>90</v>
      </c>
      <c r="J193">
        <v>155</v>
      </c>
      <c r="K193">
        <v>84</v>
      </c>
      <c r="L193" t="b">
        <v>0</v>
      </c>
      <c r="M193">
        <v>775.91</v>
      </c>
      <c r="N193">
        <v>120265.37</v>
      </c>
      <c r="O193" t="s">
        <v>47</v>
      </c>
      <c r="P193" t="str">
        <f>IF(J193=G193+H193-I193,"OK","Check")</f>
        <v>OK</v>
      </c>
      <c r="Q193" t="str">
        <f>IF(AND(J193&lt;=K193,L193=TRUE),"OK",IF(AND(J193&gt;K193,L193=FALSE),"OK","Check"))</f>
        <v>OK</v>
      </c>
      <c r="R193" t="str">
        <f>IF(ABS(N193-J193*M193)&lt;=J193*0.005+0.01,"OK","Check")</f>
        <v>OK</v>
      </c>
      <c r="S193" s="3">
        <f t="shared" si="2"/>
        <v>1</v>
      </c>
    </row>
    <row r="194" spans="1:19">
      <c r="A194" s="1">
        <v>46054</v>
      </c>
      <c r="B194" t="s">
        <v>244</v>
      </c>
      <c r="C194" t="s">
        <v>259</v>
      </c>
      <c r="D194" t="s">
        <v>260</v>
      </c>
      <c r="E194" t="s">
        <v>219</v>
      </c>
      <c r="F194" t="s">
        <v>23</v>
      </c>
      <c r="G194">
        <v>339</v>
      </c>
      <c r="H194">
        <v>0</v>
      </c>
      <c r="I194">
        <v>188</v>
      </c>
      <c r="J194">
        <v>151</v>
      </c>
      <c r="K194">
        <v>165</v>
      </c>
      <c r="L194" t="b">
        <v>1</v>
      </c>
      <c r="M194">
        <v>510.73</v>
      </c>
      <c r="N194">
        <v>77120.12</v>
      </c>
      <c r="O194" t="s">
        <v>60</v>
      </c>
      <c r="P194" t="str">
        <f>IF(J194=G194+H194-I194,"OK","Check")</f>
        <v>OK</v>
      </c>
      <c r="Q194" t="str">
        <f>IF(AND(J194&lt;=K194,L194=TRUE),"OK",IF(AND(J194&gt;K194,L194=FALSE),"OK","Check"))</f>
        <v>OK</v>
      </c>
      <c r="R194" t="str">
        <f>IF(ABS(N194-J194*M194)&lt;=J194*0.005+0.01,"OK","Check")</f>
        <v>OK</v>
      </c>
      <c r="S194" s="3">
        <f t="shared" ref="S194:S257" si="3">COUNTIFS(A:A,A194,B:B,B194,C:C,C194)</f>
        <v>1</v>
      </c>
    </row>
    <row r="195" spans="1:19">
      <c r="A195" s="1">
        <v>46054</v>
      </c>
      <c r="B195" t="s">
        <v>244</v>
      </c>
      <c r="C195" t="s">
        <v>234</v>
      </c>
      <c r="D195" t="s">
        <v>235</v>
      </c>
      <c r="E195" t="s">
        <v>219</v>
      </c>
      <c r="F195" t="s">
        <v>23</v>
      </c>
      <c r="G195">
        <v>290</v>
      </c>
      <c r="H195">
        <v>0</v>
      </c>
      <c r="I195">
        <v>147</v>
      </c>
      <c r="J195">
        <v>143</v>
      </c>
      <c r="K195">
        <v>148</v>
      </c>
      <c r="L195" t="b">
        <v>1</v>
      </c>
      <c r="M195">
        <v>2289.11</v>
      </c>
      <c r="N195">
        <v>327342.65999999997</v>
      </c>
      <c r="O195" t="s">
        <v>47</v>
      </c>
      <c r="P195" t="str">
        <f>IF(J195=G195+H195-I195,"OK","Check")</f>
        <v>OK</v>
      </c>
      <c r="Q195" t="str">
        <f>IF(AND(J195&lt;=K195,L195=TRUE),"OK",IF(AND(J195&gt;K195,L195=FALSE),"OK","Check"))</f>
        <v>OK</v>
      </c>
      <c r="R195" t="str">
        <f>IF(ABS(N195-J195*M195)&lt;=J195*0.005+0.01,"OK","Check")</f>
        <v>OK</v>
      </c>
      <c r="S195" s="3">
        <f t="shared" si="3"/>
        <v>1</v>
      </c>
    </row>
    <row r="196" spans="1:19">
      <c r="A196" s="1">
        <v>46054</v>
      </c>
      <c r="B196" t="s">
        <v>244</v>
      </c>
      <c r="C196" t="s">
        <v>261</v>
      </c>
      <c r="D196" t="s">
        <v>262</v>
      </c>
      <c r="E196" t="s">
        <v>219</v>
      </c>
      <c r="F196" t="s">
        <v>23</v>
      </c>
      <c r="G196">
        <v>348</v>
      </c>
      <c r="H196">
        <v>0</v>
      </c>
      <c r="I196">
        <v>77</v>
      </c>
      <c r="J196">
        <v>271</v>
      </c>
      <c r="K196">
        <v>187</v>
      </c>
      <c r="L196" t="b">
        <v>0</v>
      </c>
      <c r="M196">
        <v>288.57</v>
      </c>
      <c r="N196">
        <v>78201.95</v>
      </c>
      <c r="O196" t="s">
        <v>60</v>
      </c>
      <c r="P196" t="str">
        <f>IF(J196=G196+H196-I196,"OK","Check")</f>
        <v>OK</v>
      </c>
      <c r="Q196" t="str">
        <f>IF(AND(J196&lt;=K196,L196=TRUE),"OK",IF(AND(J196&gt;K196,L196=FALSE),"OK","Check"))</f>
        <v>OK</v>
      </c>
      <c r="R196" t="str">
        <f>IF(ABS(N196-J196*M196)&lt;=J196*0.005+0.01,"OK","Check")</f>
        <v>OK</v>
      </c>
      <c r="S196" s="3">
        <f t="shared" si="3"/>
        <v>1</v>
      </c>
    </row>
    <row r="197" spans="1:19">
      <c r="A197" s="1">
        <v>46054</v>
      </c>
      <c r="B197" t="s">
        <v>244</v>
      </c>
      <c r="C197" t="s">
        <v>236</v>
      </c>
      <c r="D197" t="s">
        <v>237</v>
      </c>
      <c r="E197" t="s">
        <v>219</v>
      </c>
      <c r="F197" t="s">
        <v>23</v>
      </c>
      <c r="G197">
        <v>482</v>
      </c>
      <c r="H197">
        <v>0</v>
      </c>
      <c r="I197">
        <v>208</v>
      </c>
      <c r="J197">
        <v>274</v>
      </c>
      <c r="K197">
        <v>203</v>
      </c>
      <c r="L197" t="b">
        <v>0</v>
      </c>
      <c r="M197">
        <v>985.25</v>
      </c>
      <c r="N197">
        <v>269958.78000000003</v>
      </c>
      <c r="O197" t="s">
        <v>98</v>
      </c>
      <c r="P197" t="str">
        <f>IF(J197=G197+H197-I197,"OK","Check")</f>
        <v>OK</v>
      </c>
      <c r="Q197" t="str">
        <f>IF(AND(J197&lt;=K197,L197=TRUE),"OK",IF(AND(J197&gt;K197,L197=FALSE),"OK","Check"))</f>
        <v>OK</v>
      </c>
      <c r="R197" t="str">
        <f>IF(ABS(N197-J197*M197)&lt;=J197*0.005+0.01,"OK","Check")</f>
        <v>OK</v>
      </c>
      <c r="S197" s="3">
        <f t="shared" si="3"/>
        <v>1</v>
      </c>
    </row>
    <row r="198" spans="1:19">
      <c r="A198" s="1">
        <v>46054</v>
      </c>
      <c r="B198" t="s">
        <v>244</v>
      </c>
      <c r="C198" t="s">
        <v>263</v>
      </c>
      <c r="D198" t="s">
        <v>264</v>
      </c>
      <c r="E198" t="s">
        <v>219</v>
      </c>
      <c r="F198" t="s">
        <v>23</v>
      </c>
      <c r="G198">
        <v>402</v>
      </c>
      <c r="H198">
        <v>0</v>
      </c>
      <c r="I198">
        <v>191</v>
      </c>
      <c r="J198">
        <v>211</v>
      </c>
      <c r="K198">
        <v>311</v>
      </c>
      <c r="L198" t="b">
        <v>1</v>
      </c>
      <c r="M198">
        <v>33.47</v>
      </c>
      <c r="N198">
        <v>7062.68</v>
      </c>
      <c r="O198" t="s">
        <v>27</v>
      </c>
      <c r="P198" t="str">
        <f>IF(J198=G198+H198-I198,"OK","Check")</f>
        <v>OK</v>
      </c>
      <c r="Q198" t="str">
        <f>IF(AND(J198&lt;=K198,L198=TRUE),"OK",IF(AND(J198&gt;K198,L198=FALSE),"OK","Check"))</f>
        <v>OK</v>
      </c>
      <c r="R198" t="str">
        <f>IF(ABS(N198-J198*M198)&lt;=J198*0.005+0.01,"OK","Check")</f>
        <v>OK</v>
      </c>
      <c r="S198" s="3">
        <f t="shared" si="3"/>
        <v>1</v>
      </c>
    </row>
    <row r="199" spans="1:19">
      <c r="A199" s="1">
        <v>46054</v>
      </c>
      <c r="B199" t="s">
        <v>244</v>
      </c>
      <c r="C199" t="s">
        <v>238</v>
      </c>
      <c r="D199" t="s">
        <v>239</v>
      </c>
      <c r="E199" t="s">
        <v>219</v>
      </c>
      <c r="F199" t="s">
        <v>23</v>
      </c>
      <c r="G199">
        <v>273</v>
      </c>
      <c r="H199">
        <v>0</v>
      </c>
      <c r="I199">
        <v>84</v>
      </c>
      <c r="J199">
        <v>189</v>
      </c>
      <c r="K199">
        <v>109</v>
      </c>
      <c r="L199" t="b">
        <v>0</v>
      </c>
      <c r="M199">
        <v>171.2</v>
      </c>
      <c r="N199">
        <v>32357.54</v>
      </c>
      <c r="O199" t="s">
        <v>32</v>
      </c>
      <c r="P199" t="str">
        <f>IF(J199=G199+H199-I199,"OK","Check")</f>
        <v>OK</v>
      </c>
      <c r="Q199" t="str">
        <f>IF(AND(J199&lt;=K199,L199=TRUE),"OK",IF(AND(J199&gt;K199,L199=FALSE),"OK","Check"))</f>
        <v>OK</v>
      </c>
      <c r="R199" t="str">
        <f>IF(ABS(N199-J199*M199)&lt;=J199*0.005+0.01,"OK","Check")</f>
        <v>OK</v>
      </c>
      <c r="S199" s="3">
        <f t="shared" si="3"/>
        <v>1</v>
      </c>
    </row>
    <row r="200" spans="1:19">
      <c r="A200" s="1">
        <v>46054</v>
      </c>
      <c r="B200" t="s">
        <v>244</v>
      </c>
      <c r="C200" t="s">
        <v>242</v>
      </c>
      <c r="D200" t="s">
        <v>243</v>
      </c>
      <c r="E200" t="s">
        <v>219</v>
      </c>
      <c r="F200" t="s">
        <v>23</v>
      </c>
      <c r="G200">
        <v>268</v>
      </c>
      <c r="H200">
        <v>0</v>
      </c>
      <c r="I200">
        <v>220</v>
      </c>
      <c r="J200">
        <v>48</v>
      </c>
      <c r="K200">
        <v>160</v>
      </c>
      <c r="L200" t="b">
        <v>1</v>
      </c>
      <c r="M200">
        <v>283.79000000000002</v>
      </c>
      <c r="N200">
        <v>13622.07</v>
      </c>
      <c r="O200" t="s">
        <v>60</v>
      </c>
      <c r="P200" t="str">
        <f>IF(J200=G200+H200-I200,"OK","Check")</f>
        <v>OK</v>
      </c>
      <c r="Q200" t="str">
        <f>IF(AND(J200&lt;=K200,L200=TRUE),"OK",IF(AND(J200&gt;K200,L200=FALSE),"OK","Check"))</f>
        <v>OK</v>
      </c>
      <c r="R200" t="str">
        <f>IF(ABS(N200-J200*M200)&lt;=J200*0.005+0.01,"OK","Check")</f>
        <v>OK</v>
      </c>
      <c r="S200" s="3">
        <f t="shared" si="3"/>
        <v>1</v>
      </c>
    </row>
    <row r="201" spans="1:19">
      <c r="A201" s="1">
        <v>46054</v>
      </c>
      <c r="B201" t="s">
        <v>265</v>
      </c>
      <c r="C201" t="s">
        <v>20</v>
      </c>
      <c r="D201" t="s">
        <v>21</v>
      </c>
      <c r="E201" t="s">
        <v>22</v>
      </c>
      <c r="F201" t="s">
        <v>23</v>
      </c>
      <c r="G201">
        <v>234</v>
      </c>
      <c r="H201">
        <v>436</v>
      </c>
      <c r="I201">
        <v>147</v>
      </c>
      <c r="J201">
        <v>523</v>
      </c>
      <c r="K201">
        <v>230</v>
      </c>
      <c r="L201" t="b">
        <v>0</v>
      </c>
      <c r="M201">
        <v>277.99</v>
      </c>
      <c r="N201">
        <v>145386.89000000001</v>
      </c>
      <c r="O201" t="s">
        <v>24</v>
      </c>
      <c r="P201" t="str">
        <f>IF(J201=G201+H201-I201,"OK","Check")</f>
        <v>OK</v>
      </c>
      <c r="Q201" t="str">
        <f>IF(AND(J201&lt;=K201,L201=TRUE),"OK",IF(AND(J201&gt;K201,L201=FALSE),"OK","Check"))</f>
        <v>OK</v>
      </c>
      <c r="R201" t="str">
        <f>IF(ABS(N201-J201*M201)&lt;=J201*0.005+0.01,"OK","Check")</f>
        <v>OK</v>
      </c>
      <c r="S201" s="3">
        <f t="shared" si="3"/>
        <v>1</v>
      </c>
    </row>
    <row r="202" spans="1:19">
      <c r="A202" s="1">
        <v>46054</v>
      </c>
      <c r="B202" t="s">
        <v>265</v>
      </c>
      <c r="C202" t="s">
        <v>25</v>
      </c>
      <c r="D202" t="s">
        <v>26</v>
      </c>
      <c r="E202" t="s">
        <v>22</v>
      </c>
      <c r="F202" t="s">
        <v>23</v>
      </c>
      <c r="G202">
        <v>478</v>
      </c>
      <c r="H202">
        <v>0</v>
      </c>
      <c r="I202">
        <v>174</v>
      </c>
      <c r="J202">
        <v>304</v>
      </c>
      <c r="K202">
        <v>189</v>
      </c>
      <c r="L202" t="b">
        <v>0</v>
      </c>
      <c r="M202">
        <v>1141.6500000000001</v>
      </c>
      <c r="N202">
        <v>347062.11</v>
      </c>
      <c r="O202" t="s">
        <v>27</v>
      </c>
      <c r="P202" t="str">
        <f>IF(J202=G202+H202-I202,"OK","Check")</f>
        <v>OK</v>
      </c>
      <c r="Q202" t="str">
        <f>IF(AND(J202&lt;=K202,L202=TRUE),"OK",IF(AND(J202&gt;K202,L202=FALSE),"OK","Check"))</f>
        <v>OK</v>
      </c>
      <c r="R202" t="str">
        <f>IF(ABS(N202-J202*M202)&lt;=J202*0.005+0.01,"OK","Check")</f>
        <v>OK</v>
      </c>
      <c r="S202" s="3">
        <f t="shared" si="3"/>
        <v>1</v>
      </c>
    </row>
    <row r="203" spans="1:19">
      <c r="A203" s="1">
        <v>46054</v>
      </c>
      <c r="B203" t="s">
        <v>265</v>
      </c>
      <c r="C203" t="s">
        <v>28</v>
      </c>
      <c r="D203" t="s">
        <v>29</v>
      </c>
      <c r="E203" t="s">
        <v>22</v>
      </c>
      <c r="F203" t="s">
        <v>23</v>
      </c>
      <c r="G203">
        <v>376</v>
      </c>
      <c r="H203">
        <v>0</v>
      </c>
      <c r="I203">
        <v>162</v>
      </c>
      <c r="J203">
        <v>214</v>
      </c>
      <c r="K203">
        <v>181</v>
      </c>
      <c r="L203" t="b">
        <v>0</v>
      </c>
      <c r="M203">
        <v>98.04</v>
      </c>
      <c r="N203">
        <v>20979.58</v>
      </c>
      <c r="O203" t="s">
        <v>24</v>
      </c>
      <c r="P203" t="str">
        <f>IF(J203=G203+H203-I203,"OK","Check")</f>
        <v>OK</v>
      </c>
      <c r="Q203" t="str">
        <f>IF(AND(J203&lt;=K203,L203=TRUE),"OK",IF(AND(J203&gt;K203,L203=FALSE),"OK","Check"))</f>
        <v>OK</v>
      </c>
      <c r="R203" t="str">
        <f>IF(ABS(N203-J203*M203)&lt;=J203*0.005+0.01,"OK","Check")</f>
        <v>OK</v>
      </c>
      <c r="S203" s="3">
        <f t="shared" si="3"/>
        <v>1</v>
      </c>
    </row>
    <row r="204" spans="1:19">
      <c r="A204" s="1">
        <v>46054</v>
      </c>
      <c r="B204" t="s">
        <v>265</v>
      </c>
      <c r="C204" t="s">
        <v>33</v>
      </c>
      <c r="D204" t="s">
        <v>34</v>
      </c>
      <c r="E204" t="s">
        <v>22</v>
      </c>
      <c r="F204" t="s">
        <v>23</v>
      </c>
      <c r="G204">
        <v>102</v>
      </c>
      <c r="H204">
        <v>0</v>
      </c>
      <c r="I204">
        <v>74</v>
      </c>
      <c r="J204">
        <v>28</v>
      </c>
      <c r="K204">
        <v>67</v>
      </c>
      <c r="L204" t="b">
        <v>1</v>
      </c>
      <c r="M204">
        <v>108.64</v>
      </c>
      <c r="N204">
        <v>3041.92</v>
      </c>
      <c r="O204" t="s">
        <v>24</v>
      </c>
      <c r="P204" t="str">
        <f>IF(J204=G204+H204-I204,"OK","Check")</f>
        <v>OK</v>
      </c>
      <c r="Q204" t="str">
        <f>IF(AND(J204&lt;=K204,L204=TRUE),"OK",IF(AND(J204&gt;K204,L204=FALSE),"OK","Check"))</f>
        <v>OK</v>
      </c>
      <c r="R204" t="str">
        <f>IF(ABS(N204-J204*M204)&lt;=J204*0.005+0.01,"OK","Check")</f>
        <v>OK</v>
      </c>
      <c r="S204" s="3">
        <f t="shared" si="3"/>
        <v>1</v>
      </c>
    </row>
    <row r="205" spans="1:19">
      <c r="A205" s="1">
        <v>46054</v>
      </c>
      <c r="B205" t="s">
        <v>265</v>
      </c>
      <c r="C205" t="s">
        <v>35</v>
      </c>
      <c r="D205" t="s">
        <v>36</v>
      </c>
      <c r="E205" t="s">
        <v>22</v>
      </c>
      <c r="F205" t="s">
        <v>23</v>
      </c>
      <c r="G205">
        <v>38</v>
      </c>
      <c r="H205">
        <v>0</v>
      </c>
      <c r="I205">
        <v>18</v>
      </c>
      <c r="J205">
        <v>20</v>
      </c>
      <c r="K205">
        <v>29</v>
      </c>
      <c r="L205" t="b">
        <v>1</v>
      </c>
      <c r="M205">
        <v>606.6</v>
      </c>
      <c r="N205">
        <v>12131.91</v>
      </c>
      <c r="O205" t="s">
        <v>37</v>
      </c>
      <c r="P205" t="str">
        <f>IF(J205=G205+H205-I205,"OK","Check")</f>
        <v>OK</v>
      </c>
      <c r="Q205" t="str">
        <f>IF(AND(J205&lt;=K205,L205=TRUE),"OK",IF(AND(J205&gt;K205,L205=FALSE),"OK","Check"))</f>
        <v>OK</v>
      </c>
      <c r="R205" t="str">
        <f>IF(ABS(N205-J205*M205)&lt;=J205*0.005+0.01,"OK","Check")</f>
        <v>OK</v>
      </c>
      <c r="S205" s="3">
        <f t="shared" si="3"/>
        <v>1</v>
      </c>
    </row>
    <row r="206" spans="1:19">
      <c r="A206" s="1">
        <v>46054</v>
      </c>
      <c r="B206" t="s">
        <v>265</v>
      </c>
      <c r="C206" t="s">
        <v>38</v>
      </c>
      <c r="D206" t="s">
        <v>39</v>
      </c>
      <c r="E206" t="s">
        <v>22</v>
      </c>
      <c r="F206" t="s">
        <v>23</v>
      </c>
      <c r="G206">
        <v>262</v>
      </c>
      <c r="H206">
        <v>291</v>
      </c>
      <c r="I206">
        <v>92</v>
      </c>
      <c r="J206">
        <v>461</v>
      </c>
      <c r="K206">
        <v>75</v>
      </c>
      <c r="L206" t="b">
        <v>0</v>
      </c>
      <c r="M206">
        <v>80.09</v>
      </c>
      <c r="N206">
        <v>36920.400000000001</v>
      </c>
      <c r="O206" t="s">
        <v>24</v>
      </c>
      <c r="P206" t="str">
        <f>IF(J206=G206+H206-I206,"OK","Check")</f>
        <v>OK</v>
      </c>
      <c r="Q206" t="str">
        <f>IF(AND(J206&lt;=K206,L206=TRUE),"OK",IF(AND(J206&gt;K206,L206=FALSE),"OK","Check"))</f>
        <v>OK</v>
      </c>
      <c r="R206" t="str">
        <f>IF(ABS(N206-J206*M206)&lt;=J206*0.005+0.01,"OK","Check")</f>
        <v>OK</v>
      </c>
      <c r="S206" s="3">
        <f t="shared" si="3"/>
        <v>1</v>
      </c>
    </row>
    <row r="207" spans="1:19">
      <c r="A207" s="1">
        <v>46054</v>
      </c>
      <c r="B207" t="s">
        <v>265</v>
      </c>
      <c r="C207" t="s">
        <v>42</v>
      </c>
      <c r="D207" t="s">
        <v>43</v>
      </c>
      <c r="E207" t="s">
        <v>22</v>
      </c>
      <c r="F207" t="s">
        <v>23</v>
      </c>
      <c r="G207">
        <v>189</v>
      </c>
      <c r="H207">
        <v>440</v>
      </c>
      <c r="I207">
        <v>143</v>
      </c>
      <c r="J207">
        <v>486</v>
      </c>
      <c r="K207">
        <v>200</v>
      </c>
      <c r="L207" t="b">
        <v>0</v>
      </c>
      <c r="M207">
        <v>153.18</v>
      </c>
      <c r="N207">
        <v>74445.55</v>
      </c>
      <c r="O207" t="s">
        <v>44</v>
      </c>
      <c r="P207" t="str">
        <f>IF(J207=G207+H207-I207,"OK","Check")</f>
        <v>OK</v>
      </c>
      <c r="Q207" t="str">
        <f>IF(AND(J207&lt;=K207,L207=TRUE),"OK",IF(AND(J207&gt;K207,L207=FALSE),"OK","Check"))</f>
        <v>OK</v>
      </c>
      <c r="R207" t="str">
        <f>IF(ABS(N207-J207*M207)&lt;=J207*0.005+0.01,"OK","Check")</f>
        <v>OK</v>
      </c>
      <c r="S207" s="3">
        <f t="shared" si="3"/>
        <v>1</v>
      </c>
    </row>
    <row r="208" spans="1:19">
      <c r="A208" s="1">
        <v>46054</v>
      </c>
      <c r="B208" t="s">
        <v>265</v>
      </c>
      <c r="C208" t="s">
        <v>45</v>
      </c>
      <c r="D208" t="s">
        <v>46</v>
      </c>
      <c r="E208" t="s">
        <v>22</v>
      </c>
      <c r="F208" t="s">
        <v>23</v>
      </c>
      <c r="G208">
        <v>236</v>
      </c>
      <c r="H208">
        <v>372</v>
      </c>
      <c r="I208">
        <v>183</v>
      </c>
      <c r="J208">
        <v>425</v>
      </c>
      <c r="K208">
        <v>238</v>
      </c>
      <c r="L208" t="b">
        <v>0</v>
      </c>
      <c r="M208">
        <v>766.25</v>
      </c>
      <c r="N208">
        <v>325658.34000000003</v>
      </c>
      <c r="O208" t="s">
        <v>47</v>
      </c>
      <c r="P208" t="str">
        <f>IF(J208=G208+H208-I208,"OK","Check")</f>
        <v>OK</v>
      </c>
      <c r="Q208" t="str">
        <f>IF(AND(J208&lt;=K208,L208=TRUE),"OK",IF(AND(J208&gt;K208,L208=FALSE),"OK","Check"))</f>
        <v>OK</v>
      </c>
      <c r="R208" t="str">
        <f>IF(ABS(N208-J208*M208)&lt;=J208*0.005+0.01,"OK","Check")</f>
        <v>OK</v>
      </c>
      <c r="S208" s="3">
        <f t="shared" si="3"/>
        <v>1</v>
      </c>
    </row>
    <row r="209" spans="1:19">
      <c r="A209" s="1">
        <v>46054</v>
      </c>
      <c r="B209" t="s">
        <v>265</v>
      </c>
      <c r="C209" t="s">
        <v>50</v>
      </c>
      <c r="D209" t="s">
        <v>51</v>
      </c>
      <c r="E209" t="s">
        <v>22</v>
      </c>
      <c r="F209" t="s">
        <v>23</v>
      </c>
      <c r="G209">
        <v>123</v>
      </c>
      <c r="H209">
        <v>0</v>
      </c>
      <c r="I209">
        <v>123</v>
      </c>
      <c r="J209">
        <v>0</v>
      </c>
      <c r="K209">
        <v>85</v>
      </c>
      <c r="L209" t="b">
        <v>1</v>
      </c>
      <c r="M209">
        <v>262.52999999999997</v>
      </c>
      <c r="N209">
        <v>0</v>
      </c>
      <c r="O209" t="s">
        <v>24</v>
      </c>
      <c r="P209" t="str">
        <f>IF(J209=G209+H209-I209,"OK","Check")</f>
        <v>OK</v>
      </c>
      <c r="Q209" t="str">
        <f>IF(AND(J209&lt;=K209,L209=TRUE),"OK",IF(AND(J209&gt;K209,L209=FALSE),"OK","Check"))</f>
        <v>OK</v>
      </c>
      <c r="R209" t="str">
        <f>IF(ABS(N209-J209*M209)&lt;=J209*0.005+0.01,"OK","Check")</f>
        <v>OK</v>
      </c>
      <c r="S209" s="3">
        <f t="shared" si="3"/>
        <v>1</v>
      </c>
    </row>
    <row r="210" spans="1:19">
      <c r="A210" s="1">
        <v>46054</v>
      </c>
      <c r="B210" t="s">
        <v>265</v>
      </c>
      <c r="C210" t="s">
        <v>52</v>
      </c>
      <c r="D210" t="s">
        <v>53</v>
      </c>
      <c r="E210" t="s">
        <v>22</v>
      </c>
      <c r="F210" t="s">
        <v>23</v>
      </c>
      <c r="G210">
        <v>456</v>
      </c>
      <c r="H210">
        <v>0</v>
      </c>
      <c r="I210">
        <v>155</v>
      </c>
      <c r="J210">
        <v>301</v>
      </c>
      <c r="K210">
        <v>220</v>
      </c>
      <c r="L210" t="b">
        <v>0</v>
      </c>
      <c r="M210">
        <v>55.31</v>
      </c>
      <c r="N210">
        <v>16646.95</v>
      </c>
      <c r="O210" t="s">
        <v>47</v>
      </c>
      <c r="P210" t="str">
        <f>IF(J210=G210+H210-I210,"OK","Check")</f>
        <v>OK</v>
      </c>
      <c r="Q210" t="str">
        <f>IF(AND(J210&lt;=K210,L210=TRUE),"OK",IF(AND(J210&gt;K210,L210=FALSE),"OK","Check"))</f>
        <v>OK</v>
      </c>
      <c r="R210" t="str">
        <f>IF(ABS(N210-J210*M210)&lt;=J210*0.005+0.01,"OK","Check")</f>
        <v>OK</v>
      </c>
      <c r="S210" s="3">
        <f t="shared" si="3"/>
        <v>1</v>
      </c>
    </row>
    <row r="211" spans="1:19">
      <c r="A211" s="1">
        <v>46054</v>
      </c>
      <c r="B211" t="s">
        <v>265</v>
      </c>
      <c r="C211" t="s">
        <v>56</v>
      </c>
      <c r="D211" t="s">
        <v>57</v>
      </c>
      <c r="E211" t="s">
        <v>22</v>
      </c>
      <c r="F211" t="s">
        <v>23</v>
      </c>
      <c r="G211">
        <v>60</v>
      </c>
      <c r="H211">
        <v>0</v>
      </c>
      <c r="I211">
        <v>43</v>
      </c>
      <c r="J211">
        <v>17</v>
      </c>
      <c r="K211">
        <v>37</v>
      </c>
      <c r="L211" t="b">
        <v>1</v>
      </c>
      <c r="M211">
        <v>409.3</v>
      </c>
      <c r="N211">
        <v>6958.06</v>
      </c>
      <c r="O211" t="s">
        <v>24</v>
      </c>
      <c r="P211" t="str">
        <f>IF(J211=G211+H211-I211,"OK","Check")</f>
        <v>OK</v>
      </c>
      <c r="Q211" t="str">
        <f>IF(AND(J211&lt;=K211,L211=TRUE),"OK",IF(AND(J211&gt;K211,L211=FALSE),"OK","Check"))</f>
        <v>OK</v>
      </c>
      <c r="R211" t="str">
        <f>IF(ABS(N211-J211*M211)&lt;=J211*0.005+0.01,"OK","Check")</f>
        <v>OK</v>
      </c>
      <c r="S211" s="3">
        <f t="shared" si="3"/>
        <v>1</v>
      </c>
    </row>
    <row r="212" spans="1:19">
      <c r="A212" s="1">
        <v>46054</v>
      </c>
      <c r="B212" t="s">
        <v>265</v>
      </c>
      <c r="C212" t="s">
        <v>58</v>
      </c>
      <c r="D212" t="s">
        <v>59</v>
      </c>
      <c r="E212" t="s">
        <v>22</v>
      </c>
      <c r="F212" t="s">
        <v>23</v>
      </c>
      <c r="G212">
        <v>193</v>
      </c>
      <c r="H212">
        <v>0</v>
      </c>
      <c r="I212">
        <v>91</v>
      </c>
      <c r="J212">
        <v>102</v>
      </c>
      <c r="K212">
        <v>137</v>
      </c>
      <c r="L212" t="b">
        <v>1</v>
      </c>
      <c r="M212">
        <v>1908.9</v>
      </c>
      <c r="N212">
        <v>194707.31</v>
      </c>
      <c r="O212" t="s">
        <v>60</v>
      </c>
      <c r="P212" t="str">
        <f>IF(J212=G212+H212-I212,"OK","Check")</f>
        <v>OK</v>
      </c>
      <c r="Q212" t="str">
        <f>IF(AND(J212&lt;=K212,L212=TRUE),"OK",IF(AND(J212&gt;K212,L212=FALSE),"OK","Check"))</f>
        <v>OK</v>
      </c>
      <c r="R212" t="str">
        <f>IF(ABS(N212-J212*M212)&lt;=J212*0.005+0.01,"OK","Check")</f>
        <v>OK</v>
      </c>
      <c r="S212" s="3">
        <f t="shared" si="3"/>
        <v>1</v>
      </c>
    </row>
    <row r="213" spans="1:19">
      <c r="A213" s="1">
        <v>46054</v>
      </c>
      <c r="B213" t="s">
        <v>265</v>
      </c>
      <c r="C213" t="s">
        <v>61</v>
      </c>
      <c r="D213" t="s">
        <v>62</v>
      </c>
      <c r="E213" t="s">
        <v>22</v>
      </c>
      <c r="F213" t="s">
        <v>23</v>
      </c>
      <c r="G213">
        <v>207</v>
      </c>
      <c r="H213">
        <v>600</v>
      </c>
      <c r="I213">
        <v>214</v>
      </c>
      <c r="J213">
        <v>593</v>
      </c>
      <c r="K213">
        <v>244</v>
      </c>
      <c r="L213" t="b">
        <v>0</v>
      </c>
      <c r="M213">
        <v>25.08</v>
      </c>
      <c r="N213">
        <v>14870.59</v>
      </c>
      <c r="O213" t="s">
        <v>44</v>
      </c>
      <c r="P213" t="str">
        <f>IF(J213=G213+H213-I213,"OK","Check")</f>
        <v>OK</v>
      </c>
      <c r="Q213" t="str">
        <f>IF(AND(J213&lt;=K213,L213=TRUE),"OK",IF(AND(J213&gt;K213,L213=FALSE),"OK","Check"))</f>
        <v>OK</v>
      </c>
      <c r="R213" t="str">
        <f>IF(ABS(N213-J213*M213)&lt;=J213*0.005+0.01,"OK","Check")</f>
        <v>OK</v>
      </c>
      <c r="S213" s="3">
        <f t="shared" si="3"/>
        <v>1</v>
      </c>
    </row>
    <row r="214" spans="1:19">
      <c r="A214" s="1">
        <v>46054</v>
      </c>
      <c r="B214" t="s">
        <v>265</v>
      </c>
      <c r="C214" t="s">
        <v>63</v>
      </c>
      <c r="D214" t="s">
        <v>64</v>
      </c>
      <c r="E214" t="s">
        <v>22</v>
      </c>
      <c r="F214" t="s">
        <v>23</v>
      </c>
      <c r="G214">
        <v>120</v>
      </c>
      <c r="H214">
        <v>0</v>
      </c>
      <c r="I214">
        <v>51</v>
      </c>
      <c r="J214">
        <v>69</v>
      </c>
      <c r="K214">
        <v>58</v>
      </c>
      <c r="L214" t="b">
        <v>0</v>
      </c>
      <c r="M214">
        <v>117.64</v>
      </c>
      <c r="N214">
        <v>8117.2</v>
      </c>
      <c r="O214" t="s">
        <v>47</v>
      </c>
      <c r="P214" t="str">
        <f>IF(J214=G214+H214-I214,"OK","Check")</f>
        <v>OK</v>
      </c>
      <c r="Q214" t="str">
        <f>IF(AND(J214&lt;=K214,L214=TRUE),"OK",IF(AND(J214&gt;K214,L214=FALSE),"OK","Check"))</f>
        <v>OK</v>
      </c>
      <c r="R214" t="str">
        <f>IF(ABS(N214-J214*M214)&lt;=J214*0.005+0.01,"OK","Check")</f>
        <v>OK</v>
      </c>
      <c r="S214" s="3">
        <f t="shared" si="3"/>
        <v>1</v>
      </c>
    </row>
    <row r="215" spans="1:19">
      <c r="A215" s="1">
        <v>46054</v>
      </c>
      <c r="B215" t="s">
        <v>265</v>
      </c>
      <c r="C215" t="s">
        <v>65</v>
      </c>
      <c r="D215" t="s">
        <v>66</v>
      </c>
      <c r="E215" t="s">
        <v>22</v>
      </c>
      <c r="F215" t="s">
        <v>23</v>
      </c>
      <c r="G215">
        <v>149</v>
      </c>
      <c r="H215">
        <v>134</v>
      </c>
      <c r="I215">
        <v>46</v>
      </c>
      <c r="J215">
        <v>237</v>
      </c>
      <c r="K215">
        <v>70</v>
      </c>
      <c r="L215" t="b">
        <v>0</v>
      </c>
      <c r="M215">
        <v>73.37</v>
      </c>
      <c r="N215">
        <v>17388.650000000001</v>
      </c>
      <c r="O215" t="s">
        <v>44</v>
      </c>
      <c r="P215" t="str">
        <f>IF(J215=G215+H215-I215,"OK","Check")</f>
        <v>OK</v>
      </c>
      <c r="Q215" t="str">
        <f>IF(AND(J215&lt;=K215,L215=TRUE),"OK",IF(AND(J215&gt;K215,L215=FALSE),"OK","Check"))</f>
        <v>OK</v>
      </c>
      <c r="R215" t="str">
        <f>IF(ABS(N215-J215*M215)&lt;=J215*0.005+0.01,"OK","Check")</f>
        <v>OK</v>
      </c>
      <c r="S215" s="3">
        <f t="shared" si="3"/>
        <v>1</v>
      </c>
    </row>
    <row r="216" spans="1:19">
      <c r="A216" s="1">
        <v>46054</v>
      </c>
      <c r="B216" t="s">
        <v>265</v>
      </c>
      <c r="C216" t="s">
        <v>69</v>
      </c>
      <c r="D216" t="s">
        <v>70</v>
      </c>
      <c r="E216" t="s">
        <v>71</v>
      </c>
      <c r="F216" t="s">
        <v>23</v>
      </c>
      <c r="G216">
        <v>440</v>
      </c>
      <c r="H216">
        <v>0</v>
      </c>
      <c r="I216">
        <v>241</v>
      </c>
      <c r="J216">
        <v>199</v>
      </c>
      <c r="K216">
        <v>182</v>
      </c>
      <c r="L216" t="b">
        <v>0</v>
      </c>
      <c r="M216">
        <v>95.14</v>
      </c>
      <c r="N216">
        <v>18932.71</v>
      </c>
      <c r="O216" t="s">
        <v>27</v>
      </c>
      <c r="P216" t="str">
        <f>IF(J216=G216+H216-I216,"OK","Check")</f>
        <v>OK</v>
      </c>
      <c r="Q216" t="str">
        <f>IF(AND(J216&lt;=K216,L216=TRUE),"OK",IF(AND(J216&gt;K216,L216=FALSE),"OK","Check"))</f>
        <v>OK</v>
      </c>
      <c r="R216" t="str">
        <f>IF(ABS(N216-J216*M216)&lt;=J216*0.005+0.01,"OK","Check")</f>
        <v>OK</v>
      </c>
      <c r="S216" s="3">
        <f t="shared" si="3"/>
        <v>1</v>
      </c>
    </row>
    <row r="217" spans="1:19">
      <c r="A217" s="1">
        <v>46054</v>
      </c>
      <c r="B217" t="s">
        <v>265</v>
      </c>
      <c r="C217" t="s">
        <v>76</v>
      </c>
      <c r="D217" t="s">
        <v>77</v>
      </c>
      <c r="E217" t="s">
        <v>71</v>
      </c>
      <c r="F217" t="s">
        <v>23</v>
      </c>
      <c r="G217">
        <v>387</v>
      </c>
      <c r="H217">
        <v>0</v>
      </c>
      <c r="I217">
        <v>185</v>
      </c>
      <c r="J217">
        <v>202</v>
      </c>
      <c r="K217">
        <v>258</v>
      </c>
      <c r="L217" t="b">
        <v>1</v>
      </c>
      <c r="M217">
        <v>1097.4100000000001</v>
      </c>
      <c r="N217">
        <v>221675.98</v>
      </c>
      <c r="O217" t="s">
        <v>37</v>
      </c>
      <c r="P217" t="str">
        <f>IF(J217=G217+H217-I217,"OK","Check")</f>
        <v>OK</v>
      </c>
      <c r="Q217" t="str">
        <f>IF(AND(J217&lt;=K217,L217=TRUE),"OK",IF(AND(J217&gt;K217,L217=FALSE),"OK","Check"))</f>
        <v>OK</v>
      </c>
      <c r="R217" t="str">
        <f>IF(ABS(N217-J217*M217)&lt;=J217*0.005+0.01,"OK","Check")</f>
        <v>OK</v>
      </c>
      <c r="S217" s="3">
        <f t="shared" si="3"/>
        <v>1</v>
      </c>
    </row>
    <row r="218" spans="1:19">
      <c r="A218" s="1">
        <v>46054</v>
      </c>
      <c r="B218" t="s">
        <v>265</v>
      </c>
      <c r="C218" t="s">
        <v>78</v>
      </c>
      <c r="D218" t="s">
        <v>79</v>
      </c>
      <c r="E218" t="s">
        <v>71</v>
      </c>
      <c r="F218" t="s">
        <v>23</v>
      </c>
      <c r="G218">
        <v>219</v>
      </c>
      <c r="H218">
        <v>323</v>
      </c>
      <c r="I218">
        <v>152</v>
      </c>
      <c r="J218">
        <v>390</v>
      </c>
      <c r="K218">
        <v>216</v>
      </c>
      <c r="L218" t="b">
        <v>0</v>
      </c>
      <c r="M218">
        <v>343.23</v>
      </c>
      <c r="N218">
        <v>133861.42000000001</v>
      </c>
      <c r="O218" t="s">
        <v>47</v>
      </c>
      <c r="P218" t="str">
        <f>IF(J218=G218+H218-I218,"OK","Check")</f>
        <v>OK</v>
      </c>
      <c r="Q218" t="str">
        <f>IF(AND(J218&lt;=K218,L218=TRUE),"OK",IF(AND(J218&gt;K218,L218=FALSE),"OK","Check"))</f>
        <v>OK</v>
      </c>
      <c r="R218" t="str">
        <f>IF(ABS(N218-J218*M218)&lt;=J218*0.005+0.01,"OK","Check")</f>
        <v>OK</v>
      </c>
      <c r="S218" s="3">
        <f t="shared" si="3"/>
        <v>1</v>
      </c>
    </row>
    <row r="219" spans="1:19">
      <c r="A219" s="1">
        <v>46054</v>
      </c>
      <c r="B219" t="s">
        <v>265</v>
      </c>
      <c r="C219" t="s">
        <v>80</v>
      </c>
      <c r="D219" t="s">
        <v>81</v>
      </c>
      <c r="E219" t="s">
        <v>71</v>
      </c>
      <c r="F219" t="s">
        <v>23</v>
      </c>
      <c r="G219">
        <v>435</v>
      </c>
      <c r="H219">
        <v>0</v>
      </c>
      <c r="I219">
        <v>82</v>
      </c>
      <c r="J219">
        <v>353</v>
      </c>
      <c r="K219">
        <v>183</v>
      </c>
      <c r="L219" t="b">
        <v>0</v>
      </c>
      <c r="M219">
        <v>1792.84</v>
      </c>
      <c r="N219">
        <v>632872.04</v>
      </c>
      <c r="O219" t="s">
        <v>32</v>
      </c>
      <c r="P219" t="str">
        <f>IF(J219=G219+H219-I219,"OK","Check")</f>
        <v>OK</v>
      </c>
      <c r="Q219" t="str">
        <f>IF(AND(J219&lt;=K219,L219=TRUE),"OK",IF(AND(J219&gt;K219,L219=FALSE),"OK","Check"))</f>
        <v>OK</v>
      </c>
      <c r="R219" t="str">
        <f>IF(ABS(N219-J219*M219)&lt;=J219*0.005+0.01,"OK","Check")</f>
        <v>OK</v>
      </c>
      <c r="S219" s="3">
        <f t="shared" si="3"/>
        <v>1</v>
      </c>
    </row>
    <row r="220" spans="1:19">
      <c r="A220" s="1">
        <v>46054</v>
      </c>
      <c r="B220" t="s">
        <v>265</v>
      </c>
      <c r="C220" t="s">
        <v>82</v>
      </c>
      <c r="D220" t="s">
        <v>83</v>
      </c>
      <c r="E220" t="s">
        <v>71</v>
      </c>
      <c r="F220" t="s">
        <v>23</v>
      </c>
      <c r="G220">
        <v>288</v>
      </c>
      <c r="H220">
        <v>0</v>
      </c>
      <c r="I220">
        <v>143</v>
      </c>
      <c r="J220">
        <v>145</v>
      </c>
      <c r="K220">
        <v>227</v>
      </c>
      <c r="L220" t="b">
        <v>1</v>
      </c>
      <c r="M220">
        <v>1681.4</v>
      </c>
      <c r="N220">
        <v>243803.61</v>
      </c>
      <c r="O220" t="s">
        <v>37</v>
      </c>
      <c r="P220" t="str">
        <f>IF(J220=G220+H220-I220,"OK","Check")</f>
        <v>OK</v>
      </c>
      <c r="Q220" t="str">
        <f>IF(AND(J220&lt;=K220,L220=TRUE),"OK",IF(AND(J220&gt;K220,L220=FALSE),"OK","Check"))</f>
        <v>OK</v>
      </c>
      <c r="R220" t="str">
        <f>IF(ABS(N220-J220*M220)&lt;=J220*0.005+0.01,"OK","Check")</f>
        <v>OK</v>
      </c>
      <c r="S220" s="3">
        <f t="shared" si="3"/>
        <v>1</v>
      </c>
    </row>
    <row r="221" spans="1:19">
      <c r="A221" s="1">
        <v>46054</v>
      </c>
      <c r="B221" t="s">
        <v>265</v>
      </c>
      <c r="C221" t="s">
        <v>90</v>
      </c>
      <c r="D221" t="s">
        <v>91</v>
      </c>
      <c r="E221" t="s">
        <v>71</v>
      </c>
      <c r="F221" t="s">
        <v>23</v>
      </c>
      <c r="G221">
        <v>171</v>
      </c>
      <c r="H221">
        <v>443</v>
      </c>
      <c r="I221">
        <v>80</v>
      </c>
      <c r="J221">
        <v>534</v>
      </c>
      <c r="K221">
        <v>173</v>
      </c>
      <c r="L221" t="b">
        <v>0</v>
      </c>
      <c r="M221">
        <v>1742.12</v>
      </c>
      <c r="N221">
        <v>930290.51</v>
      </c>
      <c r="O221" t="s">
        <v>32</v>
      </c>
      <c r="P221" t="str">
        <f>IF(J221=G221+H221-I221,"OK","Check")</f>
        <v>OK</v>
      </c>
      <c r="Q221" t="str">
        <f>IF(AND(J221&lt;=K221,L221=TRUE),"OK",IF(AND(J221&gt;K221,L221=FALSE),"OK","Check"))</f>
        <v>OK</v>
      </c>
      <c r="R221" t="str">
        <f>IF(ABS(N221-J221*M221)&lt;=J221*0.005+0.01,"OK","Check")</f>
        <v>OK</v>
      </c>
      <c r="S221" s="3">
        <f t="shared" si="3"/>
        <v>1</v>
      </c>
    </row>
    <row r="222" spans="1:19">
      <c r="A222" s="1">
        <v>46054</v>
      </c>
      <c r="B222" t="s">
        <v>265</v>
      </c>
      <c r="C222" t="s">
        <v>245</v>
      </c>
      <c r="D222" t="s">
        <v>246</v>
      </c>
      <c r="E222" t="s">
        <v>71</v>
      </c>
      <c r="F222" t="s">
        <v>23</v>
      </c>
      <c r="G222">
        <v>249</v>
      </c>
      <c r="H222">
        <v>0</v>
      </c>
      <c r="I222">
        <v>104</v>
      </c>
      <c r="J222">
        <v>145</v>
      </c>
      <c r="K222">
        <v>141</v>
      </c>
      <c r="L222" t="b">
        <v>0</v>
      </c>
      <c r="M222">
        <v>8062.85</v>
      </c>
      <c r="N222">
        <v>1169113.75</v>
      </c>
      <c r="O222" t="s">
        <v>27</v>
      </c>
      <c r="P222" t="str">
        <f>IF(J222=G222+H222-I222,"OK","Check")</f>
        <v>OK</v>
      </c>
      <c r="Q222" t="str">
        <f>IF(AND(J222&lt;=K222,L222=TRUE),"OK",IF(AND(J222&gt;K222,L222=FALSE),"OK","Check"))</f>
        <v>OK</v>
      </c>
      <c r="R222" t="str">
        <f>IF(ABS(N222-J222*M222)&lt;=J222*0.005+0.01,"OK","Check")</f>
        <v>OK</v>
      </c>
      <c r="S222" s="3">
        <f t="shared" si="3"/>
        <v>1</v>
      </c>
    </row>
    <row r="223" spans="1:19">
      <c r="A223" s="1">
        <v>46054</v>
      </c>
      <c r="B223" t="s">
        <v>265</v>
      </c>
      <c r="C223" t="s">
        <v>92</v>
      </c>
      <c r="D223" t="s">
        <v>93</v>
      </c>
      <c r="E223" t="s">
        <v>71</v>
      </c>
      <c r="F223" t="s">
        <v>23</v>
      </c>
      <c r="G223">
        <v>53</v>
      </c>
      <c r="H223">
        <v>0</v>
      </c>
      <c r="I223">
        <v>29</v>
      </c>
      <c r="J223">
        <v>24</v>
      </c>
      <c r="K223">
        <v>37</v>
      </c>
      <c r="L223" t="b">
        <v>1</v>
      </c>
      <c r="M223">
        <v>249.26</v>
      </c>
      <c r="N223">
        <v>5982.22</v>
      </c>
      <c r="O223" t="s">
        <v>24</v>
      </c>
      <c r="P223" t="str">
        <f>IF(J223=G223+H223-I223,"OK","Check")</f>
        <v>OK</v>
      </c>
      <c r="Q223" t="str">
        <f>IF(AND(J223&lt;=K223,L223=TRUE),"OK",IF(AND(J223&gt;K223,L223=FALSE),"OK","Check"))</f>
        <v>OK</v>
      </c>
      <c r="R223" t="str">
        <f>IF(ABS(N223-J223*M223)&lt;=J223*0.005+0.01,"OK","Check")</f>
        <v>OK</v>
      </c>
      <c r="S223" s="3">
        <f t="shared" si="3"/>
        <v>1</v>
      </c>
    </row>
    <row r="224" spans="1:19">
      <c r="A224" s="1">
        <v>46054</v>
      </c>
      <c r="B224" t="s">
        <v>265</v>
      </c>
      <c r="C224" t="s">
        <v>94</v>
      </c>
      <c r="D224" t="s">
        <v>95</v>
      </c>
      <c r="E224" t="s">
        <v>71</v>
      </c>
      <c r="F224" t="s">
        <v>23</v>
      </c>
      <c r="G224">
        <v>25</v>
      </c>
      <c r="H224">
        <v>74</v>
      </c>
      <c r="I224">
        <v>25</v>
      </c>
      <c r="J224">
        <v>74</v>
      </c>
      <c r="K224">
        <v>22</v>
      </c>
      <c r="L224" t="b">
        <v>0</v>
      </c>
      <c r="M224">
        <v>1299.6600000000001</v>
      </c>
      <c r="N224">
        <v>96175.01</v>
      </c>
      <c r="O224" t="s">
        <v>32</v>
      </c>
      <c r="P224" t="str">
        <f>IF(J224=G224+H224-I224,"OK","Check")</f>
        <v>OK</v>
      </c>
      <c r="Q224" t="str">
        <f>IF(AND(J224&lt;=K224,L224=TRUE),"OK",IF(AND(J224&gt;K224,L224=FALSE),"OK","Check"))</f>
        <v>OK</v>
      </c>
      <c r="R224" t="str">
        <f>IF(ABS(N224-J224*M224)&lt;=J224*0.005+0.01,"OK","Check")</f>
        <v>OK</v>
      </c>
      <c r="S224" s="3">
        <f t="shared" si="3"/>
        <v>1</v>
      </c>
    </row>
    <row r="225" spans="1:19">
      <c r="A225" s="1">
        <v>46054</v>
      </c>
      <c r="B225" t="s">
        <v>265</v>
      </c>
      <c r="C225" t="s">
        <v>96</v>
      </c>
      <c r="D225" t="s">
        <v>97</v>
      </c>
      <c r="E225" t="s">
        <v>71</v>
      </c>
      <c r="F225" t="s">
        <v>23</v>
      </c>
      <c r="G225">
        <v>251</v>
      </c>
      <c r="H225">
        <v>0</v>
      </c>
      <c r="I225">
        <v>157</v>
      </c>
      <c r="J225">
        <v>94</v>
      </c>
      <c r="K225">
        <v>180</v>
      </c>
      <c r="L225" t="b">
        <v>1</v>
      </c>
      <c r="M225">
        <v>665.46</v>
      </c>
      <c r="N225">
        <v>62553.61</v>
      </c>
      <c r="O225" t="s">
        <v>98</v>
      </c>
      <c r="P225" t="str">
        <f>IF(J225=G225+H225-I225,"OK","Check")</f>
        <v>OK</v>
      </c>
      <c r="Q225" t="str">
        <f>IF(AND(J225&lt;=K225,L225=TRUE),"OK",IF(AND(J225&gt;K225,L225=FALSE),"OK","Check"))</f>
        <v>OK</v>
      </c>
      <c r="R225" t="str">
        <f>IF(ABS(N225-J225*M225)&lt;=J225*0.005+0.01,"OK","Check")</f>
        <v>OK</v>
      </c>
      <c r="S225" s="3">
        <f t="shared" si="3"/>
        <v>1</v>
      </c>
    </row>
    <row r="226" spans="1:19">
      <c r="A226" s="1">
        <v>46054</v>
      </c>
      <c r="B226" t="s">
        <v>265</v>
      </c>
      <c r="C226" t="s">
        <v>99</v>
      </c>
      <c r="D226" t="s">
        <v>100</v>
      </c>
      <c r="E226" t="s">
        <v>71</v>
      </c>
      <c r="F226" t="s">
        <v>23</v>
      </c>
      <c r="G226">
        <v>290</v>
      </c>
      <c r="H226">
        <v>0</v>
      </c>
      <c r="I226">
        <v>215</v>
      </c>
      <c r="J226">
        <v>75</v>
      </c>
      <c r="K226">
        <v>158</v>
      </c>
      <c r="L226" t="b">
        <v>1</v>
      </c>
      <c r="M226">
        <v>3400.86</v>
      </c>
      <c r="N226">
        <v>255064.65</v>
      </c>
      <c r="O226" t="s">
        <v>47</v>
      </c>
      <c r="P226" t="str">
        <f>IF(J226=G226+H226-I226,"OK","Check")</f>
        <v>OK</v>
      </c>
      <c r="Q226" t="str">
        <f>IF(AND(J226&lt;=K226,L226=TRUE),"OK",IF(AND(J226&gt;K226,L226=FALSE),"OK","Check"))</f>
        <v>OK</v>
      </c>
      <c r="R226" t="str">
        <f>IF(ABS(N226-J226*M226)&lt;=J226*0.005+0.01,"OK","Check")</f>
        <v>OK</v>
      </c>
      <c r="S226" s="3">
        <f t="shared" si="3"/>
        <v>1</v>
      </c>
    </row>
    <row r="227" spans="1:19">
      <c r="A227" s="1">
        <v>46054</v>
      </c>
      <c r="B227" t="s">
        <v>265</v>
      </c>
      <c r="C227" t="s">
        <v>101</v>
      </c>
      <c r="D227" t="s">
        <v>102</v>
      </c>
      <c r="E227" t="s">
        <v>71</v>
      </c>
      <c r="F227" t="s">
        <v>23</v>
      </c>
      <c r="G227">
        <v>240</v>
      </c>
      <c r="H227">
        <v>0</v>
      </c>
      <c r="I227">
        <v>116</v>
      </c>
      <c r="J227">
        <v>124</v>
      </c>
      <c r="K227">
        <v>198</v>
      </c>
      <c r="L227" t="b">
        <v>1</v>
      </c>
      <c r="M227">
        <v>58.42</v>
      </c>
      <c r="N227">
        <v>7243.61</v>
      </c>
      <c r="O227" t="s">
        <v>32</v>
      </c>
      <c r="P227" t="str">
        <f>IF(J227=G227+H227-I227,"OK","Check")</f>
        <v>OK</v>
      </c>
      <c r="Q227" t="str">
        <f>IF(AND(J227&lt;=K227,L227=TRUE),"OK",IF(AND(J227&gt;K227,L227=FALSE),"OK","Check"))</f>
        <v>OK</v>
      </c>
      <c r="R227" t="str">
        <f>IF(ABS(N227-J227*M227)&lt;=J227*0.005+0.01,"OK","Check")</f>
        <v>OK</v>
      </c>
      <c r="S227" s="3">
        <f t="shared" si="3"/>
        <v>1</v>
      </c>
    </row>
    <row r="228" spans="1:19">
      <c r="A228" s="1">
        <v>46054</v>
      </c>
      <c r="B228" t="s">
        <v>265</v>
      </c>
      <c r="C228" t="s">
        <v>247</v>
      </c>
      <c r="D228" t="s">
        <v>248</v>
      </c>
      <c r="E228" t="s">
        <v>71</v>
      </c>
      <c r="F228" t="s">
        <v>23</v>
      </c>
      <c r="G228">
        <v>550</v>
      </c>
      <c r="H228">
        <v>471</v>
      </c>
      <c r="I228">
        <v>227</v>
      </c>
      <c r="J228">
        <v>794</v>
      </c>
      <c r="K228">
        <v>260</v>
      </c>
      <c r="L228" t="b">
        <v>0</v>
      </c>
      <c r="M228">
        <v>269.74</v>
      </c>
      <c r="N228">
        <v>214175.78</v>
      </c>
      <c r="O228" t="s">
        <v>32</v>
      </c>
      <c r="P228" t="str">
        <f>IF(J228=G228+H228-I228,"OK","Check")</f>
        <v>OK</v>
      </c>
      <c r="Q228" t="str">
        <f>IF(AND(J228&lt;=K228,L228=TRUE),"OK",IF(AND(J228&gt;K228,L228=FALSE),"OK","Check"))</f>
        <v>OK</v>
      </c>
      <c r="R228" t="str">
        <f>IF(ABS(N228-J228*M228)&lt;=J228*0.005+0.01,"OK","Check")</f>
        <v>OK</v>
      </c>
      <c r="S228" s="3">
        <f t="shared" si="3"/>
        <v>1</v>
      </c>
    </row>
    <row r="229" spans="1:19">
      <c r="A229" s="1">
        <v>46054</v>
      </c>
      <c r="B229" t="s">
        <v>265</v>
      </c>
      <c r="C229" t="s">
        <v>103</v>
      </c>
      <c r="D229" t="s">
        <v>104</v>
      </c>
      <c r="E229" t="s">
        <v>71</v>
      </c>
      <c r="F229" t="s">
        <v>23</v>
      </c>
      <c r="G229">
        <v>428</v>
      </c>
      <c r="H229">
        <v>0</v>
      </c>
      <c r="I229">
        <v>129</v>
      </c>
      <c r="J229">
        <v>299</v>
      </c>
      <c r="K229">
        <v>246</v>
      </c>
      <c r="L229" t="b">
        <v>0</v>
      </c>
      <c r="M229">
        <v>564.13</v>
      </c>
      <c r="N229">
        <v>168674.36</v>
      </c>
      <c r="O229" t="s">
        <v>98</v>
      </c>
      <c r="P229" t="str">
        <f>IF(J229=G229+H229-I229,"OK","Check")</f>
        <v>OK</v>
      </c>
      <c r="Q229" t="str">
        <f>IF(AND(J229&lt;=K229,L229=TRUE),"OK",IF(AND(J229&gt;K229,L229=FALSE),"OK","Check"))</f>
        <v>OK</v>
      </c>
      <c r="R229" t="str">
        <f>IF(ABS(N229-J229*M229)&lt;=J229*0.005+0.01,"OK","Check")</f>
        <v>OK</v>
      </c>
      <c r="S229" s="3">
        <f t="shared" si="3"/>
        <v>1</v>
      </c>
    </row>
    <row r="230" spans="1:19">
      <c r="A230" s="1">
        <v>46054</v>
      </c>
      <c r="B230" t="s">
        <v>265</v>
      </c>
      <c r="C230" t="s">
        <v>105</v>
      </c>
      <c r="D230" t="s">
        <v>106</v>
      </c>
      <c r="E230" t="s">
        <v>71</v>
      </c>
      <c r="F230" t="s">
        <v>23</v>
      </c>
      <c r="G230">
        <v>298</v>
      </c>
      <c r="H230">
        <v>307</v>
      </c>
      <c r="I230">
        <v>120</v>
      </c>
      <c r="J230">
        <v>485</v>
      </c>
      <c r="K230">
        <v>165</v>
      </c>
      <c r="L230" t="b">
        <v>0</v>
      </c>
      <c r="M230">
        <v>2190.56</v>
      </c>
      <c r="N230">
        <v>1062420.96</v>
      </c>
      <c r="O230" t="s">
        <v>32</v>
      </c>
      <c r="P230" t="str">
        <f>IF(J230=G230+H230-I230,"OK","Check")</f>
        <v>OK</v>
      </c>
      <c r="Q230" t="str">
        <f>IF(AND(J230&lt;=K230,L230=TRUE),"OK",IF(AND(J230&gt;K230,L230=FALSE),"OK","Check"))</f>
        <v>OK</v>
      </c>
      <c r="R230" t="str">
        <f>IF(ABS(N230-J230*M230)&lt;=J230*0.005+0.01,"OK","Check")</f>
        <v>OK</v>
      </c>
      <c r="S230" s="3">
        <f t="shared" si="3"/>
        <v>1</v>
      </c>
    </row>
    <row r="231" spans="1:19">
      <c r="A231" s="1">
        <v>46054</v>
      </c>
      <c r="B231" t="s">
        <v>265</v>
      </c>
      <c r="C231" t="s">
        <v>107</v>
      </c>
      <c r="D231" t="s">
        <v>108</v>
      </c>
      <c r="E231" t="s">
        <v>109</v>
      </c>
      <c r="F231" t="s">
        <v>110</v>
      </c>
      <c r="G231">
        <v>289</v>
      </c>
      <c r="H231">
        <v>0</v>
      </c>
      <c r="I231">
        <v>108</v>
      </c>
      <c r="J231">
        <v>181</v>
      </c>
      <c r="K231">
        <v>190</v>
      </c>
      <c r="L231" t="b">
        <v>1</v>
      </c>
      <c r="M231">
        <v>91.6</v>
      </c>
      <c r="N231">
        <v>16580.150000000001</v>
      </c>
      <c r="O231" t="s">
        <v>24</v>
      </c>
      <c r="P231" t="str">
        <f>IF(J231=G231+H231-I231,"OK","Check")</f>
        <v>OK</v>
      </c>
      <c r="Q231" t="str">
        <f>IF(AND(J231&lt;=K231,L231=TRUE),"OK",IF(AND(J231&gt;K231,L231=FALSE),"OK","Check"))</f>
        <v>OK</v>
      </c>
      <c r="R231" t="str">
        <f>IF(ABS(N231-J231*M231)&lt;=J231*0.005+0.01,"OK","Check")</f>
        <v>OK</v>
      </c>
      <c r="S231" s="3">
        <f t="shared" si="3"/>
        <v>1</v>
      </c>
    </row>
    <row r="232" spans="1:19">
      <c r="A232" s="1">
        <v>46054</v>
      </c>
      <c r="B232" t="s">
        <v>265</v>
      </c>
      <c r="C232" t="s">
        <v>111</v>
      </c>
      <c r="D232" t="s">
        <v>112</v>
      </c>
      <c r="E232" t="s">
        <v>109</v>
      </c>
      <c r="F232" t="s">
        <v>110</v>
      </c>
      <c r="G232">
        <v>50</v>
      </c>
      <c r="H232">
        <v>0</v>
      </c>
      <c r="I232">
        <v>36</v>
      </c>
      <c r="J232">
        <v>14</v>
      </c>
      <c r="K232">
        <v>39</v>
      </c>
      <c r="L232" t="b">
        <v>1</v>
      </c>
      <c r="M232">
        <v>445.97</v>
      </c>
      <c r="N232">
        <v>6243.57</v>
      </c>
      <c r="O232" t="s">
        <v>98</v>
      </c>
      <c r="P232" t="str">
        <f>IF(J232=G232+H232-I232,"OK","Check")</f>
        <v>OK</v>
      </c>
      <c r="Q232" t="str">
        <f>IF(AND(J232&lt;=K232,L232=TRUE),"OK",IF(AND(J232&gt;K232,L232=FALSE),"OK","Check"))</f>
        <v>OK</v>
      </c>
      <c r="R232" t="str">
        <f>IF(ABS(N232-J232*M232)&lt;=J232*0.005+0.01,"OK","Check")</f>
        <v>OK</v>
      </c>
      <c r="S232" s="3">
        <f t="shared" si="3"/>
        <v>1</v>
      </c>
    </row>
    <row r="233" spans="1:19">
      <c r="A233" s="1">
        <v>46054</v>
      </c>
      <c r="B233" t="s">
        <v>265</v>
      </c>
      <c r="C233" t="s">
        <v>113</v>
      </c>
      <c r="D233" t="s">
        <v>114</v>
      </c>
      <c r="E233" t="s">
        <v>109</v>
      </c>
      <c r="F233" t="s">
        <v>110</v>
      </c>
      <c r="G233">
        <v>174</v>
      </c>
      <c r="H233">
        <v>0</v>
      </c>
      <c r="I233">
        <v>79</v>
      </c>
      <c r="J233">
        <v>95</v>
      </c>
      <c r="K233">
        <v>131</v>
      </c>
      <c r="L233" t="b">
        <v>1</v>
      </c>
      <c r="M233">
        <v>127.19</v>
      </c>
      <c r="N233">
        <v>12082.66</v>
      </c>
      <c r="O233" t="s">
        <v>27</v>
      </c>
      <c r="P233" t="str">
        <f>IF(J233=G233+H233-I233,"OK","Check")</f>
        <v>OK</v>
      </c>
      <c r="Q233" t="str">
        <f>IF(AND(J233&lt;=K233,L233=TRUE),"OK",IF(AND(J233&gt;K233,L233=FALSE),"OK","Check"))</f>
        <v>OK</v>
      </c>
      <c r="R233" t="str">
        <f>IF(ABS(N233-J233*M233)&lt;=J233*0.005+0.01,"OK","Check")</f>
        <v>OK</v>
      </c>
      <c r="S233" s="3">
        <f t="shared" si="3"/>
        <v>1</v>
      </c>
    </row>
    <row r="234" spans="1:19">
      <c r="A234" s="1">
        <v>46054</v>
      </c>
      <c r="B234" t="s">
        <v>265</v>
      </c>
      <c r="C234" t="s">
        <v>115</v>
      </c>
      <c r="D234" t="s">
        <v>116</v>
      </c>
      <c r="E234" t="s">
        <v>109</v>
      </c>
      <c r="F234" t="s">
        <v>110</v>
      </c>
      <c r="G234">
        <v>579</v>
      </c>
      <c r="H234">
        <v>644</v>
      </c>
      <c r="I234">
        <v>96</v>
      </c>
      <c r="J234">
        <v>1127</v>
      </c>
      <c r="K234">
        <v>202</v>
      </c>
      <c r="L234" t="b">
        <v>0</v>
      </c>
      <c r="M234">
        <v>614.96</v>
      </c>
      <c r="N234">
        <v>693063</v>
      </c>
      <c r="O234" t="s">
        <v>44</v>
      </c>
      <c r="P234" t="str">
        <f>IF(J234=G234+H234-I234,"OK","Check")</f>
        <v>OK</v>
      </c>
      <c r="Q234" t="str">
        <f>IF(AND(J234&lt;=K234,L234=TRUE),"OK",IF(AND(J234&gt;K234,L234=FALSE),"OK","Check"))</f>
        <v>OK</v>
      </c>
      <c r="R234" t="str">
        <f>IF(ABS(N234-J234*M234)&lt;=J234*0.005+0.01,"OK","Check")</f>
        <v>OK</v>
      </c>
      <c r="S234" s="3">
        <f t="shared" si="3"/>
        <v>1</v>
      </c>
    </row>
    <row r="235" spans="1:19">
      <c r="A235" s="1">
        <v>46054</v>
      </c>
      <c r="B235" t="s">
        <v>265</v>
      </c>
      <c r="C235" t="s">
        <v>117</v>
      </c>
      <c r="D235" t="s">
        <v>118</v>
      </c>
      <c r="E235" t="s">
        <v>109</v>
      </c>
      <c r="F235" t="s">
        <v>110</v>
      </c>
      <c r="G235">
        <v>248</v>
      </c>
      <c r="H235">
        <v>528</v>
      </c>
      <c r="I235">
        <v>215</v>
      </c>
      <c r="J235">
        <v>561</v>
      </c>
      <c r="K235">
        <v>315</v>
      </c>
      <c r="L235" t="b">
        <v>0</v>
      </c>
      <c r="M235">
        <v>45.21</v>
      </c>
      <c r="N235">
        <v>25362.87</v>
      </c>
      <c r="O235" t="s">
        <v>32</v>
      </c>
      <c r="P235" t="str">
        <f>IF(J235=G235+H235-I235,"OK","Check")</f>
        <v>OK</v>
      </c>
      <c r="Q235" t="str">
        <f>IF(AND(J235&lt;=K235,L235=TRUE),"OK",IF(AND(J235&gt;K235,L235=FALSE),"OK","Check"))</f>
        <v>OK</v>
      </c>
      <c r="R235" t="str">
        <f>IF(ABS(N235-J235*M235)&lt;=J235*0.005+0.01,"OK","Check")</f>
        <v>OK</v>
      </c>
      <c r="S235" s="3">
        <f t="shared" si="3"/>
        <v>1</v>
      </c>
    </row>
    <row r="236" spans="1:19">
      <c r="A236" s="1">
        <v>46054</v>
      </c>
      <c r="B236" t="s">
        <v>265</v>
      </c>
      <c r="C236" t="s">
        <v>121</v>
      </c>
      <c r="D236" t="s">
        <v>122</v>
      </c>
      <c r="E236" t="s">
        <v>109</v>
      </c>
      <c r="F236" t="s">
        <v>110</v>
      </c>
      <c r="G236">
        <v>211</v>
      </c>
      <c r="H236">
        <v>0</v>
      </c>
      <c r="I236">
        <v>99</v>
      </c>
      <c r="J236">
        <v>112</v>
      </c>
      <c r="K236">
        <v>121</v>
      </c>
      <c r="L236" t="b">
        <v>1</v>
      </c>
      <c r="M236">
        <v>41.44</v>
      </c>
      <c r="N236">
        <v>4641.41</v>
      </c>
      <c r="O236" t="s">
        <v>47</v>
      </c>
      <c r="P236" t="str">
        <f>IF(J236=G236+H236-I236,"OK","Check")</f>
        <v>OK</v>
      </c>
      <c r="Q236" t="str">
        <f>IF(AND(J236&lt;=K236,L236=TRUE),"OK",IF(AND(J236&gt;K236,L236=FALSE),"OK","Check"))</f>
        <v>OK</v>
      </c>
      <c r="R236" t="str">
        <f>IF(ABS(N236-J236*M236)&lt;=J236*0.005+0.01,"OK","Check")</f>
        <v>OK</v>
      </c>
      <c r="S236" s="3">
        <f t="shared" si="3"/>
        <v>1</v>
      </c>
    </row>
    <row r="237" spans="1:19">
      <c r="A237" s="1">
        <v>46054</v>
      </c>
      <c r="B237" t="s">
        <v>265</v>
      </c>
      <c r="C237" t="s">
        <v>123</v>
      </c>
      <c r="D237" t="s">
        <v>124</v>
      </c>
      <c r="E237" t="s">
        <v>109</v>
      </c>
      <c r="F237" t="s">
        <v>110</v>
      </c>
      <c r="G237">
        <v>113</v>
      </c>
      <c r="H237">
        <v>0</v>
      </c>
      <c r="I237">
        <v>49</v>
      </c>
      <c r="J237">
        <v>64</v>
      </c>
      <c r="K237">
        <v>54</v>
      </c>
      <c r="L237" t="b">
        <v>0</v>
      </c>
      <c r="M237">
        <v>158.54</v>
      </c>
      <c r="N237">
        <v>10146.34</v>
      </c>
      <c r="O237" t="s">
        <v>24</v>
      </c>
      <c r="P237" t="str">
        <f>IF(J237=G237+H237-I237,"OK","Check")</f>
        <v>OK</v>
      </c>
      <c r="Q237" t="str">
        <f>IF(AND(J237&lt;=K237,L237=TRUE),"OK",IF(AND(J237&gt;K237,L237=FALSE),"OK","Check"))</f>
        <v>OK</v>
      </c>
      <c r="R237" t="str">
        <f>IF(ABS(N237-J237*M237)&lt;=J237*0.005+0.01,"OK","Check")</f>
        <v>OK</v>
      </c>
      <c r="S237" s="3">
        <f t="shared" si="3"/>
        <v>1</v>
      </c>
    </row>
    <row r="238" spans="1:19">
      <c r="A238" s="1">
        <v>46054</v>
      </c>
      <c r="B238" t="s">
        <v>265</v>
      </c>
      <c r="C238" t="s">
        <v>125</v>
      </c>
      <c r="D238" t="s">
        <v>126</v>
      </c>
      <c r="E238" t="s">
        <v>109</v>
      </c>
      <c r="F238" t="s">
        <v>110</v>
      </c>
      <c r="G238">
        <v>49</v>
      </c>
      <c r="H238">
        <v>0</v>
      </c>
      <c r="I238">
        <v>24</v>
      </c>
      <c r="J238">
        <v>25</v>
      </c>
      <c r="K238">
        <v>38</v>
      </c>
      <c r="L238" t="b">
        <v>1</v>
      </c>
      <c r="M238">
        <v>131.84</v>
      </c>
      <c r="N238">
        <v>3295.93</v>
      </c>
      <c r="O238" t="s">
        <v>47</v>
      </c>
      <c r="P238" t="str">
        <f>IF(J238=G238+H238-I238,"OK","Check")</f>
        <v>OK</v>
      </c>
      <c r="Q238" t="str">
        <f>IF(AND(J238&lt;=K238,L238=TRUE),"OK",IF(AND(J238&gt;K238,L238=FALSE),"OK","Check"))</f>
        <v>OK</v>
      </c>
      <c r="R238" t="str">
        <f>IF(ABS(N238-J238*M238)&lt;=J238*0.005+0.01,"OK","Check")</f>
        <v>OK</v>
      </c>
      <c r="S238" s="3">
        <f t="shared" si="3"/>
        <v>1</v>
      </c>
    </row>
    <row r="239" spans="1:19">
      <c r="A239" s="1">
        <v>46054</v>
      </c>
      <c r="B239" t="s">
        <v>265</v>
      </c>
      <c r="C239" t="s">
        <v>127</v>
      </c>
      <c r="D239" t="s">
        <v>128</v>
      </c>
      <c r="E239" t="s">
        <v>109</v>
      </c>
      <c r="F239" t="s">
        <v>110</v>
      </c>
      <c r="G239">
        <v>309</v>
      </c>
      <c r="H239">
        <v>0</v>
      </c>
      <c r="I239">
        <v>178</v>
      </c>
      <c r="J239">
        <v>131</v>
      </c>
      <c r="K239">
        <v>160</v>
      </c>
      <c r="L239" t="b">
        <v>1</v>
      </c>
      <c r="M239">
        <v>676.74</v>
      </c>
      <c r="N239">
        <v>88653.45</v>
      </c>
      <c r="O239" t="s">
        <v>44</v>
      </c>
      <c r="P239" t="str">
        <f>IF(J239=G239+H239-I239,"OK","Check")</f>
        <v>OK</v>
      </c>
      <c r="Q239" t="str">
        <f>IF(AND(J239&lt;=K239,L239=TRUE),"OK",IF(AND(J239&gt;K239,L239=FALSE),"OK","Check"))</f>
        <v>OK</v>
      </c>
      <c r="R239" t="str">
        <f>IF(ABS(N239-J239*M239)&lt;=J239*0.005+0.01,"OK","Check")</f>
        <v>OK</v>
      </c>
      <c r="S239" s="3">
        <f t="shared" si="3"/>
        <v>1</v>
      </c>
    </row>
    <row r="240" spans="1:19">
      <c r="A240" s="1">
        <v>46054</v>
      </c>
      <c r="B240" t="s">
        <v>265</v>
      </c>
      <c r="C240" t="s">
        <v>131</v>
      </c>
      <c r="D240" t="s">
        <v>132</v>
      </c>
      <c r="E240" t="s">
        <v>109</v>
      </c>
      <c r="F240" t="s">
        <v>110</v>
      </c>
      <c r="G240">
        <v>196</v>
      </c>
      <c r="H240">
        <v>0</v>
      </c>
      <c r="I240">
        <v>89</v>
      </c>
      <c r="J240">
        <v>107</v>
      </c>
      <c r="K240">
        <v>121</v>
      </c>
      <c r="L240" t="b">
        <v>1</v>
      </c>
      <c r="M240">
        <v>1943.38</v>
      </c>
      <c r="N240">
        <v>207942.01</v>
      </c>
      <c r="O240" t="s">
        <v>24</v>
      </c>
      <c r="P240" t="str">
        <f>IF(J240=G240+H240-I240,"OK","Check")</f>
        <v>OK</v>
      </c>
      <c r="Q240" t="str">
        <f>IF(AND(J240&lt;=K240,L240=TRUE),"OK",IF(AND(J240&gt;K240,L240=FALSE),"OK","Check"))</f>
        <v>OK</v>
      </c>
      <c r="R240" t="str">
        <f>IF(ABS(N240-J240*M240)&lt;=J240*0.005+0.01,"OK","Check")</f>
        <v>OK</v>
      </c>
      <c r="S240" s="3">
        <f t="shared" si="3"/>
        <v>1</v>
      </c>
    </row>
    <row r="241" spans="1:19">
      <c r="A241" s="1">
        <v>46054</v>
      </c>
      <c r="B241" t="s">
        <v>265</v>
      </c>
      <c r="C241" t="s">
        <v>133</v>
      </c>
      <c r="D241" t="s">
        <v>134</v>
      </c>
      <c r="E241" t="s">
        <v>109</v>
      </c>
      <c r="F241" t="s">
        <v>110</v>
      </c>
      <c r="G241">
        <v>144</v>
      </c>
      <c r="H241">
        <v>303</v>
      </c>
      <c r="I241">
        <v>94</v>
      </c>
      <c r="J241">
        <v>353</v>
      </c>
      <c r="K241">
        <v>121</v>
      </c>
      <c r="L241" t="b">
        <v>0</v>
      </c>
      <c r="M241">
        <v>20.3</v>
      </c>
      <c r="N241">
        <v>7165.61</v>
      </c>
      <c r="O241" t="s">
        <v>98</v>
      </c>
      <c r="P241" t="str">
        <f>IF(J241=G241+H241-I241,"OK","Check")</f>
        <v>OK</v>
      </c>
      <c r="Q241" t="str">
        <f>IF(AND(J241&lt;=K241,L241=TRUE),"OK",IF(AND(J241&gt;K241,L241=FALSE),"OK","Check"))</f>
        <v>OK</v>
      </c>
      <c r="R241" t="str">
        <f>IF(ABS(N241-J241*M241)&lt;=J241*0.005+0.01,"OK","Check")</f>
        <v>OK</v>
      </c>
      <c r="S241" s="3">
        <f t="shared" si="3"/>
        <v>1</v>
      </c>
    </row>
    <row r="242" spans="1:19">
      <c r="A242" s="1">
        <v>46054</v>
      </c>
      <c r="B242" t="s">
        <v>265</v>
      </c>
      <c r="C242" t="s">
        <v>135</v>
      </c>
      <c r="D242" t="s">
        <v>136</v>
      </c>
      <c r="E242" t="s">
        <v>109</v>
      </c>
      <c r="F242" t="s">
        <v>110</v>
      </c>
      <c r="G242">
        <v>294</v>
      </c>
      <c r="H242">
        <v>0</v>
      </c>
      <c r="I242">
        <v>95</v>
      </c>
      <c r="J242">
        <v>199</v>
      </c>
      <c r="K242">
        <v>190</v>
      </c>
      <c r="L242" t="b">
        <v>0</v>
      </c>
      <c r="M242">
        <v>102.45</v>
      </c>
      <c r="N242">
        <v>20387.2</v>
      </c>
      <c r="O242" t="s">
        <v>32</v>
      </c>
      <c r="P242" t="str">
        <f>IF(J242=G242+H242-I242,"OK","Check")</f>
        <v>OK</v>
      </c>
      <c r="Q242" t="str">
        <f>IF(AND(J242&lt;=K242,L242=TRUE),"OK",IF(AND(J242&gt;K242,L242=FALSE),"OK","Check"))</f>
        <v>OK</v>
      </c>
      <c r="R242" t="str">
        <f>IF(ABS(N242-J242*M242)&lt;=J242*0.005+0.01,"OK","Check")</f>
        <v>OK</v>
      </c>
      <c r="S242" s="3">
        <f t="shared" si="3"/>
        <v>1</v>
      </c>
    </row>
    <row r="243" spans="1:19">
      <c r="A243" s="1">
        <v>46054</v>
      </c>
      <c r="B243" t="s">
        <v>265</v>
      </c>
      <c r="C243" t="s">
        <v>137</v>
      </c>
      <c r="D243" t="s">
        <v>138</v>
      </c>
      <c r="E243" t="s">
        <v>109</v>
      </c>
      <c r="F243" t="s">
        <v>110</v>
      </c>
      <c r="G243">
        <v>129</v>
      </c>
      <c r="H243">
        <v>0</v>
      </c>
      <c r="I243">
        <v>70</v>
      </c>
      <c r="J243">
        <v>59</v>
      </c>
      <c r="K243">
        <v>67</v>
      </c>
      <c r="L243" t="b">
        <v>1</v>
      </c>
      <c r="M243">
        <v>65.959999999999994</v>
      </c>
      <c r="N243">
        <v>3891.43</v>
      </c>
      <c r="O243" t="s">
        <v>27</v>
      </c>
      <c r="P243" t="str">
        <f>IF(J243=G243+H243-I243,"OK","Check")</f>
        <v>OK</v>
      </c>
      <c r="Q243" t="str">
        <f>IF(AND(J243&lt;=K243,L243=TRUE),"OK",IF(AND(J243&gt;K243,L243=FALSE),"OK","Check"))</f>
        <v>OK</v>
      </c>
      <c r="R243" t="str">
        <f>IF(ABS(N243-J243*M243)&lt;=J243*0.005+0.01,"OK","Check")</f>
        <v>OK</v>
      </c>
      <c r="S243" s="3">
        <f t="shared" si="3"/>
        <v>1</v>
      </c>
    </row>
    <row r="244" spans="1:19">
      <c r="A244" s="1">
        <v>46054</v>
      </c>
      <c r="B244" t="s">
        <v>265</v>
      </c>
      <c r="C244" t="s">
        <v>139</v>
      </c>
      <c r="D244" t="s">
        <v>140</v>
      </c>
      <c r="E244" t="s">
        <v>109</v>
      </c>
      <c r="F244" t="s">
        <v>110</v>
      </c>
      <c r="G244">
        <v>145</v>
      </c>
      <c r="H244">
        <v>0</v>
      </c>
      <c r="I244">
        <v>91</v>
      </c>
      <c r="J244">
        <v>54</v>
      </c>
      <c r="K244">
        <v>106</v>
      </c>
      <c r="L244" t="b">
        <v>1</v>
      </c>
      <c r="M244">
        <v>255.17</v>
      </c>
      <c r="N244">
        <v>13779.16</v>
      </c>
      <c r="O244" t="s">
        <v>32</v>
      </c>
      <c r="P244" t="str">
        <f>IF(J244=G244+H244-I244,"OK","Check")</f>
        <v>OK</v>
      </c>
      <c r="Q244" t="str">
        <f>IF(AND(J244&lt;=K244,L244=TRUE),"OK",IF(AND(J244&gt;K244,L244=FALSE),"OK","Check"))</f>
        <v>OK</v>
      </c>
      <c r="R244" t="str">
        <f>IF(ABS(N244-J244*M244)&lt;=J244*0.005+0.01,"OK","Check")</f>
        <v>OK</v>
      </c>
      <c r="S244" s="3">
        <f t="shared" si="3"/>
        <v>1</v>
      </c>
    </row>
    <row r="245" spans="1:19">
      <c r="A245" s="1">
        <v>46054</v>
      </c>
      <c r="B245" t="s">
        <v>265</v>
      </c>
      <c r="C245" t="s">
        <v>141</v>
      </c>
      <c r="D245" t="s">
        <v>142</v>
      </c>
      <c r="E245" t="s">
        <v>109</v>
      </c>
      <c r="F245" t="s">
        <v>110</v>
      </c>
      <c r="G245">
        <v>531</v>
      </c>
      <c r="H245">
        <v>0</v>
      </c>
      <c r="I245">
        <v>179</v>
      </c>
      <c r="J245">
        <v>352</v>
      </c>
      <c r="K245">
        <v>211</v>
      </c>
      <c r="L245" t="b">
        <v>0</v>
      </c>
      <c r="M245">
        <v>89.01</v>
      </c>
      <c r="N245">
        <v>31332.22</v>
      </c>
      <c r="O245" t="s">
        <v>37</v>
      </c>
      <c r="P245" t="str">
        <f>IF(J245=G245+H245-I245,"OK","Check")</f>
        <v>OK</v>
      </c>
      <c r="Q245" t="str">
        <f>IF(AND(J245&lt;=K245,L245=TRUE),"OK",IF(AND(J245&gt;K245,L245=FALSE),"OK","Check"))</f>
        <v>OK</v>
      </c>
      <c r="R245" t="str">
        <f>IF(ABS(N245-J245*M245)&lt;=J245*0.005+0.01,"OK","Check")</f>
        <v>OK</v>
      </c>
      <c r="S245" s="3">
        <f t="shared" si="3"/>
        <v>1</v>
      </c>
    </row>
    <row r="246" spans="1:19">
      <c r="A246" s="1">
        <v>46054</v>
      </c>
      <c r="B246" t="s">
        <v>265</v>
      </c>
      <c r="C246" t="s">
        <v>143</v>
      </c>
      <c r="D246" t="s">
        <v>144</v>
      </c>
      <c r="E246" t="s">
        <v>109</v>
      </c>
      <c r="F246" t="s">
        <v>110</v>
      </c>
      <c r="G246">
        <v>88</v>
      </c>
      <c r="H246">
        <v>81</v>
      </c>
      <c r="I246">
        <v>35</v>
      </c>
      <c r="J246">
        <v>134</v>
      </c>
      <c r="K246">
        <v>42</v>
      </c>
      <c r="L246" t="b">
        <v>0</v>
      </c>
      <c r="M246">
        <v>399.06</v>
      </c>
      <c r="N246">
        <v>53474.29</v>
      </c>
      <c r="O246" t="s">
        <v>24</v>
      </c>
      <c r="P246" t="str">
        <f>IF(J246=G246+H246-I246,"OK","Check")</f>
        <v>OK</v>
      </c>
      <c r="Q246" t="str">
        <f>IF(AND(J246&lt;=K246,L246=TRUE),"OK",IF(AND(J246&gt;K246,L246=FALSE),"OK","Check"))</f>
        <v>OK</v>
      </c>
      <c r="R246" t="str">
        <f>IF(ABS(N246-J246*M246)&lt;=J246*0.005+0.01,"OK","Check")</f>
        <v>OK</v>
      </c>
      <c r="S246" s="3">
        <f t="shared" si="3"/>
        <v>1</v>
      </c>
    </row>
    <row r="247" spans="1:19">
      <c r="A247" s="1">
        <v>46054</v>
      </c>
      <c r="B247" t="s">
        <v>265</v>
      </c>
      <c r="C247" t="s">
        <v>145</v>
      </c>
      <c r="D247" t="s">
        <v>146</v>
      </c>
      <c r="E247" t="s">
        <v>109</v>
      </c>
      <c r="F247" t="s">
        <v>110</v>
      </c>
      <c r="G247">
        <v>179</v>
      </c>
      <c r="H247">
        <v>0</v>
      </c>
      <c r="I247">
        <v>74</v>
      </c>
      <c r="J247">
        <v>105</v>
      </c>
      <c r="K247">
        <v>72</v>
      </c>
      <c r="L247" t="b">
        <v>0</v>
      </c>
      <c r="M247">
        <v>70.09</v>
      </c>
      <c r="N247">
        <v>7359.17</v>
      </c>
      <c r="O247" t="s">
        <v>37</v>
      </c>
      <c r="P247" t="str">
        <f>IF(J247=G247+H247-I247,"OK","Check")</f>
        <v>OK</v>
      </c>
      <c r="Q247" t="str">
        <f>IF(AND(J247&lt;=K247,L247=TRUE),"OK",IF(AND(J247&gt;K247,L247=FALSE),"OK","Check"))</f>
        <v>OK</v>
      </c>
      <c r="R247" t="str">
        <f>IF(ABS(N247-J247*M247)&lt;=J247*0.005+0.01,"OK","Check")</f>
        <v>OK</v>
      </c>
      <c r="S247" s="3">
        <f t="shared" si="3"/>
        <v>1</v>
      </c>
    </row>
    <row r="248" spans="1:19">
      <c r="A248" s="1">
        <v>46054</v>
      </c>
      <c r="B248" t="s">
        <v>265</v>
      </c>
      <c r="C248" t="s">
        <v>147</v>
      </c>
      <c r="D248" t="s">
        <v>148</v>
      </c>
      <c r="E248" t="s">
        <v>109</v>
      </c>
      <c r="F248" t="s">
        <v>110</v>
      </c>
      <c r="G248">
        <v>541</v>
      </c>
      <c r="H248">
        <v>0</v>
      </c>
      <c r="I248">
        <v>175</v>
      </c>
      <c r="J248">
        <v>366</v>
      </c>
      <c r="K248">
        <v>246</v>
      </c>
      <c r="L248" t="b">
        <v>0</v>
      </c>
      <c r="M248">
        <v>307.23</v>
      </c>
      <c r="N248">
        <v>112447.81</v>
      </c>
      <c r="O248" t="s">
        <v>98</v>
      </c>
      <c r="P248" t="str">
        <f>IF(J248=G248+H248-I248,"OK","Check")</f>
        <v>OK</v>
      </c>
      <c r="Q248" t="str">
        <f>IF(AND(J248&lt;=K248,L248=TRUE),"OK",IF(AND(J248&gt;K248,L248=FALSE),"OK","Check"))</f>
        <v>OK</v>
      </c>
      <c r="R248" t="str">
        <f>IF(ABS(N248-J248*M248)&lt;=J248*0.005+0.01,"OK","Check")</f>
        <v>OK</v>
      </c>
      <c r="S248" s="3">
        <f t="shared" si="3"/>
        <v>1</v>
      </c>
    </row>
    <row r="249" spans="1:19">
      <c r="A249" s="1">
        <v>46054</v>
      </c>
      <c r="B249" t="s">
        <v>265</v>
      </c>
      <c r="C249" t="s">
        <v>149</v>
      </c>
      <c r="D249" t="s">
        <v>150</v>
      </c>
      <c r="E249" t="s">
        <v>151</v>
      </c>
      <c r="F249" t="s">
        <v>23</v>
      </c>
      <c r="G249">
        <v>220</v>
      </c>
      <c r="H249">
        <v>512</v>
      </c>
      <c r="I249">
        <v>197</v>
      </c>
      <c r="J249">
        <v>535</v>
      </c>
      <c r="K249">
        <v>205</v>
      </c>
      <c r="L249" t="b">
        <v>0</v>
      </c>
      <c r="M249">
        <v>244.45</v>
      </c>
      <c r="N249">
        <v>130781.27</v>
      </c>
      <c r="O249" t="s">
        <v>32</v>
      </c>
      <c r="P249" t="str">
        <f>IF(J249=G249+H249-I249,"OK","Check")</f>
        <v>OK</v>
      </c>
      <c r="Q249" t="str">
        <f>IF(AND(J249&lt;=K249,L249=TRUE),"OK",IF(AND(J249&gt;K249,L249=FALSE),"OK","Check"))</f>
        <v>OK</v>
      </c>
      <c r="R249" t="str">
        <f>IF(ABS(N249-J249*M249)&lt;=J249*0.005+0.01,"OK","Check")</f>
        <v>OK</v>
      </c>
      <c r="S249" s="3">
        <f t="shared" si="3"/>
        <v>1</v>
      </c>
    </row>
    <row r="250" spans="1:19">
      <c r="A250" s="1">
        <v>46054</v>
      </c>
      <c r="B250" t="s">
        <v>265</v>
      </c>
      <c r="C250" t="s">
        <v>152</v>
      </c>
      <c r="D250" t="s">
        <v>153</v>
      </c>
      <c r="E250" t="s">
        <v>151</v>
      </c>
      <c r="F250" t="s">
        <v>23</v>
      </c>
      <c r="G250">
        <v>45</v>
      </c>
      <c r="H250">
        <v>140</v>
      </c>
      <c r="I250">
        <v>40</v>
      </c>
      <c r="J250">
        <v>145</v>
      </c>
      <c r="K250">
        <v>58</v>
      </c>
      <c r="L250" t="b">
        <v>0</v>
      </c>
      <c r="M250">
        <v>1208.92</v>
      </c>
      <c r="N250">
        <v>175293.68</v>
      </c>
      <c r="O250" t="s">
        <v>98</v>
      </c>
      <c r="P250" t="str">
        <f>IF(J250=G250+H250-I250,"OK","Check")</f>
        <v>OK</v>
      </c>
      <c r="Q250" t="str">
        <f>IF(AND(J250&lt;=K250,L250=TRUE),"OK",IF(AND(J250&gt;K250,L250=FALSE),"OK","Check"))</f>
        <v>OK</v>
      </c>
      <c r="R250" t="str">
        <f>IF(ABS(N250-J250*M250)&lt;=J250*0.005+0.01,"OK","Check")</f>
        <v>OK</v>
      </c>
      <c r="S250" s="3">
        <f t="shared" si="3"/>
        <v>1</v>
      </c>
    </row>
    <row r="251" spans="1:19">
      <c r="A251" s="1">
        <v>46054</v>
      </c>
      <c r="B251" t="s">
        <v>265</v>
      </c>
      <c r="C251" t="s">
        <v>154</v>
      </c>
      <c r="D251" t="s">
        <v>155</v>
      </c>
      <c r="E251" t="s">
        <v>151</v>
      </c>
      <c r="F251" t="s">
        <v>23</v>
      </c>
      <c r="G251">
        <v>190</v>
      </c>
      <c r="H251">
        <v>0</v>
      </c>
      <c r="I251">
        <v>108</v>
      </c>
      <c r="J251">
        <v>82</v>
      </c>
      <c r="K251">
        <v>123</v>
      </c>
      <c r="L251" t="b">
        <v>1</v>
      </c>
      <c r="M251">
        <v>327.16000000000003</v>
      </c>
      <c r="N251">
        <v>26827.51</v>
      </c>
      <c r="O251" t="s">
        <v>60</v>
      </c>
      <c r="P251" t="str">
        <f>IF(J251=G251+H251-I251,"OK","Check")</f>
        <v>OK</v>
      </c>
      <c r="Q251" t="str">
        <f>IF(AND(J251&lt;=K251,L251=TRUE),"OK",IF(AND(J251&gt;K251,L251=FALSE),"OK","Check"))</f>
        <v>OK</v>
      </c>
      <c r="R251" t="str">
        <f>IF(ABS(N251-J251*M251)&lt;=J251*0.005+0.01,"OK","Check")</f>
        <v>OK</v>
      </c>
      <c r="S251" s="3">
        <f t="shared" si="3"/>
        <v>1</v>
      </c>
    </row>
    <row r="252" spans="1:19">
      <c r="A252" s="1">
        <v>46054</v>
      </c>
      <c r="B252" t="s">
        <v>265</v>
      </c>
      <c r="C252" t="s">
        <v>156</v>
      </c>
      <c r="D252" t="s">
        <v>157</v>
      </c>
      <c r="E252" t="s">
        <v>151</v>
      </c>
      <c r="F252" t="s">
        <v>23</v>
      </c>
      <c r="G252">
        <v>97</v>
      </c>
      <c r="H252">
        <v>0</v>
      </c>
      <c r="I252">
        <v>40</v>
      </c>
      <c r="J252">
        <v>57</v>
      </c>
      <c r="K252">
        <v>33</v>
      </c>
      <c r="L252" t="b">
        <v>0</v>
      </c>
      <c r="M252">
        <v>1536.44</v>
      </c>
      <c r="N252">
        <v>87576.81</v>
      </c>
      <c r="O252" t="s">
        <v>32</v>
      </c>
      <c r="P252" t="str">
        <f>IF(J252=G252+H252-I252,"OK","Check")</f>
        <v>OK</v>
      </c>
      <c r="Q252" t="str">
        <f>IF(AND(J252&lt;=K252,L252=TRUE),"OK",IF(AND(J252&gt;K252,L252=FALSE),"OK","Check"))</f>
        <v>OK</v>
      </c>
      <c r="R252" t="str">
        <f>IF(ABS(N252-J252*M252)&lt;=J252*0.005+0.01,"OK","Check")</f>
        <v>OK</v>
      </c>
      <c r="S252" s="3">
        <f t="shared" si="3"/>
        <v>1</v>
      </c>
    </row>
    <row r="253" spans="1:19">
      <c r="A253" s="1">
        <v>46054</v>
      </c>
      <c r="B253" t="s">
        <v>265</v>
      </c>
      <c r="C253" t="s">
        <v>158</v>
      </c>
      <c r="D253" t="s">
        <v>159</v>
      </c>
      <c r="E253" t="s">
        <v>151</v>
      </c>
      <c r="F253" t="s">
        <v>23</v>
      </c>
      <c r="G253">
        <v>324</v>
      </c>
      <c r="H253">
        <v>0</v>
      </c>
      <c r="I253">
        <v>121</v>
      </c>
      <c r="J253">
        <v>203</v>
      </c>
      <c r="K253">
        <v>164</v>
      </c>
      <c r="L253" t="b">
        <v>0</v>
      </c>
      <c r="M253">
        <v>41.16</v>
      </c>
      <c r="N253">
        <v>8356.24</v>
      </c>
      <c r="O253" t="s">
        <v>37</v>
      </c>
      <c r="P253" t="str">
        <f>IF(J253=G253+H253-I253,"OK","Check")</f>
        <v>OK</v>
      </c>
      <c r="Q253" t="str">
        <f>IF(AND(J253&lt;=K253,L253=TRUE),"OK",IF(AND(J253&gt;K253,L253=FALSE),"OK","Check"))</f>
        <v>OK</v>
      </c>
      <c r="R253" t="str">
        <f>IF(ABS(N253-J253*M253)&lt;=J253*0.005+0.01,"OK","Check")</f>
        <v>OK</v>
      </c>
      <c r="S253" s="3">
        <f t="shared" si="3"/>
        <v>1</v>
      </c>
    </row>
    <row r="254" spans="1:19">
      <c r="A254" s="1">
        <v>46054</v>
      </c>
      <c r="B254" t="s">
        <v>265</v>
      </c>
      <c r="C254" t="s">
        <v>160</v>
      </c>
      <c r="D254" t="s">
        <v>161</v>
      </c>
      <c r="E254" t="s">
        <v>151</v>
      </c>
      <c r="F254" t="s">
        <v>23</v>
      </c>
      <c r="G254">
        <v>407</v>
      </c>
      <c r="H254">
        <v>0</v>
      </c>
      <c r="I254">
        <v>261</v>
      </c>
      <c r="J254">
        <v>146</v>
      </c>
      <c r="K254">
        <v>267</v>
      </c>
      <c r="L254" t="b">
        <v>1</v>
      </c>
      <c r="M254">
        <v>214.46</v>
      </c>
      <c r="N254">
        <v>31310.65</v>
      </c>
      <c r="O254" t="s">
        <v>24</v>
      </c>
      <c r="P254" t="str">
        <f>IF(J254=G254+H254-I254,"OK","Check")</f>
        <v>OK</v>
      </c>
      <c r="Q254" t="str">
        <f>IF(AND(J254&lt;=K254,L254=TRUE),"OK",IF(AND(J254&gt;K254,L254=FALSE),"OK","Check"))</f>
        <v>OK</v>
      </c>
      <c r="R254" t="str">
        <f>IF(ABS(N254-J254*M254)&lt;=J254*0.005+0.01,"OK","Check")</f>
        <v>OK</v>
      </c>
      <c r="S254" s="3">
        <f t="shared" si="3"/>
        <v>1</v>
      </c>
    </row>
    <row r="255" spans="1:19">
      <c r="A255" s="1">
        <v>46054</v>
      </c>
      <c r="B255" t="s">
        <v>265</v>
      </c>
      <c r="C255" t="s">
        <v>162</v>
      </c>
      <c r="D255" t="s">
        <v>163</v>
      </c>
      <c r="E255" t="s">
        <v>151</v>
      </c>
      <c r="F255" t="s">
        <v>23</v>
      </c>
      <c r="G255">
        <v>219</v>
      </c>
      <c r="H255">
        <v>0</v>
      </c>
      <c r="I255">
        <v>74</v>
      </c>
      <c r="J255">
        <v>145</v>
      </c>
      <c r="K255">
        <v>121</v>
      </c>
      <c r="L255" t="b">
        <v>0</v>
      </c>
      <c r="M255">
        <v>215.87</v>
      </c>
      <c r="N255">
        <v>31301.35</v>
      </c>
      <c r="O255" t="s">
        <v>37</v>
      </c>
      <c r="P255" t="str">
        <f>IF(J255=G255+H255-I255,"OK","Check")</f>
        <v>OK</v>
      </c>
      <c r="Q255" t="str">
        <f>IF(AND(J255&lt;=K255,L255=TRUE),"OK",IF(AND(J255&gt;K255,L255=FALSE),"OK","Check"))</f>
        <v>OK</v>
      </c>
      <c r="R255" t="str">
        <f>IF(ABS(N255-J255*M255)&lt;=J255*0.005+0.01,"OK","Check")</f>
        <v>OK</v>
      </c>
      <c r="S255" s="3">
        <f t="shared" si="3"/>
        <v>1</v>
      </c>
    </row>
    <row r="256" spans="1:19">
      <c r="A256" s="1">
        <v>46054</v>
      </c>
      <c r="B256" t="s">
        <v>265</v>
      </c>
      <c r="C256" t="s">
        <v>164</v>
      </c>
      <c r="D256" t="s">
        <v>165</v>
      </c>
      <c r="E256" t="s">
        <v>151</v>
      </c>
      <c r="F256" t="s">
        <v>23</v>
      </c>
      <c r="G256">
        <v>97</v>
      </c>
      <c r="H256">
        <v>0</v>
      </c>
      <c r="I256">
        <v>45</v>
      </c>
      <c r="J256">
        <v>52</v>
      </c>
      <c r="K256">
        <v>77</v>
      </c>
      <c r="L256" t="b">
        <v>1</v>
      </c>
      <c r="M256">
        <v>1045.3499999999999</v>
      </c>
      <c r="N256">
        <v>54358.18</v>
      </c>
      <c r="O256" t="s">
        <v>98</v>
      </c>
      <c r="P256" t="str">
        <f>IF(J256=G256+H256-I256,"OK","Check")</f>
        <v>OK</v>
      </c>
      <c r="Q256" t="str">
        <f>IF(AND(J256&lt;=K256,L256=TRUE),"OK",IF(AND(J256&gt;K256,L256=FALSE),"OK","Check"))</f>
        <v>OK</v>
      </c>
      <c r="R256" t="str">
        <f>IF(ABS(N256-J256*M256)&lt;=J256*0.005+0.01,"OK","Check")</f>
        <v>OK</v>
      </c>
      <c r="S256" s="3">
        <f t="shared" si="3"/>
        <v>1</v>
      </c>
    </row>
    <row r="257" spans="1:19">
      <c r="A257" s="1">
        <v>46054</v>
      </c>
      <c r="B257" t="s">
        <v>265</v>
      </c>
      <c r="C257" t="s">
        <v>166</v>
      </c>
      <c r="D257" t="s">
        <v>167</v>
      </c>
      <c r="E257" t="s">
        <v>151</v>
      </c>
      <c r="F257" t="s">
        <v>23</v>
      </c>
      <c r="G257">
        <v>34</v>
      </c>
      <c r="H257">
        <v>0</v>
      </c>
      <c r="I257">
        <v>24</v>
      </c>
      <c r="J257">
        <v>10</v>
      </c>
      <c r="K257">
        <v>23</v>
      </c>
      <c r="L257" t="b">
        <v>1</v>
      </c>
      <c r="M257">
        <v>130.61000000000001</v>
      </c>
      <c r="N257">
        <v>1306.0999999999999</v>
      </c>
      <c r="O257" t="s">
        <v>44</v>
      </c>
      <c r="P257" t="str">
        <f>IF(J257=G257+H257-I257,"OK","Check")</f>
        <v>OK</v>
      </c>
      <c r="Q257" t="str">
        <f>IF(AND(J257&lt;=K257,L257=TRUE),"OK",IF(AND(J257&gt;K257,L257=FALSE),"OK","Check"))</f>
        <v>OK</v>
      </c>
      <c r="R257" t="str">
        <f>IF(ABS(N257-J257*M257)&lt;=J257*0.005+0.01,"OK","Check")</f>
        <v>OK</v>
      </c>
      <c r="S257" s="3">
        <f t="shared" si="3"/>
        <v>1</v>
      </c>
    </row>
    <row r="258" spans="1:19">
      <c r="A258" s="1">
        <v>46054</v>
      </c>
      <c r="B258" t="s">
        <v>265</v>
      </c>
      <c r="C258" t="s">
        <v>168</v>
      </c>
      <c r="D258" t="s">
        <v>169</v>
      </c>
      <c r="E258" t="s">
        <v>151</v>
      </c>
      <c r="F258" t="s">
        <v>23</v>
      </c>
      <c r="G258">
        <v>137</v>
      </c>
      <c r="H258">
        <v>0</v>
      </c>
      <c r="I258">
        <v>80</v>
      </c>
      <c r="J258">
        <v>57</v>
      </c>
      <c r="K258">
        <v>105</v>
      </c>
      <c r="L258" t="b">
        <v>1</v>
      </c>
      <c r="M258">
        <v>707.32</v>
      </c>
      <c r="N258">
        <v>40317.1</v>
      </c>
      <c r="O258" t="s">
        <v>27</v>
      </c>
      <c r="P258" t="str">
        <f>IF(J258=G258+H258-I258,"OK","Check")</f>
        <v>OK</v>
      </c>
      <c r="Q258" t="str">
        <f>IF(AND(J258&lt;=K258,L258=TRUE),"OK",IF(AND(J258&gt;K258,L258=FALSE),"OK","Check"))</f>
        <v>OK</v>
      </c>
      <c r="R258" t="str">
        <f>IF(ABS(N258-J258*M258)&lt;=J258*0.005+0.01,"OK","Check")</f>
        <v>OK</v>
      </c>
      <c r="S258" s="3">
        <f t="shared" ref="S258:S321" si="4">COUNTIFS(A:A,A258,B:B,B258,C:C,C258)</f>
        <v>1</v>
      </c>
    </row>
    <row r="259" spans="1:19">
      <c r="A259" s="1">
        <v>46054</v>
      </c>
      <c r="B259" t="s">
        <v>265</v>
      </c>
      <c r="C259" t="s">
        <v>170</v>
      </c>
      <c r="D259" t="s">
        <v>171</v>
      </c>
      <c r="E259" t="s">
        <v>151</v>
      </c>
      <c r="F259" t="s">
        <v>23</v>
      </c>
      <c r="G259">
        <v>297</v>
      </c>
      <c r="H259">
        <v>693</v>
      </c>
      <c r="I259">
        <v>259</v>
      </c>
      <c r="J259">
        <v>731</v>
      </c>
      <c r="K259">
        <v>276</v>
      </c>
      <c r="L259" t="b">
        <v>0</v>
      </c>
      <c r="M259">
        <v>3070.76</v>
      </c>
      <c r="N259">
        <v>2244728.59</v>
      </c>
      <c r="O259" t="s">
        <v>47</v>
      </c>
      <c r="P259" t="str">
        <f>IF(J259=G259+H259-I259,"OK","Check")</f>
        <v>OK</v>
      </c>
      <c r="Q259" t="str">
        <f>IF(AND(J259&lt;=K259,L259=TRUE),"OK",IF(AND(J259&gt;K259,L259=FALSE),"OK","Check"))</f>
        <v>OK</v>
      </c>
      <c r="R259" t="str">
        <f>IF(ABS(N259-J259*M259)&lt;=J259*0.005+0.01,"OK","Check")</f>
        <v>OK</v>
      </c>
      <c r="S259" s="3">
        <f t="shared" si="4"/>
        <v>1</v>
      </c>
    </row>
    <row r="260" spans="1:19">
      <c r="A260" s="1">
        <v>46054</v>
      </c>
      <c r="B260" t="s">
        <v>265</v>
      </c>
      <c r="C260" t="s">
        <v>174</v>
      </c>
      <c r="D260" t="s">
        <v>175</v>
      </c>
      <c r="E260" t="s">
        <v>151</v>
      </c>
      <c r="F260" t="s">
        <v>23</v>
      </c>
      <c r="G260">
        <v>205</v>
      </c>
      <c r="H260">
        <v>0</v>
      </c>
      <c r="I260">
        <v>176</v>
      </c>
      <c r="J260">
        <v>29</v>
      </c>
      <c r="K260">
        <v>113</v>
      </c>
      <c r="L260" t="b">
        <v>1</v>
      </c>
      <c r="M260">
        <v>2222.7800000000002</v>
      </c>
      <c r="N260">
        <v>64460.73</v>
      </c>
      <c r="O260" t="s">
        <v>27</v>
      </c>
      <c r="P260" t="str">
        <f>IF(J260=G260+H260-I260,"OK","Check")</f>
        <v>OK</v>
      </c>
      <c r="Q260" t="str">
        <f>IF(AND(J260&lt;=K260,L260=TRUE),"OK",IF(AND(J260&gt;K260,L260=FALSE),"OK","Check"))</f>
        <v>OK</v>
      </c>
      <c r="R260" t="str">
        <f>IF(ABS(N260-J260*M260)&lt;=J260*0.005+0.01,"OK","Check")</f>
        <v>OK</v>
      </c>
      <c r="S260" s="3">
        <f t="shared" si="4"/>
        <v>1</v>
      </c>
    </row>
    <row r="261" spans="1:19">
      <c r="A261" s="1">
        <v>46054</v>
      </c>
      <c r="B261" t="s">
        <v>265</v>
      </c>
      <c r="C261" t="s">
        <v>176</v>
      </c>
      <c r="D261" t="s">
        <v>177</v>
      </c>
      <c r="E261" t="s">
        <v>151</v>
      </c>
      <c r="F261" t="s">
        <v>23</v>
      </c>
      <c r="G261">
        <v>340</v>
      </c>
      <c r="H261">
        <v>0</v>
      </c>
      <c r="I261">
        <v>123</v>
      </c>
      <c r="J261">
        <v>217</v>
      </c>
      <c r="K261">
        <v>108</v>
      </c>
      <c r="L261" t="b">
        <v>0</v>
      </c>
      <c r="M261">
        <v>65.16</v>
      </c>
      <c r="N261">
        <v>14139.44</v>
      </c>
      <c r="O261" t="s">
        <v>27</v>
      </c>
      <c r="P261" t="str">
        <f>IF(J261=G261+H261-I261,"OK","Check")</f>
        <v>OK</v>
      </c>
      <c r="Q261" t="str">
        <f>IF(AND(J261&lt;=K261,L261=TRUE),"OK",IF(AND(J261&gt;K261,L261=FALSE),"OK","Check"))</f>
        <v>OK</v>
      </c>
      <c r="R261" t="str">
        <f>IF(ABS(N261-J261*M261)&lt;=J261*0.005+0.01,"OK","Check")</f>
        <v>OK</v>
      </c>
      <c r="S261" s="3">
        <f t="shared" si="4"/>
        <v>1</v>
      </c>
    </row>
    <row r="262" spans="1:19">
      <c r="A262" s="1">
        <v>46054</v>
      </c>
      <c r="B262" t="s">
        <v>265</v>
      </c>
      <c r="C262" t="s">
        <v>178</v>
      </c>
      <c r="D262" t="s">
        <v>179</v>
      </c>
      <c r="E262" t="s">
        <v>151</v>
      </c>
      <c r="F262" t="s">
        <v>23</v>
      </c>
      <c r="G262">
        <v>331</v>
      </c>
      <c r="H262">
        <v>0</v>
      </c>
      <c r="I262">
        <v>183</v>
      </c>
      <c r="J262">
        <v>148</v>
      </c>
      <c r="K262">
        <v>195</v>
      </c>
      <c r="L262" t="b">
        <v>1</v>
      </c>
      <c r="M262">
        <v>344.06</v>
      </c>
      <c r="N262">
        <v>50920.72</v>
      </c>
      <c r="O262" t="s">
        <v>32</v>
      </c>
      <c r="P262" t="str">
        <f>IF(J262=G262+H262-I262,"OK","Check")</f>
        <v>OK</v>
      </c>
      <c r="Q262" t="str">
        <f>IF(AND(J262&lt;=K262,L262=TRUE),"OK",IF(AND(J262&gt;K262,L262=FALSE),"OK","Check"))</f>
        <v>OK</v>
      </c>
      <c r="R262" t="str">
        <f>IF(ABS(N262-J262*M262)&lt;=J262*0.005+0.01,"OK","Check")</f>
        <v>OK</v>
      </c>
      <c r="S262" s="3">
        <f t="shared" si="4"/>
        <v>1</v>
      </c>
    </row>
    <row r="263" spans="1:19">
      <c r="A263" s="1">
        <v>46054</v>
      </c>
      <c r="B263" t="s">
        <v>265</v>
      </c>
      <c r="C263" t="s">
        <v>180</v>
      </c>
      <c r="D263" t="s">
        <v>181</v>
      </c>
      <c r="E263" t="s">
        <v>151</v>
      </c>
      <c r="F263" t="s">
        <v>23</v>
      </c>
      <c r="G263">
        <v>137</v>
      </c>
      <c r="H263">
        <v>320</v>
      </c>
      <c r="I263">
        <v>171</v>
      </c>
      <c r="J263">
        <v>286</v>
      </c>
      <c r="K263">
        <v>179</v>
      </c>
      <c r="L263" t="b">
        <v>0</v>
      </c>
      <c r="M263">
        <v>50</v>
      </c>
      <c r="N263">
        <v>14300.02</v>
      </c>
      <c r="O263" t="s">
        <v>44</v>
      </c>
      <c r="P263" t="str">
        <f>IF(J263=G263+H263-I263,"OK","Check")</f>
        <v>OK</v>
      </c>
      <c r="Q263" t="str">
        <f>IF(AND(J263&lt;=K263,L263=TRUE),"OK",IF(AND(J263&gt;K263,L263=FALSE),"OK","Check"))</f>
        <v>OK</v>
      </c>
      <c r="R263" t="str">
        <f>IF(ABS(N263-J263*M263)&lt;=J263*0.005+0.01,"OK","Check")</f>
        <v>OK</v>
      </c>
      <c r="S263" s="3">
        <f t="shared" si="4"/>
        <v>1</v>
      </c>
    </row>
    <row r="264" spans="1:19">
      <c r="A264" s="1">
        <v>46054</v>
      </c>
      <c r="B264" t="s">
        <v>265</v>
      </c>
      <c r="C264" t="s">
        <v>182</v>
      </c>
      <c r="D264" t="s">
        <v>183</v>
      </c>
      <c r="E264" t="s">
        <v>151</v>
      </c>
      <c r="F264" t="s">
        <v>23</v>
      </c>
      <c r="G264">
        <v>337</v>
      </c>
      <c r="H264">
        <v>0</v>
      </c>
      <c r="I264">
        <v>140</v>
      </c>
      <c r="J264">
        <v>197</v>
      </c>
      <c r="K264">
        <v>176</v>
      </c>
      <c r="L264" t="b">
        <v>0</v>
      </c>
      <c r="M264">
        <v>266.51</v>
      </c>
      <c r="N264">
        <v>52502.1</v>
      </c>
      <c r="O264" t="s">
        <v>32</v>
      </c>
      <c r="P264" t="str">
        <f>IF(J264=G264+H264-I264,"OK","Check")</f>
        <v>OK</v>
      </c>
      <c r="Q264" t="str">
        <f>IF(AND(J264&lt;=K264,L264=TRUE),"OK",IF(AND(J264&gt;K264,L264=FALSE),"OK","Check"))</f>
        <v>OK</v>
      </c>
      <c r="R264" t="str">
        <f>IF(ABS(N264-J264*M264)&lt;=J264*0.005+0.01,"OK","Check")</f>
        <v>OK</v>
      </c>
      <c r="S264" s="3">
        <f t="shared" si="4"/>
        <v>1</v>
      </c>
    </row>
    <row r="265" spans="1:19">
      <c r="A265" s="1">
        <v>46054</v>
      </c>
      <c r="B265" t="s">
        <v>265</v>
      </c>
      <c r="C265" t="s">
        <v>251</v>
      </c>
      <c r="D265" t="s">
        <v>252</v>
      </c>
      <c r="E265" t="s">
        <v>151</v>
      </c>
      <c r="F265" t="s">
        <v>23</v>
      </c>
      <c r="G265">
        <v>200</v>
      </c>
      <c r="H265">
        <v>0</v>
      </c>
      <c r="I265">
        <v>134</v>
      </c>
      <c r="J265">
        <v>66</v>
      </c>
      <c r="K265">
        <v>125</v>
      </c>
      <c r="L265" t="b">
        <v>1</v>
      </c>
      <c r="M265">
        <v>87.16</v>
      </c>
      <c r="N265">
        <v>5752.68</v>
      </c>
      <c r="O265" t="s">
        <v>44</v>
      </c>
      <c r="P265" t="str">
        <f>IF(J265=G265+H265-I265,"OK","Check")</f>
        <v>OK</v>
      </c>
      <c r="Q265" t="str">
        <f>IF(AND(J265&lt;=K265,L265=TRUE),"OK",IF(AND(J265&gt;K265,L265=FALSE),"OK","Check"))</f>
        <v>OK</v>
      </c>
      <c r="R265" t="str">
        <f>IF(ABS(N265-J265*M265)&lt;=J265*0.005+0.01,"OK","Check")</f>
        <v>OK</v>
      </c>
      <c r="S265" s="3">
        <f t="shared" si="4"/>
        <v>1</v>
      </c>
    </row>
    <row r="266" spans="1:19">
      <c r="A266" s="1">
        <v>46054</v>
      </c>
      <c r="B266" t="s">
        <v>265</v>
      </c>
      <c r="C266" t="s">
        <v>184</v>
      </c>
      <c r="D266" t="s">
        <v>185</v>
      </c>
      <c r="E266" t="s">
        <v>151</v>
      </c>
      <c r="F266" t="s">
        <v>23</v>
      </c>
      <c r="G266">
        <v>146</v>
      </c>
      <c r="H266">
        <v>0</v>
      </c>
      <c r="I266">
        <v>81</v>
      </c>
      <c r="J266">
        <v>65</v>
      </c>
      <c r="K266">
        <v>109</v>
      </c>
      <c r="L266" t="b">
        <v>1</v>
      </c>
      <c r="M266">
        <v>414.83</v>
      </c>
      <c r="N266">
        <v>26963.73</v>
      </c>
      <c r="O266" t="s">
        <v>60</v>
      </c>
      <c r="P266" t="str">
        <f>IF(J266=G266+H266-I266,"OK","Check")</f>
        <v>OK</v>
      </c>
      <c r="Q266" t="str">
        <f>IF(AND(J266&lt;=K266,L266=TRUE),"OK",IF(AND(J266&gt;K266,L266=FALSE),"OK","Check"))</f>
        <v>OK</v>
      </c>
      <c r="R266" t="str">
        <f>IF(ABS(N266-J266*M266)&lt;=J266*0.005+0.01,"OK","Check")</f>
        <v>OK</v>
      </c>
      <c r="S266" s="3">
        <f t="shared" si="4"/>
        <v>1</v>
      </c>
    </row>
    <row r="267" spans="1:19">
      <c r="A267" s="1">
        <v>46054</v>
      </c>
      <c r="B267" t="s">
        <v>265</v>
      </c>
      <c r="C267" t="s">
        <v>186</v>
      </c>
      <c r="D267" t="s">
        <v>187</v>
      </c>
      <c r="E267" t="s">
        <v>188</v>
      </c>
      <c r="F267" t="s">
        <v>23</v>
      </c>
      <c r="G267">
        <v>178</v>
      </c>
      <c r="H267">
        <v>357</v>
      </c>
      <c r="I267">
        <v>168</v>
      </c>
      <c r="J267">
        <v>367</v>
      </c>
      <c r="K267">
        <v>156</v>
      </c>
      <c r="L267" t="b">
        <v>0</v>
      </c>
      <c r="M267">
        <v>109.44</v>
      </c>
      <c r="N267">
        <v>40163.71</v>
      </c>
      <c r="O267" t="s">
        <v>24</v>
      </c>
      <c r="P267" t="str">
        <f>IF(J267=G267+H267-I267,"OK","Check")</f>
        <v>OK</v>
      </c>
      <c r="Q267" t="str">
        <f>IF(AND(J267&lt;=K267,L267=TRUE),"OK",IF(AND(J267&gt;K267,L267=FALSE),"OK","Check"))</f>
        <v>OK</v>
      </c>
      <c r="R267" t="str">
        <f>IF(ABS(N267-J267*M267)&lt;=J267*0.005+0.01,"OK","Check")</f>
        <v>OK</v>
      </c>
      <c r="S267" s="3">
        <f t="shared" si="4"/>
        <v>1</v>
      </c>
    </row>
    <row r="268" spans="1:19">
      <c r="A268" s="1">
        <v>46054</v>
      </c>
      <c r="B268" t="s">
        <v>265</v>
      </c>
      <c r="C268" t="s">
        <v>189</v>
      </c>
      <c r="D268" t="s">
        <v>190</v>
      </c>
      <c r="E268" t="s">
        <v>188</v>
      </c>
      <c r="F268" t="s">
        <v>23</v>
      </c>
      <c r="G268">
        <v>148</v>
      </c>
      <c r="H268">
        <v>0</v>
      </c>
      <c r="I268">
        <v>87</v>
      </c>
      <c r="J268">
        <v>61</v>
      </c>
      <c r="K268">
        <v>119</v>
      </c>
      <c r="L268" t="b">
        <v>1</v>
      </c>
      <c r="M268">
        <v>563.78</v>
      </c>
      <c r="N268">
        <v>34390.29</v>
      </c>
      <c r="O268" t="s">
        <v>98</v>
      </c>
      <c r="P268" t="str">
        <f>IF(J268=G268+H268-I268,"OK","Check")</f>
        <v>OK</v>
      </c>
      <c r="Q268" t="str">
        <f>IF(AND(J268&lt;=K268,L268=TRUE),"OK",IF(AND(J268&gt;K268,L268=FALSE),"OK","Check"))</f>
        <v>OK</v>
      </c>
      <c r="R268" t="str">
        <f>IF(ABS(N268-J268*M268)&lt;=J268*0.005+0.01,"OK","Check")</f>
        <v>OK</v>
      </c>
      <c r="S268" s="3">
        <f t="shared" si="4"/>
        <v>1</v>
      </c>
    </row>
    <row r="269" spans="1:19">
      <c r="A269" s="1">
        <v>46054</v>
      </c>
      <c r="B269" t="s">
        <v>265</v>
      </c>
      <c r="C269" t="s">
        <v>191</v>
      </c>
      <c r="D269" t="s">
        <v>192</v>
      </c>
      <c r="E269" t="s">
        <v>188</v>
      </c>
      <c r="F269" t="s">
        <v>23</v>
      </c>
      <c r="G269">
        <v>195</v>
      </c>
      <c r="H269">
        <v>0</v>
      </c>
      <c r="I269">
        <v>77</v>
      </c>
      <c r="J269">
        <v>118</v>
      </c>
      <c r="K269">
        <v>103</v>
      </c>
      <c r="L269" t="b">
        <v>0</v>
      </c>
      <c r="M269">
        <v>101.85</v>
      </c>
      <c r="N269">
        <v>12018.86</v>
      </c>
      <c r="O269" t="s">
        <v>98</v>
      </c>
      <c r="P269" t="str">
        <f>IF(J269=G269+H269-I269,"OK","Check")</f>
        <v>OK</v>
      </c>
      <c r="Q269" t="str">
        <f>IF(AND(J269&lt;=K269,L269=TRUE),"OK",IF(AND(J269&gt;K269,L269=FALSE),"OK","Check"))</f>
        <v>OK</v>
      </c>
      <c r="R269" t="str">
        <f>IF(ABS(N269-J269*M269)&lt;=J269*0.005+0.01,"OK","Check")</f>
        <v>OK</v>
      </c>
      <c r="S269" s="3">
        <f t="shared" si="4"/>
        <v>1</v>
      </c>
    </row>
    <row r="270" spans="1:19">
      <c r="A270" s="1">
        <v>46054</v>
      </c>
      <c r="B270" t="s">
        <v>265</v>
      </c>
      <c r="C270" t="s">
        <v>193</v>
      </c>
      <c r="D270" t="s">
        <v>194</v>
      </c>
      <c r="E270" t="s">
        <v>188</v>
      </c>
      <c r="F270" t="s">
        <v>23</v>
      </c>
      <c r="G270">
        <v>374</v>
      </c>
      <c r="H270">
        <v>0</v>
      </c>
      <c r="I270">
        <v>247</v>
      </c>
      <c r="J270">
        <v>127</v>
      </c>
      <c r="K270">
        <v>191</v>
      </c>
      <c r="L270" t="b">
        <v>1</v>
      </c>
      <c r="M270">
        <v>442.39</v>
      </c>
      <c r="N270">
        <v>56183.32</v>
      </c>
      <c r="O270" t="s">
        <v>27</v>
      </c>
      <c r="P270" t="str">
        <f>IF(J270=G270+H270-I270,"OK","Check")</f>
        <v>OK</v>
      </c>
      <c r="Q270" t="str">
        <f>IF(AND(J270&lt;=K270,L270=TRUE),"OK",IF(AND(J270&gt;K270,L270=FALSE),"OK","Check"))</f>
        <v>OK</v>
      </c>
      <c r="R270" t="str">
        <f>IF(ABS(N270-J270*M270)&lt;=J270*0.005+0.01,"OK","Check")</f>
        <v>OK</v>
      </c>
      <c r="S270" s="3">
        <f t="shared" si="4"/>
        <v>1</v>
      </c>
    </row>
    <row r="271" spans="1:19">
      <c r="A271" s="1">
        <v>46054</v>
      </c>
      <c r="B271" t="s">
        <v>265</v>
      </c>
      <c r="C271" t="s">
        <v>195</v>
      </c>
      <c r="D271" t="s">
        <v>196</v>
      </c>
      <c r="E271" t="s">
        <v>188</v>
      </c>
      <c r="F271" t="s">
        <v>23</v>
      </c>
      <c r="G271">
        <v>123</v>
      </c>
      <c r="H271">
        <v>241</v>
      </c>
      <c r="I271">
        <v>125</v>
      </c>
      <c r="J271">
        <v>239</v>
      </c>
      <c r="K271">
        <v>90</v>
      </c>
      <c r="L271" t="b">
        <v>0</v>
      </c>
      <c r="M271">
        <v>66.47</v>
      </c>
      <c r="N271">
        <v>15886.54</v>
      </c>
      <c r="O271" t="s">
        <v>47</v>
      </c>
      <c r="P271" t="str">
        <f>IF(J271=G271+H271-I271,"OK","Check")</f>
        <v>OK</v>
      </c>
      <c r="Q271" t="str">
        <f>IF(AND(J271&lt;=K271,L271=TRUE),"OK",IF(AND(J271&gt;K271,L271=FALSE),"OK","Check"))</f>
        <v>OK</v>
      </c>
      <c r="R271" t="str">
        <f>IF(ABS(N271-J271*M271)&lt;=J271*0.005+0.01,"OK","Check")</f>
        <v>OK</v>
      </c>
      <c r="S271" s="3">
        <f t="shared" si="4"/>
        <v>1</v>
      </c>
    </row>
    <row r="272" spans="1:19">
      <c r="A272" s="1">
        <v>46054</v>
      </c>
      <c r="B272" t="s">
        <v>265</v>
      </c>
      <c r="C272" t="s">
        <v>253</v>
      </c>
      <c r="D272" t="s">
        <v>254</v>
      </c>
      <c r="E272" t="s">
        <v>188</v>
      </c>
      <c r="F272" t="s">
        <v>23</v>
      </c>
      <c r="G272">
        <v>61</v>
      </c>
      <c r="H272">
        <v>0</v>
      </c>
      <c r="I272">
        <v>32</v>
      </c>
      <c r="J272">
        <v>29</v>
      </c>
      <c r="K272">
        <v>34</v>
      </c>
      <c r="L272" t="b">
        <v>1</v>
      </c>
      <c r="M272">
        <v>329.43</v>
      </c>
      <c r="N272">
        <v>9553.48</v>
      </c>
      <c r="O272" t="s">
        <v>60</v>
      </c>
      <c r="P272" t="str">
        <f>IF(J272=G272+H272-I272,"OK","Check")</f>
        <v>OK</v>
      </c>
      <c r="Q272" t="str">
        <f>IF(AND(J272&lt;=K272,L272=TRUE),"OK",IF(AND(J272&gt;K272,L272=FALSE),"OK","Check"))</f>
        <v>OK</v>
      </c>
      <c r="R272" t="str">
        <f>IF(ABS(N272-J272*M272)&lt;=J272*0.005+0.01,"OK","Check")</f>
        <v>OK</v>
      </c>
      <c r="S272" s="3">
        <f t="shared" si="4"/>
        <v>1</v>
      </c>
    </row>
    <row r="273" spans="1:19">
      <c r="A273" s="1">
        <v>46054</v>
      </c>
      <c r="B273" t="s">
        <v>265</v>
      </c>
      <c r="C273" t="s">
        <v>197</v>
      </c>
      <c r="D273" t="s">
        <v>198</v>
      </c>
      <c r="E273" t="s">
        <v>188</v>
      </c>
      <c r="F273" t="s">
        <v>23</v>
      </c>
      <c r="G273">
        <v>86</v>
      </c>
      <c r="H273">
        <v>182</v>
      </c>
      <c r="I273">
        <v>57</v>
      </c>
      <c r="J273">
        <v>211</v>
      </c>
      <c r="K273">
        <v>92</v>
      </c>
      <c r="L273" t="b">
        <v>0</v>
      </c>
      <c r="M273">
        <v>106.2</v>
      </c>
      <c r="N273">
        <v>22408.959999999999</v>
      </c>
      <c r="O273" t="s">
        <v>98</v>
      </c>
      <c r="P273" t="str">
        <f>IF(J273=G273+H273-I273,"OK","Check")</f>
        <v>OK</v>
      </c>
      <c r="Q273" t="str">
        <f>IF(AND(J273&lt;=K273,L273=TRUE),"OK",IF(AND(J273&gt;K273,L273=FALSE),"OK","Check"))</f>
        <v>OK</v>
      </c>
      <c r="R273" t="str">
        <f>IF(ABS(N273-J273*M273)&lt;=J273*0.005+0.01,"OK","Check")</f>
        <v>OK</v>
      </c>
      <c r="S273" s="3">
        <f t="shared" si="4"/>
        <v>1</v>
      </c>
    </row>
    <row r="274" spans="1:19">
      <c r="A274" s="1">
        <v>46054</v>
      </c>
      <c r="B274" t="s">
        <v>265</v>
      </c>
      <c r="C274" t="s">
        <v>199</v>
      </c>
      <c r="D274" t="s">
        <v>200</v>
      </c>
      <c r="E274" t="s">
        <v>188</v>
      </c>
      <c r="F274" t="s">
        <v>23</v>
      </c>
      <c r="G274">
        <v>337</v>
      </c>
      <c r="H274">
        <v>318</v>
      </c>
      <c r="I274">
        <v>145</v>
      </c>
      <c r="J274">
        <v>510</v>
      </c>
      <c r="K274">
        <v>135</v>
      </c>
      <c r="L274" t="b">
        <v>0</v>
      </c>
      <c r="M274">
        <v>505.82</v>
      </c>
      <c r="N274">
        <v>257970.48</v>
      </c>
      <c r="O274" t="s">
        <v>98</v>
      </c>
      <c r="P274" t="str">
        <f>IF(J274=G274+H274-I274,"OK","Check")</f>
        <v>OK</v>
      </c>
      <c r="Q274" t="str">
        <f>IF(AND(J274&lt;=K274,L274=TRUE),"OK",IF(AND(J274&gt;K274,L274=FALSE),"OK","Check"))</f>
        <v>OK</v>
      </c>
      <c r="R274" t="str">
        <f>IF(ABS(N274-J274*M274)&lt;=J274*0.005+0.01,"OK","Check")</f>
        <v>OK</v>
      </c>
      <c r="S274" s="3">
        <f t="shared" si="4"/>
        <v>1</v>
      </c>
    </row>
    <row r="275" spans="1:19">
      <c r="A275" s="1">
        <v>46054</v>
      </c>
      <c r="B275" t="s">
        <v>265</v>
      </c>
      <c r="C275" t="s">
        <v>201</v>
      </c>
      <c r="D275" t="s">
        <v>202</v>
      </c>
      <c r="E275" t="s">
        <v>188</v>
      </c>
      <c r="F275" t="s">
        <v>23</v>
      </c>
      <c r="G275">
        <v>194</v>
      </c>
      <c r="H275">
        <v>0</v>
      </c>
      <c r="I275">
        <v>194</v>
      </c>
      <c r="J275">
        <v>0</v>
      </c>
      <c r="K275">
        <v>138</v>
      </c>
      <c r="L275" t="b">
        <v>1</v>
      </c>
      <c r="M275">
        <v>859.4</v>
      </c>
      <c r="N275">
        <v>0</v>
      </c>
      <c r="O275" t="s">
        <v>47</v>
      </c>
      <c r="P275" t="str">
        <f>IF(J275=G275+H275-I275,"OK","Check")</f>
        <v>OK</v>
      </c>
      <c r="Q275" t="str">
        <f>IF(AND(J275&lt;=K275,L275=TRUE),"OK",IF(AND(J275&gt;K275,L275=FALSE),"OK","Check"))</f>
        <v>OK</v>
      </c>
      <c r="R275" t="str">
        <f>IF(ABS(N275-J275*M275)&lt;=J275*0.005+0.01,"OK","Check")</f>
        <v>OK</v>
      </c>
      <c r="S275" s="3">
        <f t="shared" si="4"/>
        <v>1</v>
      </c>
    </row>
    <row r="276" spans="1:19">
      <c r="A276" s="1">
        <v>46054</v>
      </c>
      <c r="B276" t="s">
        <v>265</v>
      </c>
      <c r="C276" t="s">
        <v>203</v>
      </c>
      <c r="D276" t="s">
        <v>204</v>
      </c>
      <c r="E276" t="s">
        <v>188</v>
      </c>
      <c r="F276" t="s">
        <v>23</v>
      </c>
      <c r="G276">
        <v>612</v>
      </c>
      <c r="H276">
        <v>0</v>
      </c>
      <c r="I276">
        <v>250</v>
      </c>
      <c r="J276">
        <v>362</v>
      </c>
      <c r="K276">
        <v>240</v>
      </c>
      <c r="L276" t="b">
        <v>0</v>
      </c>
      <c r="M276">
        <v>4121.04</v>
      </c>
      <c r="N276">
        <v>1491815.11</v>
      </c>
      <c r="O276" t="s">
        <v>47</v>
      </c>
      <c r="P276" t="str">
        <f>IF(J276=G276+H276-I276,"OK","Check")</f>
        <v>OK</v>
      </c>
      <c r="Q276" t="str">
        <f>IF(AND(J276&lt;=K276,L276=TRUE),"OK",IF(AND(J276&gt;K276,L276=FALSE),"OK","Check"))</f>
        <v>OK</v>
      </c>
      <c r="R276" t="str">
        <f>IF(ABS(N276-J276*M276)&lt;=J276*0.005+0.01,"OK","Check")</f>
        <v>OK</v>
      </c>
      <c r="S276" s="3">
        <f t="shared" si="4"/>
        <v>1</v>
      </c>
    </row>
    <row r="277" spans="1:19">
      <c r="A277" s="1">
        <v>46054</v>
      </c>
      <c r="B277" t="s">
        <v>265</v>
      </c>
      <c r="C277" t="s">
        <v>205</v>
      </c>
      <c r="D277" t="s">
        <v>206</v>
      </c>
      <c r="E277" t="s">
        <v>188</v>
      </c>
      <c r="F277" t="s">
        <v>23</v>
      </c>
      <c r="G277">
        <v>173</v>
      </c>
      <c r="H277">
        <v>0</v>
      </c>
      <c r="I277">
        <v>91</v>
      </c>
      <c r="J277">
        <v>82</v>
      </c>
      <c r="K277">
        <v>72</v>
      </c>
      <c r="L277" t="b">
        <v>0</v>
      </c>
      <c r="M277">
        <v>91.5</v>
      </c>
      <c r="N277">
        <v>7502.98</v>
      </c>
      <c r="O277" t="s">
        <v>98</v>
      </c>
      <c r="P277" t="str">
        <f>IF(J277=G277+H277-I277,"OK","Check")</f>
        <v>OK</v>
      </c>
      <c r="Q277" t="str">
        <f>IF(AND(J277&lt;=K277,L277=TRUE),"OK",IF(AND(J277&gt;K277,L277=FALSE),"OK","Check"))</f>
        <v>OK</v>
      </c>
      <c r="R277" t="str">
        <f>IF(ABS(N277-J277*M277)&lt;=J277*0.005+0.01,"OK","Check")</f>
        <v>OK</v>
      </c>
      <c r="S277" s="3">
        <f t="shared" si="4"/>
        <v>1</v>
      </c>
    </row>
    <row r="278" spans="1:19">
      <c r="A278" s="1">
        <v>46054</v>
      </c>
      <c r="B278" t="s">
        <v>265</v>
      </c>
      <c r="C278" t="s">
        <v>255</v>
      </c>
      <c r="D278" t="s">
        <v>256</v>
      </c>
      <c r="E278" t="s">
        <v>188</v>
      </c>
      <c r="F278" t="s">
        <v>23</v>
      </c>
      <c r="G278">
        <v>309</v>
      </c>
      <c r="H278">
        <v>467</v>
      </c>
      <c r="I278">
        <v>218</v>
      </c>
      <c r="J278">
        <v>558</v>
      </c>
      <c r="K278">
        <v>168</v>
      </c>
      <c r="L278" t="b">
        <v>0</v>
      </c>
      <c r="M278">
        <v>418.15</v>
      </c>
      <c r="N278">
        <v>233327.07</v>
      </c>
      <c r="O278" t="s">
        <v>37</v>
      </c>
      <c r="P278" t="str">
        <f>IF(J278=G278+H278-I278,"OK","Check")</f>
        <v>OK</v>
      </c>
      <c r="Q278" t="str">
        <f>IF(AND(J278&lt;=K278,L278=TRUE),"OK",IF(AND(J278&gt;K278,L278=FALSE),"OK","Check"))</f>
        <v>OK</v>
      </c>
      <c r="R278" t="str">
        <f>IF(ABS(N278-J278*M278)&lt;=J278*0.005+0.01,"OK","Check")</f>
        <v>OK</v>
      </c>
      <c r="S278" s="3">
        <f t="shared" si="4"/>
        <v>1</v>
      </c>
    </row>
    <row r="279" spans="1:19">
      <c r="A279" s="1">
        <v>46054</v>
      </c>
      <c r="B279" t="s">
        <v>265</v>
      </c>
      <c r="C279" t="s">
        <v>207</v>
      </c>
      <c r="D279" t="s">
        <v>208</v>
      </c>
      <c r="E279" t="s">
        <v>188</v>
      </c>
      <c r="F279" t="s">
        <v>23</v>
      </c>
      <c r="G279">
        <v>253</v>
      </c>
      <c r="H279">
        <v>0</v>
      </c>
      <c r="I279">
        <v>117</v>
      </c>
      <c r="J279">
        <v>136</v>
      </c>
      <c r="K279">
        <v>146</v>
      </c>
      <c r="L279" t="b">
        <v>1</v>
      </c>
      <c r="M279">
        <v>78.959999999999994</v>
      </c>
      <c r="N279">
        <v>10738.27</v>
      </c>
      <c r="O279" t="s">
        <v>47</v>
      </c>
      <c r="P279" t="str">
        <f>IF(J279=G279+H279-I279,"OK","Check")</f>
        <v>OK</v>
      </c>
      <c r="Q279" t="str">
        <f>IF(AND(J279&lt;=K279,L279=TRUE),"OK",IF(AND(J279&gt;K279,L279=FALSE),"OK","Check"))</f>
        <v>OK</v>
      </c>
      <c r="R279" t="str">
        <f>IF(ABS(N279-J279*M279)&lt;=J279*0.005+0.01,"OK","Check")</f>
        <v>OK</v>
      </c>
      <c r="S279" s="3">
        <f t="shared" si="4"/>
        <v>1</v>
      </c>
    </row>
    <row r="280" spans="1:19">
      <c r="A280" s="1">
        <v>46054</v>
      </c>
      <c r="B280" t="s">
        <v>265</v>
      </c>
      <c r="C280" t="s">
        <v>209</v>
      </c>
      <c r="D280" t="s">
        <v>210</v>
      </c>
      <c r="E280" t="s">
        <v>188</v>
      </c>
      <c r="F280" t="s">
        <v>23</v>
      </c>
      <c r="G280">
        <v>192</v>
      </c>
      <c r="H280">
        <v>0</v>
      </c>
      <c r="I280">
        <v>56</v>
      </c>
      <c r="J280">
        <v>136</v>
      </c>
      <c r="K280">
        <v>97</v>
      </c>
      <c r="L280" t="b">
        <v>0</v>
      </c>
      <c r="M280">
        <v>323.93</v>
      </c>
      <c r="N280">
        <v>44054.65</v>
      </c>
      <c r="O280" t="s">
        <v>37</v>
      </c>
      <c r="P280" t="str">
        <f>IF(J280=G280+H280-I280,"OK","Check")</f>
        <v>OK</v>
      </c>
      <c r="Q280" t="str">
        <f>IF(AND(J280&lt;=K280,L280=TRUE),"OK",IF(AND(J280&gt;K280,L280=FALSE),"OK","Check"))</f>
        <v>OK</v>
      </c>
      <c r="R280" t="str">
        <f>IF(ABS(N280-J280*M280)&lt;=J280*0.005+0.01,"OK","Check")</f>
        <v>OK</v>
      </c>
      <c r="S280" s="3">
        <f t="shared" si="4"/>
        <v>1</v>
      </c>
    </row>
    <row r="281" spans="1:19">
      <c r="A281" s="1">
        <v>46054</v>
      </c>
      <c r="B281" t="s">
        <v>265</v>
      </c>
      <c r="C281" t="s">
        <v>266</v>
      </c>
      <c r="D281" t="s">
        <v>267</v>
      </c>
      <c r="E281" t="s">
        <v>188</v>
      </c>
      <c r="F281" t="s">
        <v>23</v>
      </c>
      <c r="G281">
        <v>257</v>
      </c>
      <c r="H281">
        <v>0</v>
      </c>
      <c r="I281">
        <v>82</v>
      </c>
      <c r="J281">
        <v>175</v>
      </c>
      <c r="K281">
        <v>109</v>
      </c>
      <c r="L281" t="b">
        <v>0</v>
      </c>
      <c r="M281">
        <v>104.24</v>
      </c>
      <c r="N281">
        <v>18241.16</v>
      </c>
      <c r="O281" t="s">
        <v>24</v>
      </c>
      <c r="P281" t="str">
        <f>IF(J281=G281+H281-I281,"OK","Check")</f>
        <v>OK</v>
      </c>
      <c r="Q281" t="str">
        <f>IF(AND(J281&lt;=K281,L281=TRUE),"OK",IF(AND(J281&gt;K281,L281=FALSE),"OK","Check"))</f>
        <v>OK</v>
      </c>
      <c r="R281" t="str">
        <f>IF(ABS(N281-J281*M281)&lt;=J281*0.005+0.01,"OK","Check")</f>
        <v>OK</v>
      </c>
      <c r="S281" s="3">
        <f t="shared" si="4"/>
        <v>1</v>
      </c>
    </row>
    <row r="282" spans="1:19">
      <c r="A282" s="1">
        <v>46054</v>
      </c>
      <c r="B282" t="s">
        <v>265</v>
      </c>
      <c r="C282" t="s">
        <v>211</v>
      </c>
      <c r="D282" t="s">
        <v>212</v>
      </c>
      <c r="E282" t="s">
        <v>188</v>
      </c>
      <c r="F282" t="s">
        <v>23</v>
      </c>
      <c r="G282">
        <v>170</v>
      </c>
      <c r="H282">
        <v>0</v>
      </c>
      <c r="I282">
        <v>86</v>
      </c>
      <c r="J282">
        <v>84</v>
      </c>
      <c r="K282">
        <v>107</v>
      </c>
      <c r="L282" t="b">
        <v>1</v>
      </c>
      <c r="M282">
        <v>420.68</v>
      </c>
      <c r="N282">
        <v>35337.230000000003</v>
      </c>
      <c r="O282" t="s">
        <v>60</v>
      </c>
      <c r="P282" t="str">
        <f>IF(J282=G282+H282-I282,"OK","Check")</f>
        <v>OK</v>
      </c>
      <c r="Q282" t="str">
        <f>IF(AND(J282&lt;=K282,L282=TRUE),"OK",IF(AND(J282&gt;K282,L282=FALSE),"OK","Check"))</f>
        <v>OK</v>
      </c>
      <c r="R282" t="str">
        <f>IF(ABS(N282-J282*M282)&lt;=J282*0.005+0.01,"OK","Check")</f>
        <v>OK</v>
      </c>
      <c r="S282" s="3">
        <f t="shared" si="4"/>
        <v>1</v>
      </c>
    </row>
    <row r="283" spans="1:19">
      <c r="A283" s="1">
        <v>46054</v>
      </c>
      <c r="B283" t="s">
        <v>265</v>
      </c>
      <c r="C283" t="s">
        <v>268</v>
      </c>
      <c r="D283" t="s">
        <v>269</v>
      </c>
      <c r="E283" t="s">
        <v>188</v>
      </c>
      <c r="F283" t="s">
        <v>23</v>
      </c>
      <c r="G283">
        <v>556</v>
      </c>
      <c r="H283">
        <v>0</v>
      </c>
      <c r="I283">
        <v>204</v>
      </c>
      <c r="J283">
        <v>352</v>
      </c>
      <c r="K283">
        <v>231</v>
      </c>
      <c r="L283" t="b">
        <v>0</v>
      </c>
      <c r="M283">
        <v>38.71</v>
      </c>
      <c r="N283">
        <v>13626.86</v>
      </c>
      <c r="O283" t="s">
        <v>47</v>
      </c>
      <c r="P283" t="str">
        <f>IF(J283=G283+H283-I283,"OK","Check")</f>
        <v>OK</v>
      </c>
      <c r="Q283" t="str">
        <f>IF(AND(J283&lt;=K283,L283=TRUE),"OK",IF(AND(J283&gt;K283,L283=FALSE),"OK","Check"))</f>
        <v>OK</v>
      </c>
      <c r="R283" t="str">
        <f>IF(ABS(N283-J283*M283)&lt;=J283*0.005+0.01,"OK","Check")</f>
        <v>OK</v>
      </c>
      <c r="S283" s="3">
        <f t="shared" si="4"/>
        <v>1</v>
      </c>
    </row>
    <row r="284" spans="1:19">
      <c r="A284" s="1">
        <v>46054</v>
      </c>
      <c r="B284" t="s">
        <v>265</v>
      </c>
      <c r="C284" t="s">
        <v>270</v>
      </c>
      <c r="D284" t="s">
        <v>271</v>
      </c>
      <c r="E284" t="s">
        <v>188</v>
      </c>
      <c r="F284" t="s">
        <v>23</v>
      </c>
      <c r="G284">
        <v>290</v>
      </c>
      <c r="H284">
        <v>616</v>
      </c>
      <c r="I284">
        <v>214</v>
      </c>
      <c r="J284">
        <v>692</v>
      </c>
      <c r="K284">
        <v>275</v>
      </c>
      <c r="L284" t="b">
        <v>0</v>
      </c>
      <c r="M284">
        <v>184.34</v>
      </c>
      <c r="N284">
        <v>127560.31</v>
      </c>
      <c r="O284" t="s">
        <v>24</v>
      </c>
      <c r="P284" t="str">
        <f>IF(J284=G284+H284-I284,"OK","Check")</f>
        <v>OK</v>
      </c>
      <c r="Q284" t="str">
        <f>IF(AND(J284&lt;=K284,L284=TRUE),"OK",IF(AND(J284&gt;K284,L284=FALSE),"OK","Check"))</f>
        <v>OK</v>
      </c>
      <c r="R284" t="str">
        <f>IF(ABS(N284-J284*M284)&lt;=J284*0.005+0.01,"OK","Check")</f>
        <v>OK</v>
      </c>
      <c r="S284" s="3">
        <f t="shared" si="4"/>
        <v>1</v>
      </c>
    </row>
    <row r="285" spans="1:19">
      <c r="A285" s="1">
        <v>46054</v>
      </c>
      <c r="B285" t="s">
        <v>265</v>
      </c>
      <c r="C285" t="s">
        <v>213</v>
      </c>
      <c r="D285" t="s">
        <v>214</v>
      </c>
      <c r="E285" t="s">
        <v>188</v>
      </c>
      <c r="F285" t="s">
        <v>23</v>
      </c>
      <c r="G285">
        <v>149</v>
      </c>
      <c r="H285">
        <v>401</v>
      </c>
      <c r="I285">
        <v>103</v>
      </c>
      <c r="J285">
        <v>447</v>
      </c>
      <c r="K285">
        <v>97</v>
      </c>
      <c r="L285" t="b">
        <v>0</v>
      </c>
      <c r="M285">
        <v>328.65</v>
      </c>
      <c r="N285">
        <v>146905.10999999999</v>
      </c>
      <c r="O285" t="s">
        <v>44</v>
      </c>
      <c r="P285" t="str">
        <f>IF(J285=G285+H285-I285,"OK","Check")</f>
        <v>OK</v>
      </c>
      <c r="Q285" t="str">
        <f>IF(AND(J285&lt;=K285,L285=TRUE),"OK",IF(AND(J285&gt;K285,L285=FALSE),"OK","Check"))</f>
        <v>OK</v>
      </c>
      <c r="R285" t="str">
        <f>IF(ABS(N285-J285*M285)&lt;=J285*0.005+0.01,"OK","Check")</f>
        <v>OK</v>
      </c>
      <c r="S285" s="3">
        <f t="shared" si="4"/>
        <v>1</v>
      </c>
    </row>
    <row r="286" spans="1:19">
      <c r="A286" s="1">
        <v>46054</v>
      </c>
      <c r="B286" t="s">
        <v>265</v>
      </c>
      <c r="C286" t="s">
        <v>217</v>
      </c>
      <c r="D286" t="s">
        <v>218</v>
      </c>
      <c r="E286" t="s">
        <v>219</v>
      </c>
      <c r="F286" t="s">
        <v>23</v>
      </c>
      <c r="G286">
        <v>248</v>
      </c>
      <c r="H286">
        <v>0</v>
      </c>
      <c r="I286">
        <v>69</v>
      </c>
      <c r="J286">
        <v>179</v>
      </c>
      <c r="K286">
        <v>125</v>
      </c>
      <c r="L286" t="b">
        <v>0</v>
      </c>
      <c r="M286">
        <v>18.059999999999999</v>
      </c>
      <c r="N286">
        <v>3231.99</v>
      </c>
      <c r="O286" t="s">
        <v>37</v>
      </c>
      <c r="P286" t="str">
        <f>IF(J286=G286+H286-I286,"OK","Check")</f>
        <v>OK</v>
      </c>
      <c r="Q286" t="str">
        <f>IF(AND(J286&lt;=K286,L286=TRUE),"OK",IF(AND(J286&gt;K286,L286=FALSE),"OK","Check"))</f>
        <v>OK</v>
      </c>
      <c r="R286" t="str">
        <f>IF(ABS(N286-J286*M286)&lt;=J286*0.005+0.01,"OK","Check")</f>
        <v>OK</v>
      </c>
      <c r="S286" s="3">
        <f t="shared" si="4"/>
        <v>1</v>
      </c>
    </row>
    <row r="287" spans="1:19">
      <c r="A287" s="1">
        <v>46054</v>
      </c>
      <c r="B287" t="s">
        <v>265</v>
      </c>
      <c r="C287" t="s">
        <v>220</v>
      </c>
      <c r="D287" t="s">
        <v>221</v>
      </c>
      <c r="E287" t="s">
        <v>219</v>
      </c>
      <c r="F287" t="s">
        <v>23</v>
      </c>
      <c r="G287">
        <v>108</v>
      </c>
      <c r="H287">
        <v>186</v>
      </c>
      <c r="I287">
        <v>62</v>
      </c>
      <c r="J287">
        <v>232</v>
      </c>
      <c r="K287">
        <v>101</v>
      </c>
      <c r="L287" t="b">
        <v>0</v>
      </c>
      <c r="M287">
        <v>90.92</v>
      </c>
      <c r="N287">
        <v>21094.51</v>
      </c>
      <c r="O287" t="s">
        <v>60</v>
      </c>
      <c r="P287" t="str">
        <f>IF(J287=G287+H287-I287,"OK","Check")</f>
        <v>OK</v>
      </c>
      <c r="Q287" t="str">
        <f>IF(AND(J287&lt;=K287,L287=TRUE),"OK",IF(AND(J287&gt;K287,L287=FALSE),"OK","Check"))</f>
        <v>OK</v>
      </c>
      <c r="R287" t="str">
        <f>IF(ABS(N287-J287*M287)&lt;=J287*0.005+0.01,"OK","Check")</f>
        <v>OK</v>
      </c>
      <c r="S287" s="3">
        <f t="shared" si="4"/>
        <v>1</v>
      </c>
    </row>
    <row r="288" spans="1:19">
      <c r="A288" s="1">
        <v>46054</v>
      </c>
      <c r="B288" t="s">
        <v>265</v>
      </c>
      <c r="C288" t="s">
        <v>222</v>
      </c>
      <c r="D288" t="s">
        <v>223</v>
      </c>
      <c r="E288" t="s">
        <v>219</v>
      </c>
      <c r="F288" t="s">
        <v>23</v>
      </c>
      <c r="G288">
        <v>278</v>
      </c>
      <c r="H288">
        <v>0</v>
      </c>
      <c r="I288">
        <v>228</v>
      </c>
      <c r="J288">
        <v>50</v>
      </c>
      <c r="K288">
        <v>168</v>
      </c>
      <c r="L288" t="b">
        <v>1</v>
      </c>
      <c r="M288">
        <v>44.76</v>
      </c>
      <c r="N288">
        <v>2237.88</v>
      </c>
      <c r="O288" t="s">
        <v>37</v>
      </c>
      <c r="P288" t="str">
        <f>IF(J288=G288+H288-I288,"OK","Check")</f>
        <v>OK</v>
      </c>
      <c r="Q288" t="str">
        <f>IF(AND(J288&lt;=K288,L288=TRUE),"OK",IF(AND(J288&gt;K288,L288=FALSE),"OK","Check"))</f>
        <v>OK</v>
      </c>
      <c r="R288" t="str">
        <f>IF(ABS(N288-J288*M288)&lt;=J288*0.005+0.01,"OK","Check")</f>
        <v>OK</v>
      </c>
      <c r="S288" s="3">
        <f t="shared" si="4"/>
        <v>1</v>
      </c>
    </row>
    <row r="289" spans="1:19">
      <c r="A289" s="1">
        <v>46054</v>
      </c>
      <c r="B289" t="s">
        <v>265</v>
      </c>
      <c r="C289" t="s">
        <v>224</v>
      </c>
      <c r="D289" t="s">
        <v>225</v>
      </c>
      <c r="E289" t="s">
        <v>219</v>
      </c>
      <c r="F289" t="s">
        <v>23</v>
      </c>
      <c r="G289">
        <v>198</v>
      </c>
      <c r="H289">
        <v>0</v>
      </c>
      <c r="I289">
        <v>132</v>
      </c>
      <c r="J289">
        <v>66</v>
      </c>
      <c r="K289">
        <v>160</v>
      </c>
      <c r="L289" t="b">
        <v>1</v>
      </c>
      <c r="M289">
        <v>205.4</v>
      </c>
      <c r="N289">
        <v>13556.44</v>
      </c>
      <c r="O289" t="s">
        <v>44</v>
      </c>
      <c r="P289" t="str">
        <f>IF(J289=G289+H289-I289,"OK","Check")</f>
        <v>OK</v>
      </c>
      <c r="Q289" t="str">
        <f>IF(AND(J289&lt;=K289,L289=TRUE),"OK",IF(AND(J289&gt;K289,L289=FALSE),"OK","Check"))</f>
        <v>OK</v>
      </c>
      <c r="R289" t="str">
        <f>IF(ABS(N289-J289*M289)&lt;=J289*0.005+0.01,"OK","Check")</f>
        <v>OK</v>
      </c>
      <c r="S289" s="3">
        <f t="shared" si="4"/>
        <v>1</v>
      </c>
    </row>
    <row r="290" spans="1:19">
      <c r="A290" s="1">
        <v>46054</v>
      </c>
      <c r="B290" t="s">
        <v>265</v>
      </c>
      <c r="C290" t="s">
        <v>272</v>
      </c>
      <c r="D290" t="s">
        <v>273</v>
      </c>
      <c r="E290" t="s">
        <v>219</v>
      </c>
      <c r="F290" t="s">
        <v>23</v>
      </c>
      <c r="G290">
        <v>267</v>
      </c>
      <c r="H290">
        <v>0</v>
      </c>
      <c r="I290">
        <v>108</v>
      </c>
      <c r="J290">
        <v>159</v>
      </c>
      <c r="K290">
        <v>115</v>
      </c>
      <c r="L290" t="b">
        <v>0</v>
      </c>
      <c r="M290">
        <v>1777.26</v>
      </c>
      <c r="N290">
        <v>282584.7</v>
      </c>
      <c r="O290" t="s">
        <v>98</v>
      </c>
      <c r="P290" t="str">
        <f>IF(J290=G290+H290-I290,"OK","Check")</f>
        <v>OK</v>
      </c>
      <c r="Q290" t="str">
        <f>IF(AND(J290&lt;=K290,L290=TRUE),"OK",IF(AND(J290&gt;K290,L290=FALSE),"OK","Check"))</f>
        <v>OK</v>
      </c>
      <c r="R290" t="str">
        <f>IF(ABS(N290-J290*M290)&lt;=J290*0.005+0.01,"OK","Check")</f>
        <v>OK</v>
      </c>
      <c r="S290" s="3">
        <f t="shared" si="4"/>
        <v>1</v>
      </c>
    </row>
    <row r="291" spans="1:19">
      <c r="A291" s="1">
        <v>46054</v>
      </c>
      <c r="B291" t="s">
        <v>265</v>
      </c>
      <c r="C291" t="s">
        <v>228</v>
      </c>
      <c r="D291" t="s">
        <v>229</v>
      </c>
      <c r="E291" t="s">
        <v>219</v>
      </c>
      <c r="F291" t="s">
        <v>23</v>
      </c>
      <c r="G291">
        <v>423</v>
      </c>
      <c r="H291">
        <v>0</v>
      </c>
      <c r="I291">
        <v>208</v>
      </c>
      <c r="J291">
        <v>215</v>
      </c>
      <c r="K291">
        <v>233</v>
      </c>
      <c r="L291" t="b">
        <v>1</v>
      </c>
      <c r="M291">
        <v>40.74</v>
      </c>
      <c r="N291">
        <v>8759.06</v>
      </c>
      <c r="O291" t="s">
        <v>44</v>
      </c>
      <c r="P291" t="str">
        <f>IF(J291=G291+H291-I291,"OK","Check")</f>
        <v>OK</v>
      </c>
      <c r="Q291" t="str">
        <f>IF(AND(J291&lt;=K291,L291=TRUE),"OK",IF(AND(J291&gt;K291,L291=FALSE),"OK","Check"))</f>
        <v>OK</v>
      </c>
      <c r="R291" t="str">
        <f>IF(ABS(N291-J291*M291)&lt;=J291*0.005+0.01,"OK","Check")</f>
        <v>OK</v>
      </c>
      <c r="S291" s="3">
        <f t="shared" si="4"/>
        <v>1</v>
      </c>
    </row>
    <row r="292" spans="1:19">
      <c r="A292" s="1">
        <v>46054</v>
      </c>
      <c r="B292" t="s">
        <v>265</v>
      </c>
      <c r="C292" t="s">
        <v>230</v>
      </c>
      <c r="D292" t="s">
        <v>231</v>
      </c>
      <c r="E292" t="s">
        <v>219</v>
      </c>
      <c r="F292" t="s">
        <v>23</v>
      </c>
      <c r="G292">
        <v>288</v>
      </c>
      <c r="H292">
        <v>0</v>
      </c>
      <c r="I292">
        <v>91</v>
      </c>
      <c r="J292">
        <v>197</v>
      </c>
      <c r="K292">
        <v>165</v>
      </c>
      <c r="L292" t="b">
        <v>0</v>
      </c>
      <c r="M292">
        <v>218.43</v>
      </c>
      <c r="N292">
        <v>43031.32</v>
      </c>
      <c r="O292" t="s">
        <v>32</v>
      </c>
      <c r="P292" t="str">
        <f>IF(J292=G292+H292-I292,"OK","Check")</f>
        <v>OK</v>
      </c>
      <c r="Q292" t="str">
        <f>IF(AND(J292&lt;=K292,L292=TRUE),"OK",IF(AND(J292&gt;K292,L292=FALSE),"OK","Check"))</f>
        <v>OK</v>
      </c>
      <c r="R292" t="str">
        <f>IF(ABS(N292-J292*M292)&lt;=J292*0.005+0.01,"OK","Check")</f>
        <v>OK</v>
      </c>
      <c r="S292" s="3">
        <f t="shared" si="4"/>
        <v>1</v>
      </c>
    </row>
    <row r="293" spans="1:19">
      <c r="A293" s="1">
        <v>46054</v>
      </c>
      <c r="B293" t="s">
        <v>265</v>
      </c>
      <c r="C293" t="s">
        <v>232</v>
      </c>
      <c r="D293" t="s">
        <v>233</v>
      </c>
      <c r="E293" t="s">
        <v>219</v>
      </c>
      <c r="F293" t="s">
        <v>23</v>
      </c>
      <c r="G293">
        <v>289</v>
      </c>
      <c r="H293">
        <v>0</v>
      </c>
      <c r="I293">
        <v>82</v>
      </c>
      <c r="J293">
        <v>207</v>
      </c>
      <c r="K293">
        <v>174</v>
      </c>
      <c r="L293" t="b">
        <v>0</v>
      </c>
      <c r="M293">
        <v>149.46</v>
      </c>
      <c r="N293">
        <v>30937.47</v>
      </c>
      <c r="O293" t="s">
        <v>32</v>
      </c>
      <c r="P293" t="str">
        <f>IF(J293=G293+H293-I293,"OK","Check")</f>
        <v>OK</v>
      </c>
      <c r="Q293" t="str">
        <f>IF(AND(J293&lt;=K293,L293=TRUE),"OK",IF(AND(J293&gt;K293,L293=FALSE),"OK","Check"))</f>
        <v>OK</v>
      </c>
      <c r="R293" t="str">
        <f>IF(ABS(N293-J293*M293)&lt;=J293*0.005+0.01,"OK","Check")</f>
        <v>OK</v>
      </c>
      <c r="S293" s="3">
        <f t="shared" si="4"/>
        <v>1</v>
      </c>
    </row>
    <row r="294" spans="1:19">
      <c r="A294" s="1">
        <v>46054</v>
      </c>
      <c r="B294" t="s">
        <v>265</v>
      </c>
      <c r="C294" t="s">
        <v>234</v>
      </c>
      <c r="D294" t="s">
        <v>235</v>
      </c>
      <c r="E294" t="s">
        <v>219</v>
      </c>
      <c r="F294" t="s">
        <v>23</v>
      </c>
      <c r="G294">
        <v>386</v>
      </c>
      <c r="H294">
        <v>0</v>
      </c>
      <c r="I294">
        <v>120</v>
      </c>
      <c r="J294">
        <v>266</v>
      </c>
      <c r="K294">
        <v>177</v>
      </c>
      <c r="L294" t="b">
        <v>0</v>
      </c>
      <c r="M294">
        <v>2223.5</v>
      </c>
      <c r="N294">
        <v>591449.91</v>
      </c>
      <c r="O294" t="s">
        <v>47</v>
      </c>
      <c r="P294" t="str">
        <f>IF(J294=G294+H294-I294,"OK","Check")</f>
        <v>OK</v>
      </c>
      <c r="Q294" t="str">
        <f>IF(AND(J294&lt;=K294,L294=TRUE),"OK",IF(AND(J294&gt;K294,L294=FALSE),"OK","Check"))</f>
        <v>OK</v>
      </c>
      <c r="R294" t="str">
        <f>IF(ABS(N294-J294*M294)&lt;=J294*0.005+0.01,"OK","Check")</f>
        <v>OK</v>
      </c>
      <c r="S294" s="3">
        <f t="shared" si="4"/>
        <v>1</v>
      </c>
    </row>
    <row r="295" spans="1:19">
      <c r="A295" s="1">
        <v>46054</v>
      </c>
      <c r="B295" t="s">
        <v>265</v>
      </c>
      <c r="C295" t="s">
        <v>261</v>
      </c>
      <c r="D295" t="s">
        <v>262</v>
      </c>
      <c r="E295" t="s">
        <v>219</v>
      </c>
      <c r="F295" t="s">
        <v>23</v>
      </c>
      <c r="G295">
        <v>447</v>
      </c>
      <c r="H295">
        <v>462</v>
      </c>
      <c r="I295">
        <v>194</v>
      </c>
      <c r="J295">
        <v>715</v>
      </c>
      <c r="K295">
        <v>127</v>
      </c>
      <c r="L295" t="b">
        <v>0</v>
      </c>
      <c r="M295">
        <v>276.58999999999997</v>
      </c>
      <c r="N295">
        <v>197764.52</v>
      </c>
      <c r="O295" t="s">
        <v>60</v>
      </c>
      <c r="P295" t="str">
        <f>IF(J295=G295+H295-I295,"OK","Check")</f>
        <v>OK</v>
      </c>
      <c r="Q295" t="str">
        <f>IF(AND(J295&lt;=K295,L295=TRUE),"OK",IF(AND(J295&gt;K295,L295=FALSE),"OK","Check"))</f>
        <v>OK</v>
      </c>
      <c r="R295" t="str">
        <f>IF(ABS(N295-J295*M295)&lt;=J295*0.005+0.01,"OK","Check")</f>
        <v>OK</v>
      </c>
      <c r="S295" s="3">
        <f t="shared" si="4"/>
        <v>1</v>
      </c>
    </row>
    <row r="296" spans="1:19">
      <c r="A296" s="1">
        <v>46054</v>
      </c>
      <c r="B296" t="s">
        <v>265</v>
      </c>
      <c r="C296" t="s">
        <v>274</v>
      </c>
      <c r="D296" t="s">
        <v>275</v>
      </c>
      <c r="E296" t="s">
        <v>219</v>
      </c>
      <c r="F296" t="s">
        <v>23</v>
      </c>
      <c r="G296">
        <v>24</v>
      </c>
      <c r="H296">
        <v>0</v>
      </c>
      <c r="I296">
        <v>16</v>
      </c>
      <c r="J296">
        <v>8</v>
      </c>
      <c r="K296">
        <v>19</v>
      </c>
      <c r="L296" t="b">
        <v>1</v>
      </c>
      <c r="M296">
        <v>228.38</v>
      </c>
      <c r="N296">
        <v>1827.06</v>
      </c>
      <c r="O296" t="s">
        <v>60</v>
      </c>
      <c r="P296" t="str">
        <f>IF(J296=G296+H296-I296,"OK","Check")</f>
        <v>OK</v>
      </c>
      <c r="Q296" t="str">
        <f>IF(AND(J296&lt;=K296,L296=TRUE),"OK",IF(AND(J296&gt;K296,L296=FALSE),"OK","Check"))</f>
        <v>OK</v>
      </c>
      <c r="R296" t="str">
        <f>IF(ABS(N296-J296*M296)&lt;=J296*0.005+0.01,"OK","Check")</f>
        <v>OK</v>
      </c>
      <c r="S296" s="3">
        <f t="shared" si="4"/>
        <v>1</v>
      </c>
    </row>
    <row r="297" spans="1:19">
      <c r="A297" s="1">
        <v>46054</v>
      </c>
      <c r="B297" t="s">
        <v>265</v>
      </c>
      <c r="C297" t="s">
        <v>236</v>
      </c>
      <c r="D297" t="s">
        <v>237</v>
      </c>
      <c r="E297" t="s">
        <v>219</v>
      </c>
      <c r="F297" t="s">
        <v>23</v>
      </c>
      <c r="G297">
        <v>281</v>
      </c>
      <c r="H297">
        <v>0</v>
      </c>
      <c r="I297">
        <v>77</v>
      </c>
      <c r="J297">
        <v>204</v>
      </c>
      <c r="K297">
        <v>133</v>
      </c>
      <c r="L297" t="b">
        <v>0</v>
      </c>
      <c r="M297">
        <v>1087.46</v>
      </c>
      <c r="N297">
        <v>221841.49</v>
      </c>
      <c r="O297" t="s">
        <v>98</v>
      </c>
      <c r="P297" t="str">
        <f>IF(J297=G297+H297-I297,"OK","Check")</f>
        <v>OK</v>
      </c>
      <c r="Q297" t="str">
        <f>IF(AND(J297&lt;=K297,L297=TRUE),"OK",IF(AND(J297&gt;K297,L297=FALSE),"OK","Check"))</f>
        <v>OK</v>
      </c>
      <c r="R297" t="str">
        <f>IF(ABS(N297-J297*M297)&lt;=J297*0.005+0.01,"OK","Check")</f>
        <v>OK</v>
      </c>
      <c r="S297" s="3">
        <f t="shared" si="4"/>
        <v>1</v>
      </c>
    </row>
    <row r="298" spans="1:19">
      <c r="A298" s="1">
        <v>46054</v>
      </c>
      <c r="B298" t="s">
        <v>265</v>
      </c>
      <c r="C298" t="s">
        <v>263</v>
      </c>
      <c r="D298" t="s">
        <v>264</v>
      </c>
      <c r="E298" t="s">
        <v>219</v>
      </c>
      <c r="F298" t="s">
        <v>23</v>
      </c>
      <c r="G298">
        <v>211</v>
      </c>
      <c r="H298">
        <v>491</v>
      </c>
      <c r="I298">
        <v>210</v>
      </c>
      <c r="J298">
        <v>492</v>
      </c>
      <c r="K298">
        <v>139</v>
      </c>
      <c r="L298" t="b">
        <v>0</v>
      </c>
      <c r="M298">
        <v>32.950000000000003</v>
      </c>
      <c r="N298">
        <v>16212.08</v>
      </c>
      <c r="O298" t="s">
        <v>27</v>
      </c>
      <c r="P298" t="str">
        <f>IF(J298=G298+H298-I298,"OK","Check")</f>
        <v>OK</v>
      </c>
      <c r="Q298" t="str">
        <f>IF(AND(J298&lt;=K298,L298=TRUE),"OK",IF(AND(J298&gt;K298,L298=FALSE),"OK","Check"))</f>
        <v>OK</v>
      </c>
      <c r="R298" t="str">
        <f>IF(ABS(N298-J298*M298)&lt;=J298*0.005+0.01,"OK","Check")</f>
        <v>OK</v>
      </c>
      <c r="S298" s="3">
        <f t="shared" si="4"/>
        <v>1</v>
      </c>
    </row>
    <row r="299" spans="1:19">
      <c r="A299" s="1">
        <v>46054</v>
      </c>
      <c r="B299" t="s">
        <v>265</v>
      </c>
      <c r="C299" t="s">
        <v>238</v>
      </c>
      <c r="D299" t="s">
        <v>239</v>
      </c>
      <c r="E299" t="s">
        <v>219</v>
      </c>
      <c r="F299" t="s">
        <v>23</v>
      </c>
      <c r="G299">
        <v>167</v>
      </c>
      <c r="H299">
        <v>0</v>
      </c>
      <c r="I299">
        <v>114</v>
      </c>
      <c r="J299">
        <v>53</v>
      </c>
      <c r="K299">
        <v>103</v>
      </c>
      <c r="L299" t="b">
        <v>1</v>
      </c>
      <c r="M299">
        <v>155</v>
      </c>
      <c r="N299">
        <v>8215.15</v>
      </c>
      <c r="O299" t="s">
        <v>32</v>
      </c>
      <c r="P299" t="str">
        <f>IF(J299=G299+H299-I299,"OK","Check")</f>
        <v>OK</v>
      </c>
      <c r="Q299" t="str">
        <f>IF(AND(J299&lt;=K299,L299=TRUE),"OK",IF(AND(J299&gt;K299,L299=FALSE),"OK","Check"))</f>
        <v>OK</v>
      </c>
      <c r="R299" t="str">
        <f>IF(ABS(N299-J299*M299)&lt;=J299*0.005+0.01,"OK","Check")</f>
        <v>OK</v>
      </c>
      <c r="S299" s="3">
        <f t="shared" si="4"/>
        <v>1</v>
      </c>
    </row>
    <row r="300" spans="1:19">
      <c r="A300" s="1">
        <v>46054</v>
      </c>
      <c r="B300" t="s">
        <v>265</v>
      </c>
      <c r="C300" t="s">
        <v>240</v>
      </c>
      <c r="D300" t="s">
        <v>241</v>
      </c>
      <c r="E300" t="s">
        <v>219</v>
      </c>
      <c r="F300" t="s">
        <v>23</v>
      </c>
      <c r="G300">
        <v>85</v>
      </c>
      <c r="H300">
        <v>138</v>
      </c>
      <c r="I300">
        <v>52</v>
      </c>
      <c r="J300">
        <v>171</v>
      </c>
      <c r="K300">
        <v>72</v>
      </c>
      <c r="L300" t="b">
        <v>0</v>
      </c>
      <c r="M300">
        <v>58.25</v>
      </c>
      <c r="N300">
        <v>9961</v>
      </c>
      <c r="O300" t="s">
        <v>27</v>
      </c>
      <c r="P300" t="str">
        <f>IF(J300=G300+H300-I300,"OK","Check")</f>
        <v>OK</v>
      </c>
      <c r="Q300" t="str">
        <f>IF(AND(J300&lt;=K300,L300=TRUE),"OK",IF(AND(J300&gt;K300,L300=FALSE),"OK","Check"))</f>
        <v>OK</v>
      </c>
      <c r="R300" t="str">
        <f>IF(ABS(N300-J300*M300)&lt;=J300*0.005+0.01,"OK","Check")</f>
        <v>OK</v>
      </c>
      <c r="S300" s="3">
        <f t="shared" si="4"/>
        <v>1</v>
      </c>
    </row>
    <row r="301" spans="1:19">
      <c r="A301" s="1">
        <v>46054</v>
      </c>
      <c r="B301" t="s">
        <v>265</v>
      </c>
      <c r="C301" t="s">
        <v>242</v>
      </c>
      <c r="D301" t="s">
        <v>243</v>
      </c>
      <c r="E301" t="s">
        <v>219</v>
      </c>
      <c r="F301" t="s">
        <v>23</v>
      </c>
      <c r="G301">
        <v>396</v>
      </c>
      <c r="H301">
        <v>0</v>
      </c>
      <c r="I301">
        <v>287</v>
      </c>
      <c r="J301">
        <v>109</v>
      </c>
      <c r="K301">
        <v>226</v>
      </c>
      <c r="L301" t="b">
        <v>1</v>
      </c>
      <c r="M301">
        <v>286.67</v>
      </c>
      <c r="N301">
        <v>31247.13</v>
      </c>
      <c r="O301" t="s">
        <v>60</v>
      </c>
      <c r="P301" t="str">
        <f>IF(J301=G301+H301-I301,"OK","Check")</f>
        <v>OK</v>
      </c>
      <c r="Q301" t="str">
        <f>IF(AND(J301&lt;=K301,L301=TRUE),"OK",IF(AND(J301&gt;K301,L301=FALSE),"OK","Check"))</f>
        <v>OK</v>
      </c>
      <c r="R301" t="str">
        <f>IF(ABS(N301-J301*M301)&lt;=J301*0.005+0.01,"OK","Check")</f>
        <v>OK</v>
      </c>
      <c r="S301" s="3">
        <f t="shared" si="4"/>
        <v>1</v>
      </c>
    </row>
    <row r="302" spans="1:19">
      <c r="A302" s="1">
        <v>46054</v>
      </c>
      <c r="B302" t="s">
        <v>276</v>
      </c>
      <c r="C302" t="s">
        <v>20</v>
      </c>
      <c r="D302" t="s">
        <v>21</v>
      </c>
      <c r="E302" t="s">
        <v>22</v>
      </c>
      <c r="F302" t="s">
        <v>23</v>
      </c>
      <c r="G302">
        <v>209</v>
      </c>
      <c r="H302">
        <v>0</v>
      </c>
      <c r="I302">
        <v>143</v>
      </c>
      <c r="J302">
        <v>66</v>
      </c>
      <c r="K302">
        <v>130</v>
      </c>
      <c r="L302" t="b">
        <v>1</v>
      </c>
      <c r="M302">
        <v>263.02</v>
      </c>
      <c r="N302">
        <v>17359.349999999999</v>
      </c>
      <c r="O302" t="s">
        <v>24</v>
      </c>
      <c r="P302" t="str">
        <f>IF(J302=G302+H302-I302,"OK","Check")</f>
        <v>OK</v>
      </c>
      <c r="Q302" t="str">
        <f>IF(AND(J302&lt;=K302,L302=TRUE),"OK",IF(AND(J302&gt;K302,L302=FALSE),"OK","Check"))</f>
        <v>OK</v>
      </c>
      <c r="R302" t="str">
        <f>IF(ABS(N302-J302*M302)&lt;=J302*0.005+0.01,"OK","Check")</f>
        <v>OK</v>
      </c>
      <c r="S302" s="3">
        <f t="shared" si="4"/>
        <v>1</v>
      </c>
    </row>
    <row r="303" spans="1:19">
      <c r="A303" s="1">
        <v>46054</v>
      </c>
      <c r="B303" t="s">
        <v>276</v>
      </c>
      <c r="C303" t="s">
        <v>25</v>
      </c>
      <c r="D303" t="s">
        <v>26</v>
      </c>
      <c r="E303" t="s">
        <v>22</v>
      </c>
      <c r="F303" t="s">
        <v>23</v>
      </c>
      <c r="G303">
        <v>97</v>
      </c>
      <c r="H303">
        <v>163</v>
      </c>
      <c r="I303">
        <v>77</v>
      </c>
      <c r="J303">
        <v>183</v>
      </c>
      <c r="K303">
        <v>90</v>
      </c>
      <c r="L303" t="b">
        <v>0</v>
      </c>
      <c r="M303">
        <v>1145.53</v>
      </c>
      <c r="N303">
        <v>209631.95</v>
      </c>
      <c r="O303" t="s">
        <v>27</v>
      </c>
      <c r="P303" t="str">
        <f>IF(J303=G303+H303-I303,"OK","Check")</f>
        <v>OK</v>
      </c>
      <c r="Q303" t="str">
        <f>IF(AND(J303&lt;=K303,L303=TRUE),"OK",IF(AND(J303&gt;K303,L303=FALSE),"OK","Check"))</f>
        <v>OK</v>
      </c>
      <c r="R303" t="str">
        <f>IF(ABS(N303-J303*M303)&lt;=J303*0.005+0.01,"OK","Check")</f>
        <v>OK</v>
      </c>
      <c r="S303" s="3">
        <f t="shared" si="4"/>
        <v>1</v>
      </c>
    </row>
    <row r="304" spans="1:19">
      <c r="A304" s="1">
        <v>46054</v>
      </c>
      <c r="B304" t="s">
        <v>276</v>
      </c>
      <c r="C304" t="s">
        <v>28</v>
      </c>
      <c r="D304" t="s">
        <v>29</v>
      </c>
      <c r="E304" t="s">
        <v>22</v>
      </c>
      <c r="F304" t="s">
        <v>23</v>
      </c>
      <c r="G304">
        <v>93</v>
      </c>
      <c r="H304">
        <v>0</v>
      </c>
      <c r="I304">
        <v>69</v>
      </c>
      <c r="J304">
        <v>24</v>
      </c>
      <c r="K304">
        <v>74</v>
      </c>
      <c r="L304" t="b">
        <v>1</v>
      </c>
      <c r="M304">
        <v>87.28</v>
      </c>
      <c r="N304">
        <v>2094.6799999999998</v>
      </c>
      <c r="O304" t="s">
        <v>24</v>
      </c>
      <c r="P304" t="str">
        <f>IF(J304=G304+H304-I304,"OK","Check")</f>
        <v>OK</v>
      </c>
      <c r="Q304" t="str">
        <f>IF(AND(J304&lt;=K304,L304=TRUE),"OK",IF(AND(J304&gt;K304,L304=FALSE),"OK","Check"))</f>
        <v>OK</v>
      </c>
      <c r="R304" t="str">
        <f>IF(ABS(N304-J304*M304)&lt;=J304*0.005+0.01,"OK","Check")</f>
        <v>OK</v>
      </c>
      <c r="S304" s="3">
        <f t="shared" si="4"/>
        <v>1</v>
      </c>
    </row>
    <row r="305" spans="1:19">
      <c r="A305" s="1">
        <v>46054</v>
      </c>
      <c r="B305" t="s">
        <v>276</v>
      </c>
      <c r="C305" t="s">
        <v>30</v>
      </c>
      <c r="D305" t="s">
        <v>31</v>
      </c>
      <c r="E305" t="s">
        <v>22</v>
      </c>
      <c r="F305" t="s">
        <v>23</v>
      </c>
      <c r="G305">
        <v>319</v>
      </c>
      <c r="H305">
        <v>444</v>
      </c>
      <c r="I305">
        <v>247</v>
      </c>
      <c r="J305">
        <v>516</v>
      </c>
      <c r="K305">
        <v>280</v>
      </c>
      <c r="L305" t="b">
        <v>0</v>
      </c>
      <c r="M305">
        <v>382.69</v>
      </c>
      <c r="N305">
        <v>197468.65</v>
      </c>
      <c r="O305" t="s">
        <v>32</v>
      </c>
      <c r="P305" t="str">
        <f>IF(J305=G305+H305-I305,"OK","Check")</f>
        <v>OK</v>
      </c>
      <c r="Q305" t="str">
        <f>IF(AND(J305&lt;=K305,L305=TRUE),"OK",IF(AND(J305&gt;K305,L305=FALSE),"OK","Check"))</f>
        <v>OK</v>
      </c>
      <c r="R305" t="str">
        <f>IF(ABS(N305-J305*M305)&lt;=J305*0.005+0.01,"OK","Check")</f>
        <v>OK</v>
      </c>
      <c r="S305" s="3">
        <f t="shared" si="4"/>
        <v>1</v>
      </c>
    </row>
    <row r="306" spans="1:19">
      <c r="A306" s="1">
        <v>46054</v>
      </c>
      <c r="B306" t="s">
        <v>276</v>
      </c>
      <c r="C306" t="s">
        <v>33</v>
      </c>
      <c r="D306" t="s">
        <v>34</v>
      </c>
      <c r="E306" t="s">
        <v>22</v>
      </c>
      <c r="F306" t="s">
        <v>23</v>
      </c>
      <c r="G306">
        <v>455</v>
      </c>
      <c r="H306">
        <v>0</v>
      </c>
      <c r="I306">
        <v>170</v>
      </c>
      <c r="J306">
        <v>285</v>
      </c>
      <c r="K306">
        <v>163</v>
      </c>
      <c r="L306" t="b">
        <v>0</v>
      </c>
      <c r="M306">
        <v>127.64</v>
      </c>
      <c r="N306">
        <v>36377.699999999997</v>
      </c>
      <c r="O306" t="s">
        <v>24</v>
      </c>
      <c r="P306" t="str">
        <f>IF(J306=G306+H306-I306,"OK","Check")</f>
        <v>OK</v>
      </c>
      <c r="Q306" t="str">
        <f>IF(AND(J306&lt;=K306,L306=TRUE),"OK",IF(AND(J306&gt;K306,L306=FALSE),"OK","Check"))</f>
        <v>OK</v>
      </c>
      <c r="R306" t="str">
        <f>IF(ABS(N306-J306*M306)&lt;=J306*0.005+0.01,"OK","Check")</f>
        <v>OK</v>
      </c>
      <c r="S306" s="3">
        <f t="shared" si="4"/>
        <v>1</v>
      </c>
    </row>
    <row r="307" spans="1:19">
      <c r="A307" s="1">
        <v>46054</v>
      </c>
      <c r="B307" t="s">
        <v>276</v>
      </c>
      <c r="C307" t="s">
        <v>35</v>
      </c>
      <c r="D307" t="s">
        <v>36</v>
      </c>
      <c r="E307" t="s">
        <v>22</v>
      </c>
      <c r="F307" t="s">
        <v>23</v>
      </c>
      <c r="G307">
        <v>333</v>
      </c>
      <c r="H307">
        <v>617</v>
      </c>
      <c r="I307">
        <v>210</v>
      </c>
      <c r="J307">
        <v>740</v>
      </c>
      <c r="K307">
        <v>287</v>
      </c>
      <c r="L307" t="b">
        <v>0</v>
      </c>
      <c r="M307">
        <v>528.54999999999995</v>
      </c>
      <c r="N307">
        <v>391130.25</v>
      </c>
      <c r="O307" t="s">
        <v>37</v>
      </c>
      <c r="P307" t="str">
        <f>IF(J307=G307+H307-I307,"OK","Check")</f>
        <v>OK</v>
      </c>
      <c r="Q307" t="str">
        <f>IF(AND(J307&lt;=K307,L307=TRUE),"OK",IF(AND(J307&gt;K307,L307=FALSE),"OK","Check"))</f>
        <v>OK</v>
      </c>
      <c r="R307" t="str">
        <f>IF(ABS(N307-J307*M307)&lt;=J307*0.005+0.01,"OK","Check")</f>
        <v>OK</v>
      </c>
      <c r="S307" s="3">
        <f t="shared" si="4"/>
        <v>1</v>
      </c>
    </row>
    <row r="308" spans="1:19">
      <c r="A308" s="1">
        <v>46054</v>
      </c>
      <c r="B308" t="s">
        <v>276</v>
      </c>
      <c r="C308" t="s">
        <v>40</v>
      </c>
      <c r="D308" t="s">
        <v>41</v>
      </c>
      <c r="E308" t="s">
        <v>22</v>
      </c>
      <c r="F308" t="s">
        <v>23</v>
      </c>
      <c r="G308">
        <v>304</v>
      </c>
      <c r="H308">
        <v>0</v>
      </c>
      <c r="I308">
        <v>177</v>
      </c>
      <c r="J308">
        <v>127</v>
      </c>
      <c r="K308">
        <v>168</v>
      </c>
      <c r="L308" t="b">
        <v>1</v>
      </c>
      <c r="M308">
        <v>328.19</v>
      </c>
      <c r="N308">
        <v>41680.720000000001</v>
      </c>
      <c r="O308" t="s">
        <v>24</v>
      </c>
      <c r="P308" t="str">
        <f>IF(J308=G308+H308-I308,"OK","Check")</f>
        <v>OK</v>
      </c>
      <c r="Q308" t="str">
        <f>IF(AND(J308&lt;=K308,L308=TRUE),"OK",IF(AND(J308&gt;K308,L308=FALSE),"OK","Check"))</f>
        <v>OK</v>
      </c>
      <c r="R308" t="str">
        <f>IF(ABS(N308-J308*M308)&lt;=J308*0.005+0.01,"OK","Check")</f>
        <v>OK</v>
      </c>
      <c r="S308" s="3">
        <f t="shared" si="4"/>
        <v>1</v>
      </c>
    </row>
    <row r="309" spans="1:19">
      <c r="A309" s="1">
        <v>46054</v>
      </c>
      <c r="B309" t="s">
        <v>276</v>
      </c>
      <c r="C309" t="s">
        <v>42</v>
      </c>
      <c r="D309" t="s">
        <v>43</v>
      </c>
      <c r="E309" t="s">
        <v>22</v>
      </c>
      <c r="F309" t="s">
        <v>23</v>
      </c>
      <c r="G309">
        <v>235</v>
      </c>
      <c r="H309">
        <v>0</v>
      </c>
      <c r="I309">
        <v>153</v>
      </c>
      <c r="J309">
        <v>82</v>
      </c>
      <c r="K309">
        <v>106</v>
      </c>
      <c r="L309" t="b">
        <v>1</v>
      </c>
      <c r="M309">
        <v>173.86</v>
      </c>
      <c r="N309">
        <v>14256.25</v>
      </c>
      <c r="O309" t="s">
        <v>44</v>
      </c>
      <c r="P309" t="str">
        <f>IF(J309=G309+H309-I309,"OK","Check")</f>
        <v>OK</v>
      </c>
      <c r="Q309" t="str">
        <f>IF(AND(J309&lt;=K309,L309=TRUE),"OK",IF(AND(J309&gt;K309,L309=FALSE),"OK","Check"))</f>
        <v>OK</v>
      </c>
      <c r="R309" t="str">
        <f>IF(ABS(N309-J309*M309)&lt;=J309*0.005+0.01,"OK","Check")</f>
        <v>OK</v>
      </c>
      <c r="S309" s="3">
        <f t="shared" si="4"/>
        <v>1</v>
      </c>
    </row>
    <row r="310" spans="1:19">
      <c r="A310" s="1">
        <v>46054</v>
      </c>
      <c r="B310" t="s">
        <v>276</v>
      </c>
      <c r="C310" t="s">
        <v>45</v>
      </c>
      <c r="D310" t="s">
        <v>46</v>
      </c>
      <c r="E310" t="s">
        <v>22</v>
      </c>
      <c r="F310" t="s">
        <v>23</v>
      </c>
      <c r="G310">
        <v>351</v>
      </c>
      <c r="H310">
        <v>0</v>
      </c>
      <c r="I310">
        <v>109</v>
      </c>
      <c r="J310">
        <v>242</v>
      </c>
      <c r="K310">
        <v>141</v>
      </c>
      <c r="L310" t="b">
        <v>0</v>
      </c>
      <c r="M310">
        <v>748.78</v>
      </c>
      <c r="N310">
        <v>181205.11</v>
      </c>
      <c r="O310" t="s">
        <v>47</v>
      </c>
      <c r="P310" t="str">
        <f>IF(J310=G310+H310-I310,"OK","Check")</f>
        <v>OK</v>
      </c>
      <c r="Q310" t="str">
        <f>IF(AND(J310&lt;=K310,L310=TRUE),"OK",IF(AND(J310&gt;K310,L310=FALSE),"OK","Check"))</f>
        <v>OK</v>
      </c>
      <c r="R310" t="str">
        <f>IF(ABS(N310-J310*M310)&lt;=J310*0.005+0.01,"OK","Check")</f>
        <v>OK</v>
      </c>
      <c r="S310" s="3">
        <f t="shared" si="4"/>
        <v>1</v>
      </c>
    </row>
    <row r="311" spans="1:19">
      <c r="A311" s="1">
        <v>46054</v>
      </c>
      <c r="B311" t="s">
        <v>276</v>
      </c>
      <c r="C311" t="s">
        <v>48</v>
      </c>
      <c r="D311" t="s">
        <v>49</v>
      </c>
      <c r="E311" t="s">
        <v>22</v>
      </c>
      <c r="F311" t="s">
        <v>23</v>
      </c>
      <c r="G311">
        <v>133</v>
      </c>
      <c r="H311">
        <v>0</v>
      </c>
      <c r="I311">
        <v>70</v>
      </c>
      <c r="J311">
        <v>63</v>
      </c>
      <c r="K311">
        <v>82</v>
      </c>
      <c r="L311" t="b">
        <v>1</v>
      </c>
      <c r="M311">
        <v>61.66</v>
      </c>
      <c r="N311">
        <v>3884.29</v>
      </c>
      <c r="O311" t="s">
        <v>44</v>
      </c>
      <c r="P311" t="str">
        <f>IF(J311=G311+H311-I311,"OK","Check")</f>
        <v>OK</v>
      </c>
      <c r="Q311" t="str">
        <f>IF(AND(J311&lt;=K311,L311=TRUE),"OK",IF(AND(J311&gt;K311,L311=FALSE),"OK","Check"))</f>
        <v>OK</v>
      </c>
      <c r="R311" t="str">
        <f>IF(ABS(N311-J311*M311)&lt;=J311*0.005+0.01,"OK","Check")</f>
        <v>OK</v>
      </c>
      <c r="S311" s="3">
        <f t="shared" si="4"/>
        <v>1</v>
      </c>
    </row>
    <row r="312" spans="1:19">
      <c r="A312" s="1">
        <v>46054</v>
      </c>
      <c r="B312" t="s">
        <v>276</v>
      </c>
      <c r="C312" t="s">
        <v>50</v>
      </c>
      <c r="D312" t="s">
        <v>51</v>
      </c>
      <c r="E312" t="s">
        <v>22</v>
      </c>
      <c r="F312" t="s">
        <v>23</v>
      </c>
      <c r="G312">
        <v>62</v>
      </c>
      <c r="H312">
        <v>0</v>
      </c>
      <c r="I312">
        <v>33</v>
      </c>
      <c r="J312">
        <v>29</v>
      </c>
      <c r="K312">
        <v>28</v>
      </c>
      <c r="L312" t="b">
        <v>0</v>
      </c>
      <c r="M312">
        <v>253.95</v>
      </c>
      <c r="N312">
        <v>7364.55</v>
      </c>
      <c r="O312" t="s">
        <v>24</v>
      </c>
      <c r="P312" t="str">
        <f>IF(J312=G312+H312-I312,"OK","Check")</f>
        <v>OK</v>
      </c>
      <c r="Q312" t="str">
        <f>IF(AND(J312&lt;=K312,L312=TRUE),"OK",IF(AND(J312&gt;K312,L312=FALSE),"OK","Check"))</f>
        <v>OK</v>
      </c>
      <c r="R312" t="str">
        <f>IF(ABS(N312-J312*M312)&lt;=J312*0.005+0.01,"OK","Check")</f>
        <v>OK</v>
      </c>
      <c r="S312" s="3">
        <f t="shared" si="4"/>
        <v>1</v>
      </c>
    </row>
    <row r="313" spans="1:19">
      <c r="A313" s="1">
        <v>46054</v>
      </c>
      <c r="B313" t="s">
        <v>276</v>
      </c>
      <c r="C313" t="s">
        <v>52</v>
      </c>
      <c r="D313" t="s">
        <v>53</v>
      </c>
      <c r="E313" t="s">
        <v>22</v>
      </c>
      <c r="F313" t="s">
        <v>23</v>
      </c>
      <c r="G313">
        <v>363</v>
      </c>
      <c r="H313">
        <v>0</v>
      </c>
      <c r="I313">
        <v>220</v>
      </c>
      <c r="J313">
        <v>143</v>
      </c>
      <c r="K313">
        <v>139</v>
      </c>
      <c r="L313" t="b">
        <v>0</v>
      </c>
      <c r="M313">
        <v>59.72</v>
      </c>
      <c r="N313">
        <v>8539.9699999999993</v>
      </c>
      <c r="O313" t="s">
        <v>47</v>
      </c>
      <c r="P313" t="str">
        <f>IF(J313=G313+H313-I313,"OK","Check")</f>
        <v>OK</v>
      </c>
      <c r="Q313" t="str">
        <f>IF(AND(J313&lt;=K313,L313=TRUE),"OK",IF(AND(J313&gt;K313,L313=FALSE),"OK","Check"))</f>
        <v>OK</v>
      </c>
      <c r="R313" t="str">
        <f>IF(ABS(N313-J313*M313)&lt;=J313*0.005+0.01,"OK","Check")</f>
        <v>OK</v>
      </c>
      <c r="S313" s="3">
        <f t="shared" si="4"/>
        <v>1</v>
      </c>
    </row>
    <row r="314" spans="1:19">
      <c r="A314" s="1">
        <v>46054</v>
      </c>
      <c r="B314" t="s">
        <v>276</v>
      </c>
      <c r="C314" t="s">
        <v>54</v>
      </c>
      <c r="D314" t="s">
        <v>55</v>
      </c>
      <c r="E314" t="s">
        <v>22</v>
      </c>
      <c r="F314" t="s">
        <v>23</v>
      </c>
      <c r="G314">
        <v>271</v>
      </c>
      <c r="H314">
        <v>0</v>
      </c>
      <c r="I314">
        <v>90</v>
      </c>
      <c r="J314">
        <v>181</v>
      </c>
      <c r="K314">
        <v>143</v>
      </c>
      <c r="L314" t="b">
        <v>0</v>
      </c>
      <c r="M314">
        <v>251.86</v>
      </c>
      <c r="N314">
        <v>45586.46</v>
      </c>
      <c r="O314" t="s">
        <v>44</v>
      </c>
      <c r="P314" t="str">
        <f>IF(J314=G314+H314-I314,"OK","Check")</f>
        <v>OK</v>
      </c>
      <c r="Q314" t="str">
        <f>IF(AND(J314&lt;=K314,L314=TRUE),"OK",IF(AND(J314&gt;K314,L314=FALSE),"OK","Check"))</f>
        <v>OK</v>
      </c>
      <c r="R314" t="str">
        <f>IF(ABS(N314-J314*M314)&lt;=J314*0.005+0.01,"OK","Check")</f>
        <v>OK</v>
      </c>
      <c r="S314" s="3">
        <f t="shared" si="4"/>
        <v>1</v>
      </c>
    </row>
    <row r="315" spans="1:19">
      <c r="A315" s="1">
        <v>46054</v>
      </c>
      <c r="B315" t="s">
        <v>276</v>
      </c>
      <c r="C315" t="s">
        <v>56</v>
      </c>
      <c r="D315" t="s">
        <v>57</v>
      </c>
      <c r="E315" t="s">
        <v>22</v>
      </c>
      <c r="F315" t="s">
        <v>23</v>
      </c>
      <c r="G315">
        <v>91</v>
      </c>
      <c r="H315">
        <v>115</v>
      </c>
      <c r="I315">
        <v>72</v>
      </c>
      <c r="J315">
        <v>134</v>
      </c>
      <c r="K315">
        <v>82</v>
      </c>
      <c r="L315" t="b">
        <v>0</v>
      </c>
      <c r="M315">
        <v>463.13</v>
      </c>
      <c r="N315">
        <v>62059.53</v>
      </c>
      <c r="O315" t="s">
        <v>24</v>
      </c>
      <c r="P315" t="str">
        <f>IF(J315=G315+H315-I315,"OK","Check")</f>
        <v>OK</v>
      </c>
      <c r="Q315" t="str">
        <f>IF(AND(J315&lt;=K315,L315=TRUE),"OK",IF(AND(J315&gt;K315,L315=FALSE),"OK","Check"))</f>
        <v>OK</v>
      </c>
      <c r="R315" t="str">
        <f>IF(ABS(N315-J315*M315)&lt;=J315*0.005+0.01,"OK","Check")</f>
        <v>OK</v>
      </c>
      <c r="S315" s="3">
        <f t="shared" si="4"/>
        <v>1</v>
      </c>
    </row>
    <row r="316" spans="1:19">
      <c r="A316" s="1">
        <v>46054</v>
      </c>
      <c r="B316" t="s">
        <v>276</v>
      </c>
      <c r="C316" t="s">
        <v>58</v>
      </c>
      <c r="D316" t="s">
        <v>59</v>
      </c>
      <c r="E316" t="s">
        <v>22</v>
      </c>
      <c r="F316" t="s">
        <v>23</v>
      </c>
      <c r="G316">
        <v>432</v>
      </c>
      <c r="H316">
        <v>618</v>
      </c>
      <c r="I316">
        <v>196</v>
      </c>
      <c r="J316">
        <v>854</v>
      </c>
      <c r="K316">
        <v>173</v>
      </c>
      <c r="L316" t="b">
        <v>0</v>
      </c>
      <c r="M316">
        <v>2084.5500000000002</v>
      </c>
      <c r="N316">
        <v>1780208.3</v>
      </c>
      <c r="O316" t="s">
        <v>60</v>
      </c>
      <c r="P316" t="str">
        <f>IF(J316=G316+H316-I316,"OK","Check")</f>
        <v>OK</v>
      </c>
      <c r="Q316" t="str">
        <f>IF(AND(J316&lt;=K316,L316=TRUE),"OK",IF(AND(J316&gt;K316,L316=FALSE),"OK","Check"))</f>
        <v>OK</v>
      </c>
      <c r="R316" t="str">
        <f>IF(ABS(N316-J316*M316)&lt;=J316*0.005+0.01,"OK","Check")</f>
        <v>OK</v>
      </c>
      <c r="S316" s="3">
        <f t="shared" si="4"/>
        <v>1</v>
      </c>
    </row>
    <row r="317" spans="1:19">
      <c r="A317" s="1">
        <v>46054</v>
      </c>
      <c r="B317" t="s">
        <v>276</v>
      </c>
      <c r="C317" t="s">
        <v>61</v>
      </c>
      <c r="D317" t="s">
        <v>62</v>
      </c>
      <c r="E317" t="s">
        <v>22</v>
      </c>
      <c r="F317" t="s">
        <v>23</v>
      </c>
      <c r="G317">
        <v>461</v>
      </c>
      <c r="H317">
        <v>0</v>
      </c>
      <c r="I317">
        <v>144</v>
      </c>
      <c r="J317">
        <v>317</v>
      </c>
      <c r="K317">
        <v>237</v>
      </c>
      <c r="L317" t="b">
        <v>0</v>
      </c>
      <c r="M317">
        <v>23.38</v>
      </c>
      <c r="N317">
        <v>7409.98</v>
      </c>
      <c r="O317" t="s">
        <v>44</v>
      </c>
      <c r="P317" t="str">
        <f>IF(J317=G317+H317-I317,"OK","Check")</f>
        <v>OK</v>
      </c>
      <c r="Q317" t="str">
        <f>IF(AND(J317&lt;=K317,L317=TRUE),"OK",IF(AND(J317&gt;K317,L317=FALSE),"OK","Check"))</f>
        <v>OK</v>
      </c>
      <c r="R317" t="str">
        <f>IF(ABS(N317-J317*M317)&lt;=J317*0.005+0.01,"OK","Check")</f>
        <v>OK</v>
      </c>
      <c r="S317" s="3">
        <f t="shared" si="4"/>
        <v>1</v>
      </c>
    </row>
    <row r="318" spans="1:19">
      <c r="A318" s="1">
        <v>46054</v>
      </c>
      <c r="B318" t="s">
        <v>276</v>
      </c>
      <c r="C318" t="s">
        <v>63</v>
      </c>
      <c r="D318" t="s">
        <v>64</v>
      </c>
      <c r="E318" t="s">
        <v>22</v>
      </c>
      <c r="F318" t="s">
        <v>23</v>
      </c>
      <c r="G318">
        <v>556</v>
      </c>
      <c r="H318">
        <v>0</v>
      </c>
      <c r="I318">
        <v>113</v>
      </c>
      <c r="J318">
        <v>443</v>
      </c>
      <c r="K318">
        <v>180</v>
      </c>
      <c r="L318" t="b">
        <v>0</v>
      </c>
      <c r="M318">
        <v>126.43</v>
      </c>
      <c r="N318">
        <v>56010.68</v>
      </c>
      <c r="O318" t="s">
        <v>47</v>
      </c>
      <c r="P318" t="str">
        <f>IF(J318=G318+H318-I318,"OK","Check")</f>
        <v>OK</v>
      </c>
      <c r="Q318" t="str">
        <f>IF(AND(J318&lt;=K318,L318=TRUE),"OK",IF(AND(J318&gt;K318,L318=FALSE),"OK","Check"))</f>
        <v>OK</v>
      </c>
      <c r="R318" t="str">
        <f>IF(ABS(N318-J318*M318)&lt;=J318*0.005+0.01,"OK","Check")</f>
        <v>OK</v>
      </c>
      <c r="S318" s="3">
        <f t="shared" si="4"/>
        <v>1</v>
      </c>
    </row>
    <row r="319" spans="1:19">
      <c r="A319" s="1">
        <v>46054</v>
      </c>
      <c r="B319" t="s">
        <v>276</v>
      </c>
      <c r="C319" t="s">
        <v>65</v>
      </c>
      <c r="D319" t="s">
        <v>66</v>
      </c>
      <c r="E319" t="s">
        <v>22</v>
      </c>
      <c r="F319" t="s">
        <v>23</v>
      </c>
      <c r="G319">
        <v>276</v>
      </c>
      <c r="H319">
        <v>252</v>
      </c>
      <c r="I319">
        <v>107</v>
      </c>
      <c r="J319">
        <v>421</v>
      </c>
      <c r="K319">
        <v>110</v>
      </c>
      <c r="L319" t="b">
        <v>0</v>
      </c>
      <c r="M319">
        <v>87.39</v>
      </c>
      <c r="N319">
        <v>36792.92</v>
      </c>
      <c r="O319" t="s">
        <v>44</v>
      </c>
      <c r="P319" t="str">
        <f>IF(J319=G319+H319-I319,"OK","Check")</f>
        <v>OK</v>
      </c>
      <c r="Q319" t="str">
        <f>IF(AND(J319&lt;=K319,L319=TRUE),"OK",IF(AND(J319&gt;K319,L319=FALSE),"OK","Check"))</f>
        <v>OK</v>
      </c>
      <c r="R319" t="str">
        <f>IF(ABS(N319-J319*M319)&lt;=J319*0.005+0.01,"OK","Check")</f>
        <v>OK</v>
      </c>
      <c r="S319" s="3">
        <f t="shared" si="4"/>
        <v>1</v>
      </c>
    </row>
    <row r="320" spans="1:19">
      <c r="A320" s="1">
        <v>46054</v>
      </c>
      <c r="B320" t="s">
        <v>276</v>
      </c>
      <c r="C320" t="s">
        <v>67</v>
      </c>
      <c r="D320" t="s">
        <v>68</v>
      </c>
      <c r="E320" t="s">
        <v>22</v>
      </c>
      <c r="F320" t="s">
        <v>23</v>
      </c>
      <c r="G320">
        <v>208</v>
      </c>
      <c r="H320">
        <v>666</v>
      </c>
      <c r="I320">
        <v>130</v>
      </c>
      <c r="J320">
        <v>744</v>
      </c>
      <c r="K320">
        <v>289</v>
      </c>
      <c r="L320" t="b">
        <v>0</v>
      </c>
      <c r="M320">
        <v>373</v>
      </c>
      <c r="N320">
        <v>277513.48</v>
      </c>
      <c r="O320" t="s">
        <v>27</v>
      </c>
      <c r="P320" t="str">
        <f>IF(J320=G320+H320-I320,"OK","Check")</f>
        <v>OK</v>
      </c>
      <c r="Q320" t="str">
        <f>IF(AND(J320&lt;=K320,L320=TRUE),"OK",IF(AND(J320&gt;K320,L320=FALSE),"OK","Check"))</f>
        <v>OK</v>
      </c>
      <c r="R320" t="str">
        <f>IF(ABS(N320-J320*M320)&lt;=J320*0.005+0.01,"OK","Check")</f>
        <v>OK</v>
      </c>
      <c r="S320" s="3">
        <f t="shared" si="4"/>
        <v>1</v>
      </c>
    </row>
    <row r="321" spans="1:19">
      <c r="A321" s="1">
        <v>46054</v>
      </c>
      <c r="B321" t="s">
        <v>276</v>
      </c>
      <c r="C321" t="s">
        <v>69</v>
      </c>
      <c r="D321" t="s">
        <v>70</v>
      </c>
      <c r="E321" t="s">
        <v>71</v>
      </c>
      <c r="F321" t="s">
        <v>23</v>
      </c>
      <c r="G321">
        <v>58</v>
      </c>
      <c r="H321">
        <v>110</v>
      </c>
      <c r="I321">
        <v>28</v>
      </c>
      <c r="J321">
        <v>140</v>
      </c>
      <c r="K321">
        <v>55</v>
      </c>
      <c r="L321" t="b">
        <v>0</v>
      </c>
      <c r="M321">
        <v>104.29</v>
      </c>
      <c r="N321">
        <v>14601</v>
      </c>
      <c r="O321" t="s">
        <v>27</v>
      </c>
      <c r="P321" t="str">
        <f>IF(J321=G321+H321-I321,"OK","Check")</f>
        <v>OK</v>
      </c>
      <c r="Q321" t="str">
        <f>IF(AND(J321&lt;=K321,L321=TRUE),"OK",IF(AND(J321&gt;K321,L321=FALSE),"OK","Check"))</f>
        <v>OK</v>
      </c>
      <c r="R321" t="str">
        <f>IF(ABS(N321-J321*M321)&lt;=J321*0.005+0.01,"OK","Check")</f>
        <v>OK</v>
      </c>
      <c r="S321" s="3">
        <f t="shared" si="4"/>
        <v>1</v>
      </c>
    </row>
    <row r="322" spans="1:19">
      <c r="A322" s="1">
        <v>46054</v>
      </c>
      <c r="B322" t="s">
        <v>276</v>
      </c>
      <c r="C322" t="s">
        <v>72</v>
      </c>
      <c r="D322" t="s">
        <v>73</v>
      </c>
      <c r="E322" t="s">
        <v>71</v>
      </c>
      <c r="F322" t="s">
        <v>23</v>
      </c>
      <c r="G322">
        <v>363</v>
      </c>
      <c r="H322">
        <v>347</v>
      </c>
      <c r="I322">
        <v>116</v>
      </c>
      <c r="J322">
        <v>594</v>
      </c>
      <c r="K322">
        <v>144</v>
      </c>
      <c r="L322" t="b">
        <v>0</v>
      </c>
      <c r="M322">
        <v>467.68</v>
      </c>
      <c r="N322">
        <v>277803.48</v>
      </c>
      <c r="O322" t="s">
        <v>60</v>
      </c>
      <c r="P322" t="str">
        <f>IF(J322=G322+H322-I322,"OK","Check")</f>
        <v>OK</v>
      </c>
      <c r="Q322" t="str">
        <f>IF(AND(J322&lt;=K322,L322=TRUE),"OK",IF(AND(J322&gt;K322,L322=FALSE),"OK","Check"))</f>
        <v>OK</v>
      </c>
      <c r="R322" t="str">
        <f>IF(ABS(N322-J322*M322)&lt;=J322*0.005+0.01,"OK","Check")</f>
        <v>OK</v>
      </c>
      <c r="S322" s="3">
        <f t="shared" ref="S322:S385" si="5">COUNTIFS(A:A,A322,B:B,B322,C:C,C322)</f>
        <v>1</v>
      </c>
    </row>
    <row r="323" spans="1:19">
      <c r="A323" s="1">
        <v>46054</v>
      </c>
      <c r="B323" t="s">
        <v>276</v>
      </c>
      <c r="C323" t="s">
        <v>74</v>
      </c>
      <c r="D323" t="s">
        <v>75</v>
      </c>
      <c r="E323" t="s">
        <v>71</v>
      </c>
      <c r="F323" t="s">
        <v>23</v>
      </c>
      <c r="G323">
        <v>135</v>
      </c>
      <c r="H323">
        <v>0</v>
      </c>
      <c r="I323">
        <v>109</v>
      </c>
      <c r="J323">
        <v>26</v>
      </c>
      <c r="K323">
        <v>103</v>
      </c>
      <c r="L323" t="b">
        <v>1</v>
      </c>
      <c r="M323">
        <v>223.8</v>
      </c>
      <c r="N323">
        <v>5818.79</v>
      </c>
      <c r="O323" t="s">
        <v>37</v>
      </c>
      <c r="P323" t="str">
        <f>IF(J323=G323+H323-I323,"OK","Check")</f>
        <v>OK</v>
      </c>
      <c r="Q323" t="str">
        <f>IF(AND(J323&lt;=K323,L323=TRUE),"OK",IF(AND(J323&gt;K323,L323=FALSE),"OK","Check"))</f>
        <v>OK</v>
      </c>
      <c r="R323" t="str">
        <f>IF(ABS(N323-J323*M323)&lt;=J323*0.005+0.01,"OK","Check")</f>
        <v>OK</v>
      </c>
      <c r="S323" s="3">
        <f t="shared" si="5"/>
        <v>1</v>
      </c>
    </row>
    <row r="324" spans="1:19">
      <c r="A324" s="1">
        <v>46054</v>
      </c>
      <c r="B324" t="s">
        <v>276</v>
      </c>
      <c r="C324" t="s">
        <v>76</v>
      </c>
      <c r="D324" t="s">
        <v>77</v>
      </c>
      <c r="E324" t="s">
        <v>71</v>
      </c>
      <c r="F324" t="s">
        <v>23</v>
      </c>
      <c r="G324">
        <v>149</v>
      </c>
      <c r="H324">
        <v>0</v>
      </c>
      <c r="I324">
        <v>124</v>
      </c>
      <c r="J324">
        <v>25</v>
      </c>
      <c r="K324">
        <v>106</v>
      </c>
      <c r="L324" t="b">
        <v>1</v>
      </c>
      <c r="M324">
        <v>1156.25</v>
      </c>
      <c r="N324">
        <v>28906.13</v>
      </c>
      <c r="O324" t="s">
        <v>37</v>
      </c>
      <c r="P324" t="str">
        <f>IF(J324=G324+H324-I324,"OK","Check")</f>
        <v>OK</v>
      </c>
      <c r="Q324" t="str">
        <f>IF(AND(J324&lt;=K324,L324=TRUE),"OK",IF(AND(J324&gt;K324,L324=FALSE),"OK","Check"))</f>
        <v>OK</v>
      </c>
      <c r="R324" t="str">
        <f>IF(ABS(N324-J324*M324)&lt;=J324*0.005+0.01,"OK","Check")</f>
        <v>OK</v>
      </c>
      <c r="S324" s="3">
        <f t="shared" si="5"/>
        <v>1</v>
      </c>
    </row>
    <row r="325" spans="1:19">
      <c r="A325" s="1">
        <v>46054</v>
      </c>
      <c r="B325" t="s">
        <v>276</v>
      </c>
      <c r="C325" t="s">
        <v>78</v>
      </c>
      <c r="D325" t="s">
        <v>79</v>
      </c>
      <c r="E325" t="s">
        <v>71</v>
      </c>
      <c r="F325" t="s">
        <v>23</v>
      </c>
      <c r="G325">
        <v>445</v>
      </c>
      <c r="H325">
        <v>0</v>
      </c>
      <c r="I325">
        <v>163</v>
      </c>
      <c r="J325">
        <v>282</v>
      </c>
      <c r="K325">
        <v>212</v>
      </c>
      <c r="L325" t="b">
        <v>0</v>
      </c>
      <c r="M325">
        <v>355.34</v>
      </c>
      <c r="N325">
        <v>100205.21</v>
      </c>
      <c r="O325" t="s">
        <v>47</v>
      </c>
      <c r="P325" t="str">
        <f>IF(J325=G325+H325-I325,"OK","Check")</f>
        <v>OK</v>
      </c>
      <c r="Q325" t="str">
        <f>IF(AND(J325&lt;=K325,L325=TRUE),"OK",IF(AND(J325&gt;K325,L325=FALSE),"OK","Check"))</f>
        <v>OK</v>
      </c>
      <c r="R325" t="str">
        <f>IF(ABS(N325-J325*M325)&lt;=J325*0.005+0.01,"OK","Check")</f>
        <v>OK</v>
      </c>
      <c r="S325" s="3">
        <f t="shared" si="5"/>
        <v>1</v>
      </c>
    </row>
    <row r="326" spans="1:19">
      <c r="A326" s="1">
        <v>46054</v>
      </c>
      <c r="B326" t="s">
        <v>276</v>
      </c>
      <c r="C326" t="s">
        <v>82</v>
      </c>
      <c r="D326" t="s">
        <v>83</v>
      </c>
      <c r="E326" t="s">
        <v>71</v>
      </c>
      <c r="F326" t="s">
        <v>23</v>
      </c>
      <c r="G326">
        <v>505</v>
      </c>
      <c r="H326">
        <v>0</v>
      </c>
      <c r="I326">
        <v>110</v>
      </c>
      <c r="J326">
        <v>395</v>
      </c>
      <c r="K326">
        <v>272</v>
      </c>
      <c r="L326" t="b">
        <v>0</v>
      </c>
      <c r="M326">
        <v>1855.65</v>
      </c>
      <c r="N326">
        <v>732983.27</v>
      </c>
      <c r="O326" t="s">
        <v>37</v>
      </c>
      <c r="P326" t="str">
        <f>IF(J326=G326+H326-I326,"OK","Check")</f>
        <v>OK</v>
      </c>
      <c r="Q326" t="str">
        <f>IF(AND(J326&lt;=K326,L326=TRUE),"OK",IF(AND(J326&gt;K326,L326=FALSE),"OK","Check"))</f>
        <v>OK</v>
      </c>
      <c r="R326" t="str">
        <f>IF(ABS(N326-J326*M326)&lt;=J326*0.005+0.01,"OK","Check")</f>
        <v>OK</v>
      </c>
      <c r="S326" s="3">
        <f t="shared" si="5"/>
        <v>1</v>
      </c>
    </row>
    <row r="327" spans="1:19">
      <c r="A327" s="1">
        <v>46054</v>
      </c>
      <c r="B327" t="s">
        <v>276</v>
      </c>
      <c r="C327" t="s">
        <v>86</v>
      </c>
      <c r="D327" t="s">
        <v>87</v>
      </c>
      <c r="E327" t="s">
        <v>71</v>
      </c>
      <c r="F327" t="s">
        <v>23</v>
      </c>
      <c r="G327">
        <v>44</v>
      </c>
      <c r="H327">
        <v>84</v>
      </c>
      <c r="I327">
        <v>22</v>
      </c>
      <c r="J327">
        <v>106</v>
      </c>
      <c r="K327">
        <v>41</v>
      </c>
      <c r="L327" t="b">
        <v>0</v>
      </c>
      <c r="M327">
        <v>41.77</v>
      </c>
      <c r="N327">
        <v>4427.1400000000003</v>
      </c>
      <c r="O327" t="s">
        <v>60</v>
      </c>
      <c r="P327" t="str">
        <f>IF(J327=G327+H327-I327,"OK","Check")</f>
        <v>OK</v>
      </c>
      <c r="Q327" t="str">
        <f>IF(AND(J327&lt;=K327,L327=TRUE),"OK",IF(AND(J327&gt;K327,L327=FALSE),"OK","Check"))</f>
        <v>OK</v>
      </c>
      <c r="R327" t="str">
        <f>IF(ABS(N327-J327*M327)&lt;=J327*0.005+0.01,"OK","Check")</f>
        <v>OK</v>
      </c>
      <c r="S327" s="3">
        <f t="shared" si="5"/>
        <v>1</v>
      </c>
    </row>
    <row r="328" spans="1:19">
      <c r="A328" s="1">
        <v>46054</v>
      </c>
      <c r="B328" t="s">
        <v>276</v>
      </c>
      <c r="C328" t="s">
        <v>88</v>
      </c>
      <c r="D328" t="s">
        <v>89</v>
      </c>
      <c r="E328" t="s">
        <v>71</v>
      </c>
      <c r="F328" t="s">
        <v>23</v>
      </c>
      <c r="G328">
        <v>123</v>
      </c>
      <c r="H328">
        <v>0</v>
      </c>
      <c r="I328">
        <v>82</v>
      </c>
      <c r="J328">
        <v>41</v>
      </c>
      <c r="K328">
        <v>79</v>
      </c>
      <c r="L328" t="b">
        <v>1</v>
      </c>
      <c r="M328">
        <v>196.05</v>
      </c>
      <c r="N328">
        <v>8038.07</v>
      </c>
      <c r="O328" t="s">
        <v>32</v>
      </c>
      <c r="P328" t="str">
        <f>IF(J328=G328+H328-I328,"OK","Check")</f>
        <v>OK</v>
      </c>
      <c r="Q328" t="str">
        <f>IF(AND(J328&lt;=K328,L328=TRUE),"OK",IF(AND(J328&gt;K328,L328=FALSE),"OK","Check"))</f>
        <v>OK</v>
      </c>
      <c r="R328" t="str">
        <f>IF(ABS(N328-J328*M328)&lt;=J328*0.005+0.01,"OK","Check")</f>
        <v>OK</v>
      </c>
      <c r="S328" s="3">
        <f t="shared" si="5"/>
        <v>1</v>
      </c>
    </row>
    <row r="329" spans="1:19">
      <c r="A329" s="1">
        <v>46054</v>
      </c>
      <c r="B329" t="s">
        <v>276</v>
      </c>
      <c r="C329" t="s">
        <v>245</v>
      </c>
      <c r="D329" t="s">
        <v>246</v>
      </c>
      <c r="E329" t="s">
        <v>71</v>
      </c>
      <c r="F329" t="s">
        <v>23</v>
      </c>
      <c r="G329">
        <v>271</v>
      </c>
      <c r="H329">
        <v>585</v>
      </c>
      <c r="I329">
        <v>135</v>
      </c>
      <c r="J329">
        <v>721</v>
      </c>
      <c r="K329">
        <v>248</v>
      </c>
      <c r="L329" t="b">
        <v>0</v>
      </c>
      <c r="M329">
        <v>7928.34</v>
      </c>
      <c r="N329">
        <v>5716330.0199999996</v>
      </c>
      <c r="O329" t="s">
        <v>27</v>
      </c>
      <c r="P329" t="str">
        <f>IF(J329=G329+H329-I329,"OK","Check")</f>
        <v>OK</v>
      </c>
      <c r="Q329" t="str">
        <f>IF(AND(J329&lt;=K329,L329=TRUE),"OK",IF(AND(J329&gt;K329,L329=FALSE),"OK","Check"))</f>
        <v>OK</v>
      </c>
      <c r="R329" t="str">
        <f>IF(ABS(N329-J329*M329)&lt;=J329*0.005+0.01,"OK","Check")</f>
        <v>OK</v>
      </c>
      <c r="S329" s="3">
        <f t="shared" si="5"/>
        <v>1</v>
      </c>
    </row>
    <row r="330" spans="1:19">
      <c r="A330" s="1">
        <v>46054</v>
      </c>
      <c r="B330" t="s">
        <v>276</v>
      </c>
      <c r="C330" t="s">
        <v>94</v>
      </c>
      <c r="D330" t="s">
        <v>95</v>
      </c>
      <c r="E330" t="s">
        <v>71</v>
      </c>
      <c r="F330" t="s">
        <v>23</v>
      </c>
      <c r="G330">
        <v>41</v>
      </c>
      <c r="H330">
        <v>45</v>
      </c>
      <c r="I330">
        <v>15</v>
      </c>
      <c r="J330">
        <v>71</v>
      </c>
      <c r="K330">
        <v>21</v>
      </c>
      <c r="L330" t="b">
        <v>0</v>
      </c>
      <c r="M330">
        <v>1091.26</v>
      </c>
      <c r="N330">
        <v>77479.47</v>
      </c>
      <c r="O330" t="s">
        <v>32</v>
      </c>
      <c r="P330" t="str">
        <f>IF(J330=G330+H330-I330,"OK","Check")</f>
        <v>OK</v>
      </c>
      <c r="Q330" t="str">
        <f>IF(AND(J330&lt;=K330,L330=TRUE),"OK",IF(AND(J330&gt;K330,L330=FALSE),"OK","Check"))</f>
        <v>OK</v>
      </c>
      <c r="R330" t="str">
        <f>IF(ABS(N330-J330*M330)&lt;=J330*0.005+0.01,"OK","Check")</f>
        <v>OK</v>
      </c>
      <c r="S330" s="3">
        <f t="shared" si="5"/>
        <v>1</v>
      </c>
    </row>
    <row r="331" spans="1:19">
      <c r="A331" s="1">
        <v>46054</v>
      </c>
      <c r="B331" t="s">
        <v>276</v>
      </c>
      <c r="C331" t="s">
        <v>96</v>
      </c>
      <c r="D331" t="s">
        <v>97</v>
      </c>
      <c r="E331" t="s">
        <v>71</v>
      </c>
      <c r="F331" t="s">
        <v>23</v>
      </c>
      <c r="G331">
        <v>71</v>
      </c>
      <c r="H331">
        <v>0</v>
      </c>
      <c r="I331">
        <v>23</v>
      </c>
      <c r="J331">
        <v>48</v>
      </c>
      <c r="K331">
        <v>39</v>
      </c>
      <c r="L331" t="b">
        <v>0</v>
      </c>
      <c r="M331">
        <v>700.35</v>
      </c>
      <c r="N331">
        <v>33616.94</v>
      </c>
      <c r="O331" t="s">
        <v>98</v>
      </c>
      <c r="P331" t="str">
        <f>IF(J331=G331+H331-I331,"OK","Check")</f>
        <v>OK</v>
      </c>
      <c r="Q331" t="str">
        <f>IF(AND(J331&lt;=K331,L331=TRUE),"OK",IF(AND(J331&gt;K331,L331=FALSE),"OK","Check"))</f>
        <v>OK</v>
      </c>
      <c r="R331" t="str">
        <f>IF(ABS(N331-J331*M331)&lt;=J331*0.005+0.01,"OK","Check")</f>
        <v>OK</v>
      </c>
      <c r="S331" s="3">
        <f t="shared" si="5"/>
        <v>1</v>
      </c>
    </row>
    <row r="332" spans="1:19">
      <c r="A332" s="1">
        <v>46054</v>
      </c>
      <c r="B332" t="s">
        <v>276</v>
      </c>
      <c r="C332" t="s">
        <v>99</v>
      </c>
      <c r="D332" t="s">
        <v>100</v>
      </c>
      <c r="E332" t="s">
        <v>71</v>
      </c>
      <c r="F332" t="s">
        <v>23</v>
      </c>
      <c r="G332">
        <v>321</v>
      </c>
      <c r="H332">
        <v>0</v>
      </c>
      <c r="I332">
        <v>263</v>
      </c>
      <c r="J332">
        <v>58</v>
      </c>
      <c r="K332">
        <v>256</v>
      </c>
      <c r="L332" t="b">
        <v>1</v>
      </c>
      <c r="M332">
        <v>2973.62</v>
      </c>
      <c r="N332">
        <v>172469.71</v>
      </c>
      <c r="O332" t="s">
        <v>47</v>
      </c>
      <c r="P332" t="str">
        <f>IF(J332=G332+H332-I332,"OK","Check")</f>
        <v>OK</v>
      </c>
      <c r="Q332" t="str">
        <f>IF(AND(J332&lt;=K332,L332=TRUE),"OK",IF(AND(J332&gt;K332,L332=FALSE),"OK","Check"))</f>
        <v>OK</v>
      </c>
      <c r="R332" t="str">
        <f>IF(ABS(N332-J332*M332)&lt;=J332*0.005+0.01,"OK","Check")</f>
        <v>OK</v>
      </c>
      <c r="S332" s="3">
        <f t="shared" si="5"/>
        <v>1</v>
      </c>
    </row>
    <row r="333" spans="1:19">
      <c r="A333" s="1">
        <v>46054</v>
      </c>
      <c r="B333" t="s">
        <v>276</v>
      </c>
      <c r="C333" t="s">
        <v>101</v>
      </c>
      <c r="D333" t="s">
        <v>102</v>
      </c>
      <c r="E333" t="s">
        <v>71</v>
      </c>
      <c r="F333" t="s">
        <v>23</v>
      </c>
      <c r="G333">
        <v>452</v>
      </c>
      <c r="H333">
        <v>0</v>
      </c>
      <c r="I333">
        <v>174</v>
      </c>
      <c r="J333">
        <v>278</v>
      </c>
      <c r="K333">
        <v>204</v>
      </c>
      <c r="L333" t="b">
        <v>0</v>
      </c>
      <c r="M333">
        <v>56.63</v>
      </c>
      <c r="N333">
        <v>15743.01</v>
      </c>
      <c r="O333" t="s">
        <v>32</v>
      </c>
      <c r="P333" t="str">
        <f>IF(J333=G333+H333-I333,"OK","Check")</f>
        <v>OK</v>
      </c>
      <c r="Q333" t="str">
        <f>IF(AND(J333&lt;=K333,L333=TRUE),"OK",IF(AND(J333&gt;K333,L333=FALSE),"OK","Check"))</f>
        <v>OK</v>
      </c>
      <c r="R333" t="str">
        <f>IF(ABS(N333-J333*M333)&lt;=J333*0.005+0.01,"OK","Check")</f>
        <v>OK</v>
      </c>
      <c r="S333" s="3">
        <f t="shared" si="5"/>
        <v>1</v>
      </c>
    </row>
    <row r="334" spans="1:19">
      <c r="A334" s="1">
        <v>46054</v>
      </c>
      <c r="B334" t="s">
        <v>276</v>
      </c>
      <c r="C334" t="s">
        <v>247</v>
      </c>
      <c r="D334" t="s">
        <v>248</v>
      </c>
      <c r="E334" t="s">
        <v>71</v>
      </c>
      <c r="F334" t="s">
        <v>23</v>
      </c>
      <c r="G334">
        <v>105</v>
      </c>
      <c r="H334">
        <v>0</v>
      </c>
      <c r="I334">
        <v>28</v>
      </c>
      <c r="J334">
        <v>77</v>
      </c>
      <c r="K334">
        <v>38</v>
      </c>
      <c r="L334" t="b">
        <v>0</v>
      </c>
      <c r="M334">
        <v>281.83999999999997</v>
      </c>
      <c r="N334">
        <v>21701.43</v>
      </c>
      <c r="O334" t="s">
        <v>32</v>
      </c>
      <c r="P334" t="str">
        <f>IF(J334=G334+H334-I334,"OK","Check")</f>
        <v>OK</v>
      </c>
      <c r="Q334" t="str">
        <f>IF(AND(J334&lt;=K334,L334=TRUE),"OK",IF(AND(J334&gt;K334,L334=FALSE),"OK","Check"))</f>
        <v>OK</v>
      </c>
      <c r="R334" t="str">
        <f>IF(ABS(N334-J334*M334)&lt;=J334*0.005+0.01,"OK","Check")</f>
        <v>OK</v>
      </c>
      <c r="S334" s="3">
        <f t="shared" si="5"/>
        <v>1</v>
      </c>
    </row>
    <row r="335" spans="1:19">
      <c r="A335" s="1">
        <v>46054</v>
      </c>
      <c r="B335" t="s">
        <v>276</v>
      </c>
      <c r="C335" t="s">
        <v>103</v>
      </c>
      <c r="D335" t="s">
        <v>104</v>
      </c>
      <c r="E335" t="s">
        <v>71</v>
      </c>
      <c r="F335" t="s">
        <v>23</v>
      </c>
      <c r="G335">
        <v>194</v>
      </c>
      <c r="H335">
        <v>0</v>
      </c>
      <c r="I335">
        <v>37</v>
      </c>
      <c r="J335">
        <v>157</v>
      </c>
      <c r="K335">
        <v>118</v>
      </c>
      <c r="L335" t="b">
        <v>0</v>
      </c>
      <c r="M335">
        <v>523.9</v>
      </c>
      <c r="N335">
        <v>82252.59</v>
      </c>
      <c r="O335" t="s">
        <v>98</v>
      </c>
      <c r="P335" t="str">
        <f>IF(J335=G335+H335-I335,"OK","Check")</f>
        <v>OK</v>
      </c>
      <c r="Q335" t="str">
        <f>IF(AND(J335&lt;=K335,L335=TRUE),"OK",IF(AND(J335&gt;K335,L335=FALSE),"OK","Check"))</f>
        <v>OK</v>
      </c>
      <c r="R335" t="str">
        <f>IF(ABS(N335-J335*M335)&lt;=J335*0.005+0.01,"OK","Check")</f>
        <v>OK</v>
      </c>
      <c r="S335" s="3">
        <f t="shared" si="5"/>
        <v>1</v>
      </c>
    </row>
    <row r="336" spans="1:19">
      <c r="A336" s="1">
        <v>46054</v>
      </c>
      <c r="B336" t="s">
        <v>276</v>
      </c>
      <c r="C336" t="s">
        <v>105</v>
      </c>
      <c r="D336" t="s">
        <v>106</v>
      </c>
      <c r="E336" t="s">
        <v>71</v>
      </c>
      <c r="F336" t="s">
        <v>23</v>
      </c>
      <c r="G336">
        <v>225</v>
      </c>
      <c r="H336">
        <v>0</v>
      </c>
      <c r="I336">
        <v>142</v>
      </c>
      <c r="J336">
        <v>83</v>
      </c>
      <c r="K336">
        <v>144</v>
      </c>
      <c r="L336" t="b">
        <v>1</v>
      </c>
      <c r="M336">
        <v>2513.87</v>
      </c>
      <c r="N336">
        <v>208650.99</v>
      </c>
      <c r="O336" t="s">
        <v>32</v>
      </c>
      <c r="P336" t="str">
        <f>IF(J336=G336+H336-I336,"OK","Check")</f>
        <v>OK</v>
      </c>
      <c r="Q336" t="str">
        <f>IF(AND(J336&lt;=K336,L336=TRUE),"OK",IF(AND(J336&gt;K336,L336=FALSE),"OK","Check"))</f>
        <v>OK</v>
      </c>
      <c r="R336" t="str">
        <f>IF(ABS(N336-J336*M336)&lt;=J336*0.005+0.01,"OK","Check")</f>
        <v>OK</v>
      </c>
      <c r="S336" s="3">
        <f t="shared" si="5"/>
        <v>1</v>
      </c>
    </row>
    <row r="337" spans="1:19">
      <c r="A337" s="1">
        <v>46054</v>
      </c>
      <c r="B337" t="s">
        <v>276</v>
      </c>
      <c r="C337" t="s">
        <v>107</v>
      </c>
      <c r="D337" t="s">
        <v>108</v>
      </c>
      <c r="E337" t="s">
        <v>109</v>
      </c>
      <c r="F337" t="s">
        <v>110</v>
      </c>
      <c r="G337">
        <v>367</v>
      </c>
      <c r="H337">
        <v>0</v>
      </c>
      <c r="I337">
        <v>215</v>
      </c>
      <c r="J337">
        <v>152</v>
      </c>
      <c r="K337">
        <v>166</v>
      </c>
      <c r="L337" t="b">
        <v>1</v>
      </c>
      <c r="M337">
        <v>98.87</v>
      </c>
      <c r="N337">
        <v>15028.48</v>
      </c>
      <c r="O337" t="s">
        <v>24</v>
      </c>
      <c r="P337" t="str">
        <f>IF(J337=G337+H337-I337,"OK","Check")</f>
        <v>OK</v>
      </c>
      <c r="Q337" t="str">
        <f>IF(AND(J337&lt;=K337,L337=TRUE),"OK",IF(AND(J337&gt;K337,L337=FALSE),"OK","Check"))</f>
        <v>OK</v>
      </c>
      <c r="R337" t="str">
        <f>IF(ABS(N337-J337*M337)&lt;=J337*0.005+0.01,"OK","Check")</f>
        <v>OK</v>
      </c>
      <c r="S337" s="3">
        <f t="shared" si="5"/>
        <v>1</v>
      </c>
    </row>
    <row r="338" spans="1:19">
      <c r="A338" s="1">
        <v>46054</v>
      </c>
      <c r="B338" t="s">
        <v>276</v>
      </c>
      <c r="C338" t="s">
        <v>111</v>
      </c>
      <c r="D338" t="s">
        <v>112</v>
      </c>
      <c r="E338" t="s">
        <v>109</v>
      </c>
      <c r="F338" t="s">
        <v>110</v>
      </c>
      <c r="G338">
        <v>34</v>
      </c>
      <c r="H338">
        <v>93</v>
      </c>
      <c r="I338">
        <v>19</v>
      </c>
      <c r="J338">
        <v>108</v>
      </c>
      <c r="K338">
        <v>37</v>
      </c>
      <c r="L338" t="b">
        <v>0</v>
      </c>
      <c r="M338">
        <v>441.16</v>
      </c>
      <c r="N338">
        <v>47645.77</v>
      </c>
      <c r="O338" t="s">
        <v>98</v>
      </c>
      <c r="P338" t="str">
        <f>IF(J338=G338+H338-I338,"OK","Check")</f>
        <v>OK</v>
      </c>
      <c r="Q338" t="str">
        <f>IF(AND(J338&lt;=K338,L338=TRUE),"OK",IF(AND(J338&gt;K338,L338=FALSE),"OK","Check"))</f>
        <v>OK</v>
      </c>
      <c r="R338" t="str">
        <f>IF(ABS(N338-J338*M338)&lt;=J338*0.005+0.01,"OK","Check")</f>
        <v>OK</v>
      </c>
      <c r="S338" s="3">
        <f t="shared" si="5"/>
        <v>1</v>
      </c>
    </row>
    <row r="339" spans="1:19">
      <c r="A339" s="1">
        <v>46054</v>
      </c>
      <c r="B339" t="s">
        <v>276</v>
      </c>
      <c r="C339" t="s">
        <v>113</v>
      </c>
      <c r="D339" t="s">
        <v>114</v>
      </c>
      <c r="E339" t="s">
        <v>109</v>
      </c>
      <c r="F339" t="s">
        <v>110</v>
      </c>
      <c r="G339">
        <v>154</v>
      </c>
      <c r="H339">
        <v>288</v>
      </c>
      <c r="I339">
        <v>143</v>
      </c>
      <c r="J339">
        <v>299</v>
      </c>
      <c r="K339">
        <v>142</v>
      </c>
      <c r="L339" t="b">
        <v>0</v>
      </c>
      <c r="M339">
        <v>135.19</v>
      </c>
      <c r="N339">
        <v>40421</v>
      </c>
      <c r="O339" t="s">
        <v>27</v>
      </c>
      <c r="P339" t="str">
        <f>IF(J339=G339+H339-I339,"OK","Check")</f>
        <v>OK</v>
      </c>
      <c r="Q339" t="str">
        <f>IF(AND(J339&lt;=K339,L339=TRUE),"OK",IF(AND(J339&gt;K339,L339=FALSE),"OK","Check"))</f>
        <v>OK</v>
      </c>
      <c r="R339" t="str">
        <f>IF(ABS(N339-J339*M339)&lt;=J339*0.005+0.01,"OK","Check")</f>
        <v>OK</v>
      </c>
      <c r="S339" s="3">
        <f t="shared" si="5"/>
        <v>1</v>
      </c>
    </row>
    <row r="340" spans="1:19">
      <c r="A340" s="1">
        <v>46054</v>
      </c>
      <c r="B340" t="s">
        <v>276</v>
      </c>
      <c r="C340" t="s">
        <v>115</v>
      </c>
      <c r="D340" t="s">
        <v>116</v>
      </c>
      <c r="E340" t="s">
        <v>109</v>
      </c>
      <c r="F340" t="s">
        <v>110</v>
      </c>
      <c r="G340">
        <v>171</v>
      </c>
      <c r="H340">
        <v>0</v>
      </c>
      <c r="I340">
        <v>114</v>
      </c>
      <c r="J340">
        <v>57</v>
      </c>
      <c r="K340">
        <v>107</v>
      </c>
      <c r="L340" t="b">
        <v>1</v>
      </c>
      <c r="M340">
        <v>654.71</v>
      </c>
      <c r="N340">
        <v>37318.44</v>
      </c>
      <c r="O340" t="s">
        <v>44</v>
      </c>
      <c r="P340" t="str">
        <f>IF(J340=G340+H340-I340,"OK","Check")</f>
        <v>OK</v>
      </c>
      <c r="Q340" t="str">
        <f>IF(AND(J340&lt;=K340,L340=TRUE),"OK",IF(AND(J340&gt;K340,L340=FALSE),"OK","Check"))</f>
        <v>OK</v>
      </c>
      <c r="R340" t="str">
        <f>IF(ABS(N340-J340*M340)&lt;=J340*0.005+0.01,"OK","Check")</f>
        <v>OK</v>
      </c>
      <c r="S340" s="3">
        <f t="shared" si="5"/>
        <v>1</v>
      </c>
    </row>
    <row r="341" spans="1:19">
      <c r="A341" s="1">
        <v>46054</v>
      </c>
      <c r="B341" t="s">
        <v>276</v>
      </c>
      <c r="C341" t="s">
        <v>119</v>
      </c>
      <c r="D341" t="s">
        <v>120</v>
      </c>
      <c r="E341" t="s">
        <v>109</v>
      </c>
      <c r="F341" t="s">
        <v>110</v>
      </c>
      <c r="G341">
        <v>88</v>
      </c>
      <c r="H341">
        <v>0</v>
      </c>
      <c r="I341">
        <v>33</v>
      </c>
      <c r="J341">
        <v>55</v>
      </c>
      <c r="K341">
        <v>38</v>
      </c>
      <c r="L341" t="b">
        <v>0</v>
      </c>
      <c r="M341">
        <v>200.51</v>
      </c>
      <c r="N341">
        <v>11028.32</v>
      </c>
      <c r="O341" t="s">
        <v>32</v>
      </c>
      <c r="P341" t="str">
        <f>IF(J341=G341+H341-I341,"OK","Check")</f>
        <v>OK</v>
      </c>
      <c r="Q341" t="str">
        <f>IF(AND(J341&lt;=K341,L341=TRUE),"OK",IF(AND(J341&gt;K341,L341=FALSE),"OK","Check"))</f>
        <v>OK</v>
      </c>
      <c r="R341" t="str">
        <f>IF(ABS(N341-J341*M341)&lt;=J341*0.005+0.01,"OK","Check")</f>
        <v>OK</v>
      </c>
      <c r="S341" s="3">
        <f t="shared" si="5"/>
        <v>1</v>
      </c>
    </row>
    <row r="342" spans="1:19">
      <c r="A342" s="1">
        <v>46054</v>
      </c>
      <c r="B342" t="s">
        <v>276</v>
      </c>
      <c r="C342" t="s">
        <v>123</v>
      </c>
      <c r="D342" t="s">
        <v>124</v>
      </c>
      <c r="E342" t="s">
        <v>109</v>
      </c>
      <c r="F342" t="s">
        <v>110</v>
      </c>
      <c r="G342">
        <v>134</v>
      </c>
      <c r="H342">
        <v>375</v>
      </c>
      <c r="I342">
        <v>133</v>
      </c>
      <c r="J342">
        <v>376</v>
      </c>
      <c r="K342">
        <v>134</v>
      </c>
      <c r="L342" t="b">
        <v>0</v>
      </c>
      <c r="M342">
        <v>173.48</v>
      </c>
      <c r="N342">
        <v>65230.26</v>
      </c>
      <c r="O342" t="s">
        <v>24</v>
      </c>
      <c r="P342" t="str">
        <f>IF(J342=G342+H342-I342,"OK","Check")</f>
        <v>OK</v>
      </c>
      <c r="Q342" t="str">
        <f>IF(AND(J342&lt;=K342,L342=TRUE),"OK",IF(AND(J342&gt;K342,L342=FALSE),"OK","Check"))</f>
        <v>OK</v>
      </c>
      <c r="R342" t="str">
        <f>IF(ABS(N342-J342*M342)&lt;=J342*0.005+0.01,"OK","Check")</f>
        <v>OK</v>
      </c>
      <c r="S342" s="3">
        <f t="shared" si="5"/>
        <v>1</v>
      </c>
    </row>
    <row r="343" spans="1:19">
      <c r="A343" s="1">
        <v>46054</v>
      </c>
      <c r="B343" t="s">
        <v>276</v>
      </c>
      <c r="C343" t="s">
        <v>125</v>
      </c>
      <c r="D343" t="s">
        <v>126</v>
      </c>
      <c r="E343" t="s">
        <v>109</v>
      </c>
      <c r="F343" t="s">
        <v>110</v>
      </c>
      <c r="G343">
        <v>323</v>
      </c>
      <c r="H343">
        <v>0</v>
      </c>
      <c r="I343">
        <v>211</v>
      </c>
      <c r="J343">
        <v>112</v>
      </c>
      <c r="K343">
        <v>235</v>
      </c>
      <c r="L343" t="b">
        <v>1</v>
      </c>
      <c r="M343">
        <v>143.54</v>
      </c>
      <c r="N343">
        <v>16076.95</v>
      </c>
      <c r="O343" t="s">
        <v>47</v>
      </c>
      <c r="P343" t="str">
        <f>IF(J343=G343+H343-I343,"OK","Check")</f>
        <v>OK</v>
      </c>
      <c r="Q343" t="str">
        <f>IF(AND(J343&lt;=K343,L343=TRUE),"OK",IF(AND(J343&gt;K343,L343=FALSE),"OK","Check"))</f>
        <v>OK</v>
      </c>
      <c r="R343" t="str">
        <f>IF(ABS(N343-J343*M343)&lt;=J343*0.005+0.01,"OK","Check")</f>
        <v>OK</v>
      </c>
      <c r="S343" s="3">
        <f t="shared" si="5"/>
        <v>1</v>
      </c>
    </row>
    <row r="344" spans="1:19">
      <c r="A344" s="1">
        <v>46054</v>
      </c>
      <c r="B344" t="s">
        <v>276</v>
      </c>
      <c r="C344" t="s">
        <v>127</v>
      </c>
      <c r="D344" t="s">
        <v>128</v>
      </c>
      <c r="E344" t="s">
        <v>109</v>
      </c>
      <c r="F344" t="s">
        <v>110</v>
      </c>
      <c r="G344">
        <v>183</v>
      </c>
      <c r="H344">
        <v>410</v>
      </c>
      <c r="I344">
        <v>168</v>
      </c>
      <c r="J344">
        <v>425</v>
      </c>
      <c r="K344">
        <v>202</v>
      </c>
      <c r="L344" t="b">
        <v>0</v>
      </c>
      <c r="M344">
        <v>601.69000000000005</v>
      </c>
      <c r="N344">
        <v>255718.46</v>
      </c>
      <c r="O344" t="s">
        <v>44</v>
      </c>
      <c r="P344" t="str">
        <f>IF(J344=G344+H344-I344,"OK","Check")</f>
        <v>OK</v>
      </c>
      <c r="Q344" t="str">
        <f>IF(AND(J344&lt;=K344,L344=TRUE),"OK",IF(AND(J344&gt;K344,L344=FALSE),"OK","Check"))</f>
        <v>OK</v>
      </c>
      <c r="R344" t="str">
        <f>IF(ABS(N344-J344*M344)&lt;=J344*0.005+0.01,"OK","Check")</f>
        <v>OK</v>
      </c>
      <c r="S344" s="3">
        <f t="shared" si="5"/>
        <v>1</v>
      </c>
    </row>
    <row r="345" spans="1:19">
      <c r="A345" s="1">
        <v>46054</v>
      </c>
      <c r="B345" t="s">
        <v>276</v>
      </c>
      <c r="C345" t="s">
        <v>129</v>
      </c>
      <c r="D345" t="s">
        <v>130</v>
      </c>
      <c r="E345" t="s">
        <v>109</v>
      </c>
      <c r="F345" t="s">
        <v>110</v>
      </c>
      <c r="G345">
        <v>80</v>
      </c>
      <c r="H345">
        <v>92</v>
      </c>
      <c r="I345">
        <v>26</v>
      </c>
      <c r="J345">
        <v>146</v>
      </c>
      <c r="K345">
        <v>41</v>
      </c>
      <c r="L345" t="b">
        <v>0</v>
      </c>
      <c r="M345">
        <v>383.8</v>
      </c>
      <c r="N345">
        <v>56034.45</v>
      </c>
      <c r="O345" t="s">
        <v>32</v>
      </c>
      <c r="P345" t="str">
        <f>IF(J345=G345+H345-I345,"OK","Check")</f>
        <v>OK</v>
      </c>
      <c r="Q345" t="str">
        <f>IF(AND(J345&lt;=K345,L345=TRUE),"OK",IF(AND(J345&gt;K345,L345=FALSE),"OK","Check"))</f>
        <v>OK</v>
      </c>
      <c r="R345" t="str">
        <f>IF(ABS(N345-J345*M345)&lt;=J345*0.005+0.01,"OK","Check")</f>
        <v>OK</v>
      </c>
      <c r="S345" s="3">
        <f t="shared" si="5"/>
        <v>1</v>
      </c>
    </row>
    <row r="346" spans="1:19">
      <c r="A346" s="1">
        <v>46054</v>
      </c>
      <c r="B346" t="s">
        <v>276</v>
      </c>
      <c r="C346" t="s">
        <v>131</v>
      </c>
      <c r="D346" t="s">
        <v>132</v>
      </c>
      <c r="E346" t="s">
        <v>109</v>
      </c>
      <c r="F346" t="s">
        <v>110</v>
      </c>
      <c r="G346">
        <v>375</v>
      </c>
      <c r="H346">
        <v>0</v>
      </c>
      <c r="I346">
        <v>203</v>
      </c>
      <c r="J346">
        <v>172</v>
      </c>
      <c r="K346">
        <v>169</v>
      </c>
      <c r="L346" t="b">
        <v>0</v>
      </c>
      <c r="M346">
        <v>2035.93</v>
      </c>
      <c r="N346">
        <v>350180.1</v>
      </c>
      <c r="O346" t="s">
        <v>24</v>
      </c>
      <c r="P346" t="str">
        <f>IF(J346=G346+H346-I346,"OK","Check")</f>
        <v>OK</v>
      </c>
      <c r="Q346" t="str">
        <f>IF(AND(J346&lt;=K346,L346=TRUE),"OK",IF(AND(J346&gt;K346,L346=FALSE),"OK","Check"))</f>
        <v>OK</v>
      </c>
      <c r="R346" t="str">
        <f>IF(ABS(N346-J346*M346)&lt;=J346*0.005+0.01,"OK","Check")</f>
        <v>OK</v>
      </c>
      <c r="S346" s="3">
        <f t="shared" si="5"/>
        <v>1</v>
      </c>
    </row>
    <row r="347" spans="1:19">
      <c r="A347" s="1">
        <v>46054</v>
      </c>
      <c r="B347" t="s">
        <v>276</v>
      </c>
      <c r="C347" t="s">
        <v>133</v>
      </c>
      <c r="D347" t="s">
        <v>134</v>
      </c>
      <c r="E347" t="s">
        <v>109</v>
      </c>
      <c r="F347" t="s">
        <v>110</v>
      </c>
      <c r="G347">
        <v>394</v>
      </c>
      <c r="H347">
        <v>0</v>
      </c>
      <c r="I347">
        <v>116</v>
      </c>
      <c r="J347">
        <v>278</v>
      </c>
      <c r="K347">
        <v>255</v>
      </c>
      <c r="L347" t="b">
        <v>0</v>
      </c>
      <c r="M347">
        <v>21.65</v>
      </c>
      <c r="N347">
        <v>6018.59</v>
      </c>
      <c r="O347" t="s">
        <v>98</v>
      </c>
      <c r="P347" t="str">
        <f>IF(J347=G347+H347-I347,"OK","Check")</f>
        <v>OK</v>
      </c>
      <c r="Q347" t="str">
        <f>IF(AND(J347&lt;=K347,L347=TRUE),"OK",IF(AND(J347&gt;K347,L347=FALSE),"OK","Check"))</f>
        <v>OK</v>
      </c>
      <c r="R347" t="str">
        <f>IF(ABS(N347-J347*M347)&lt;=J347*0.005+0.01,"OK","Check")</f>
        <v>OK</v>
      </c>
      <c r="S347" s="3">
        <f t="shared" si="5"/>
        <v>1</v>
      </c>
    </row>
    <row r="348" spans="1:19">
      <c r="A348" s="1">
        <v>46054</v>
      </c>
      <c r="B348" t="s">
        <v>276</v>
      </c>
      <c r="C348" t="s">
        <v>135</v>
      </c>
      <c r="D348" t="s">
        <v>136</v>
      </c>
      <c r="E348" t="s">
        <v>109</v>
      </c>
      <c r="F348" t="s">
        <v>110</v>
      </c>
      <c r="G348">
        <v>598</v>
      </c>
      <c r="H348">
        <v>0</v>
      </c>
      <c r="I348">
        <v>154</v>
      </c>
      <c r="J348">
        <v>444</v>
      </c>
      <c r="K348">
        <v>233</v>
      </c>
      <c r="L348" t="b">
        <v>0</v>
      </c>
      <c r="M348">
        <v>109.43</v>
      </c>
      <c r="N348">
        <v>48588.24</v>
      </c>
      <c r="O348" t="s">
        <v>32</v>
      </c>
      <c r="P348" t="str">
        <f>IF(J348=G348+H348-I348,"OK","Check")</f>
        <v>OK</v>
      </c>
      <c r="Q348" t="str">
        <f>IF(AND(J348&lt;=K348,L348=TRUE),"OK",IF(AND(J348&gt;K348,L348=FALSE),"OK","Check"))</f>
        <v>OK</v>
      </c>
      <c r="R348" t="str">
        <f>IF(ABS(N348-J348*M348)&lt;=J348*0.005+0.01,"OK","Check")</f>
        <v>OK</v>
      </c>
      <c r="S348" s="3">
        <f t="shared" si="5"/>
        <v>1</v>
      </c>
    </row>
    <row r="349" spans="1:19">
      <c r="A349" s="1">
        <v>46054</v>
      </c>
      <c r="B349" t="s">
        <v>276</v>
      </c>
      <c r="C349" t="s">
        <v>137</v>
      </c>
      <c r="D349" t="s">
        <v>138</v>
      </c>
      <c r="E349" t="s">
        <v>109</v>
      </c>
      <c r="F349" t="s">
        <v>110</v>
      </c>
      <c r="G349">
        <v>213</v>
      </c>
      <c r="H349">
        <v>0</v>
      </c>
      <c r="I349">
        <v>46</v>
      </c>
      <c r="J349">
        <v>167</v>
      </c>
      <c r="K349">
        <v>117</v>
      </c>
      <c r="L349" t="b">
        <v>0</v>
      </c>
      <c r="M349">
        <v>60.47</v>
      </c>
      <c r="N349">
        <v>10098.76</v>
      </c>
      <c r="O349" t="s">
        <v>27</v>
      </c>
      <c r="P349" t="str">
        <f>IF(J349=G349+H349-I349,"OK","Check")</f>
        <v>OK</v>
      </c>
      <c r="Q349" t="str">
        <f>IF(AND(J349&lt;=K349,L349=TRUE),"OK",IF(AND(J349&gt;K349,L349=FALSE),"OK","Check"))</f>
        <v>OK</v>
      </c>
      <c r="R349" t="str">
        <f>IF(ABS(N349-J349*M349)&lt;=J349*0.005+0.01,"OK","Check")</f>
        <v>OK</v>
      </c>
      <c r="S349" s="3">
        <f t="shared" si="5"/>
        <v>1</v>
      </c>
    </row>
    <row r="350" spans="1:19">
      <c r="A350" s="1">
        <v>46054</v>
      </c>
      <c r="B350" t="s">
        <v>276</v>
      </c>
      <c r="C350" t="s">
        <v>139</v>
      </c>
      <c r="D350" t="s">
        <v>140</v>
      </c>
      <c r="E350" t="s">
        <v>109</v>
      </c>
      <c r="F350" t="s">
        <v>110</v>
      </c>
      <c r="G350">
        <v>202</v>
      </c>
      <c r="H350">
        <v>0</v>
      </c>
      <c r="I350">
        <v>143</v>
      </c>
      <c r="J350">
        <v>59</v>
      </c>
      <c r="K350">
        <v>155</v>
      </c>
      <c r="L350" t="b">
        <v>1</v>
      </c>
      <c r="M350">
        <v>278.06</v>
      </c>
      <c r="N350">
        <v>16405.34</v>
      </c>
      <c r="O350" t="s">
        <v>32</v>
      </c>
      <c r="P350" t="str">
        <f>IF(J350=G350+H350-I350,"OK","Check")</f>
        <v>OK</v>
      </c>
      <c r="Q350" t="str">
        <f>IF(AND(J350&lt;=K350,L350=TRUE),"OK",IF(AND(J350&gt;K350,L350=FALSE),"OK","Check"))</f>
        <v>OK</v>
      </c>
      <c r="R350" t="str">
        <f>IF(ABS(N350-J350*M350)&lt;=J350*0.005+0.01,"OK","Check")</f>
        <v>OK</v>
      </c>
      <c r="S350" s="3">
        <f t="shared" si="5"/>
        <v>1</v>
      </c>
    </row>
    <row r="351" spans="1:19">
      <c r="A351" s="1">
        <v>46054</v>
      </c>
      <c r="B351" t="s">
        <v>276</v>
      </c>
      <c r="C351" t="s">
        <v>141</v>
      </c>
      <c r="D351" t="s">
        <v>142</v>
      </c>
      <c r="E351" t="s">
        <v>109</v>
      </c>
      <c r="F351" t="s">
        <v>110</v>
      </c>
      <c r="G351">
        <v>178</v>
      </c>
      <c r="H351">
        <v>361</v>
      </c>
      <c r="I351">
        <v>121</v>
      </c>
      <c r="J351">
        <v>418</v>
      </c>
      <c r="K351">
        <v>161</v>
      </c>
      <c r="L351" t="b">
        <v>0</v>
      </c>
      <c r="M351">
        <v>81.06</v>
      </c>
      <c r="N351">
        <v>33884.129999999997</v>
      </c>
      <c r="O351" t="s">
        <v>37</v>
      </c>
      <c r="P351" t="str">
        <f>IF(J351=G351+H351-I351,"OK","Check")</f>
        <v>OK</v>
      </c>
      <c r="Q351" t="str">
        <f>IF(AND(J351&lt;=K351,L351=TRUE),"OK",IF(AND(J351&gt;K351,L351=FALSE),"OK","Check"))</f>
        <v>OK</v>
      </c>
      <c r="R351" t="str">
        <f>IF(ABS(N351-J351*M351)&lt;=J351*0.005+0.01,"OK","Check")</f>
        <v>OK</v>
      </c>
      <c r="S351" s="3">
        <f t="shared" si="5"/>
        <v>1</v>
      </c>
    </row>
    <row r="352" spans="1:19">
      <c r="A352" s="1">
        <v>46054</v>
      </c>
      <c r="B352" t="s">
        <v>276</v>
      </c>
      <c r="C352" t="s">
        <v>145</v>
      </c>
      <c r="D352" t="s">
        <v>146</v>
      </c>
      <c r="E352" t="s">
        <v>109</v>
      </c>
      <c r="F352" t="s">
        <v>110</v>
      </c>
      <c r="G352">
        <v>46</v>
      </c>
      <c r="H352">
        <v>0</v>
      </c>
      <c r="I352">
        <v>24</v>
      </c>
      <c r="J352">
        <v>22</v>
      </c>
      <c r="K352">
        <v>19</v>
      </c>
      <c r="L352" t="b">
        <v>0</v>
      </c>
      <c r="M352">
        <v>65.58</v>
      </c>
      <c r="N352">
        <v>1442.71</v>
      </c>
      <c r="O352" t="s">
        <v>37</v>
      </c>
      <c r="P352" t="str">
        <f>IF(J352=G352+H352-I352,"OK","Check")</f>
        <v>OK</v>
      </c>
      <c r="Q352" t="str">
        <f>IF(AND(J352&lt;=K352,L352=TRUE),"OK",IF(AND(J352&gt;K352,L352=FALSE),"OK","Check"))</f>
        <v>OK</v>
      </c>
      <c r="R352" t="str">
        <f>IF(ABS(N352-J352*M352)&lt;=J352*0.005+0.01,"OK","Check")</f>
        <v>OK</v>
      </c>
      <c r="S352" s="3">
        <f t="shared" si="5"/>
        <v>1</v>
      </c>
    </row>
    <row r="353" spans="1:19">
      <c r="A353" s="1">
        <v>46054</v>
      </c>
      <c r="B353" t="s">
        <v>276</v>
      </c>
      <c r="C353" t="s">
        <v>147</v>
      </c>
      <c r="D353" t="s">
        <v>148</v>
      </c>
      <c r="E353" t="s">
        <v>109</v>
      </c>
      <c r="F353" t="s">
        <v>110</v>
      </c>
      <c r="G353">
        <v>185</v>
      </c>
      <c r="H353">
        <v>368</v>
      </c>
      <c r="I353">
        <v>64</v>
      </c>
      <c r="J353">
        <v>489</v>
      </c>
      <c r="K353">
        <v>170</v>
      </c>
      <c r="L353" t="b">
        <v>0</v>
      </c>
      <c r="M353">
        <v>289.8</v>
      </c>
      <c r="N353">
        <v>141712.37</v>
      </c>
      <c r="O353" t="s">
        <v>98</v>
      </c>
      <c r="P353" t="str">
        <f>IF(J353=G353+H353-I353,"OK","Check")</f>
        <v>OK</v>
      </c>
      <c r="Q353" t="str">
        <f>IF(AND(J353&lt;=K353,L353=TRUE),"OK",IF(AND(J353&gt;K353,L353=FALSE),"OK","Check"))</f>
        <v>OK</v>
      </c>
      <c r="R353" t="str">
        <f>IF(ABS(N353-J353*M353)&lt;=J353*0.005+0.01,"OK","Check")</f>
        <v>OK</v>
      </c>
      <c r="S353" s="3">
        <f t="shared" si="5"/>
        <v>1</v>
      </c>
    </row>
    <row r="354" spans="1:19">
      <c r="A354" s="1">
        <v>46054</v>
      </c>
      <c r="B354" t="s">
        <v>276</v>
      </c>
      <c r="C354" t="s">
        <v>149</v>
      </c>
      <c r="D354" t="s">
        <v>150</v>
      </c>
      <c r="E354" t="s">
        <v>151</v>
      </c>
      <c r="F354" t="s">
        <v>23</v>
      </c>
      <c r="G354">
        <v>175</v>
      </c>
      <c r="H354">
        <v>0</v>
      </c>
      <c r="I354">
        <v>46</v>
      </c>
      <c r="J354">
        <v>129</v>
      </c>
      <c r="K354">
        <v>104</v>
      </c>
      <c r="L354" t="b">
        <v>0</v>
      </c>
      <c r="M354">
        <v>239.87</v>
      </c>
      <c r="N354">
        <v>30942.959999999999</v>
      </c>
      <c r="O354" t="s">
        <v>32</v>
      </c>
      <c r="P354" t="str">
        <f>IF(J354=G354+H354-I354,"OK","Check")</f>
        <v>OK</v>
      </c>
      <c r="Q354" t="str">
        <f>IF(AND(J354&lt;=K354,L354=TRUE),"OK",IF(AND(J354&gt;K354,L354=FALSE),"OK","Check"))</f>
        <v>OK</v>
      </c>
      <c r="R354" t="str">
        <f>IF(ABS(N354-J354*M354)&lt;=J354*0.005+0.01,"OK","Check")</f>
        <v>OK</v>
      </c>
      <c r="S354" s="3">
        <f t="shared" si="5"/>
        <v>1</v>
      </c>
    </row>
    <row r="355" spans="1:19">
      <c r="A355" s="1">
        <v>46054</v>
      </c>
      <c r="B355" t="s">
        <v>276</v>
      </c>
      <c r="C355" t="s">
        <v>152</v>
      </c>
      <c r="D355" t="s">
        <v>153</v>
      </c>
      <c r="E355" t="s">
        <v>151</v>
      </c>
      <c r="F355" t="s">
        <v>23</v>
      </c>
      <c r="G355">
        <v>458</v>
      </c>
      <c r="H355">
        <v>0</v>
      </c>
      <c r="I355">
        <v>133</v>
      </c>
      <c r="J355">
        <v>325</v>
      </c>
      <c r="K355">
        <v>197</v>
      </c>
      <c r="L355" t="b">
        <v>0</v>
      </c>
      <c r="M355">
        <v>1287.79</v>
      </c>
      <c r="N355">
        <v>418533.24</v>
      </c>
      <c r="O355" t="s">
        <v>98</v>
      </c>
      <c r="P355" t="str">
        <f>IF(J355=G355+H355-I355,"OK","Check")</f>
        <v>OK</v>
      </c>
      <c r="Q355" t="str">
        <f>IF(AND(J355&lt;=K355,L355=TRUE),"OK",IF(AND(J355&gt;K355,L355=FALSE),"OK","Check"))</f>
        <v>OK</v>
      </c>
      <c r="R355" t="str">
        <f>IF(ABS(N355-J355*M355)&lt;=J355*0.005+0.01,"OK","Check")</f>
        <v>OK</v>
      </c>
      <c r="S355" s="3">
        <f t="shared" si="5"/>
        <v>1</v>
      </c>
    </row>
    <row r="356" spans="1:19">
      <c r="A356" s="1">
        <v>46054</v>
      </c>
      <c r="B356" t="s">
        <v>276</v>
      </c>
      <c r="C356" t="s">
        <v>154</v>
      </c>
      <c r="D356" t="s">
        <v>155</v>
      </c>
      <c r="E356" t="s">
        <v>151</v>
      </c>
      <c r="F356" t="s">
        <v>23</v>
      </c>
      <c r="G356">
        <v>21</v>
      </c>
      <c r="H356">
        <v>0</v>
      </c>
      <c r="I356">
        <v>19</v>
      </c>
      <c r="J356">
        <v>2</v>
      </c>
      <c r="K356">
        <v>17</v>
      </c>
      <c r="L356" t="b">
        <v>1</v>
      </c>
      <c r="M356">
        <v>290.14999999999998</v>
      </c>
      <c r="N356">
        <v>580.29999999999995</v>
      </c>
      <c r="O356" t="s">
        <v>60</v>
      </c>
      <c r="P356" t="str">
        <f>IF(J356=G356+H356-I356,"OK","Check")</f>
        <v>OK</v>
      </c>
      <c r="Q356" t="str">
        <f>IF(AND(J356&lt;=K356,L356=TRUE),"OK",IF(AND(J356&gt;K356,L356=FALSE),"OK","Check"))</f>
        <v>OK</v>
      </c>
      <c r="R356" t="str">
        <f>IF(ABS(N356-J356*M356)&lt;=J356*0.005+0.01,"OK","Check")</f>
        <v>OK</v>
      </c>
      <c r="S356" s="3">
        <f t="shared" si="5"/>
        <v>1</v>
      </c>
    </row>
    <row r="357" spans="1:19">
      <c r="A357" s="1">
        <v>46054</v>
      </c>
      <c r="B357" t="s">
        <v>276</v>
      </c>
      <c r="C357" t="s">
        <v>156</v>
      </c>
      <c r="D357" t="s">
        <v>157</v>
      </c>
      <c r="E357" t="s">
        <v>151</v>
      </c>
      <c r="F357" t="s">
        <v>23</v>
      </c>
      <c r="G357">
        <v>150</v>
      </c>
      <c r="H357">
        <v>352</v>
      </c>
      <c r="I357">
        <v>157</v>
      </c>
      <c r="J357">
        <v>345</v>
      </c>
      <c r="K357">
        <v>177</v>
      </c>
      <c r="L357" t="b">
        <v>0</v>
      </c>
      <c r="M357">
        <v>1542.82</v>
      </c>
      <c r="N357">
        <v>532271.28</v>
      </c>
      <c r="O357" t="s">
        <v>32</v>
      </c>
      <c r="P357" t="str">
        <f>IF(J357=G357+H357-I357,"OK","Check")</f>
        <v>OK</v>
      </c>
      <c r="Q357" t="str">
        <f>IF(AND(J357&lt;=K357,L357=TRUE),"OK",IF(AND(J357&gt;K357,L357=FALSE),"OK","Check"))</f>
        <v>OK</v>
      </c>
      <c r="R357" t="str">
        <f>IF(ABS(N357-J357*M357)&lt;=J357*0.005+0.01,"OK","Check")</f>
        <v>OK</v>
      </c>
      <c r="S357" s="3">
        <f t="shared" si="5"/>
        <v>1</v>
      </c>
    </row>
    <row r="358" spans="1:19">
      <c r="A358" s="1">
        <v>46054</v>
      </c>
      <c r="B358" t="s">
        <v>276</v>
      </c>
      <c r="C358" t="s">
        <v>158</v>
      </c>
      <c r="D358" t="s">
        <v>159</v>
      </c>
      <c r="E358" t="s">
        <v>151</v>
      </c>
      <c r="F358" t="s">
        <v>23</v>
      </c>
      <c r="G358">
        <v>139</v>
      </c>
      <c r="H358">
        <v>0</v>
      </c>
      <c r="I358">
        <v>119</v>
      </c>
      <c r="J358">
        <v>20</v>
      </c>
      <c r="K358">
        <v>93</v>
      </c>
      <c r="L358" t="b">
        <v>1</v>
      </c>
      <c r="M358">
        <v>48.27</v>
      </c>
      <c r="N358">
        <v>965.47</v>
      </c>
      <c r="O358" t="s">
        <v>37</v>
      </c>
      <c r="P358" t="str">
        <f>IF(J358=G358+H358-I358,"OK","Check")</f>
        <v>OK</v>
      </c>
      <c r="Q358" t="str">
        <f>IF(AND(J358&lt;=K358,L358=TRUE),"OK",IF(AND(J358&gt;K358,L358=FALSE),"OK","Check"))</f>
        <v>OK</v>
      </c>
      <c r="R358" t="str">
        <f>IF(ABS(N358-J358*M358)&lt;=J358*0.005+0.01,"OK","Check")</f>
        <v>OK</v>
      </c>
      <c r="S358" s="3">
        <f t="shared" si="5"/>
        <v>1</v>
      </c>
    </row>
    <row r="359" spans="1:19">
      <c r="A359" s="1">
        <v>46054</v>
      </c>
      <c r="B359" t="s">
        <v>276</v>
      </c>
      <c r="C359" t="s">
        <v>160</v>
      </c>
      <c r="D359" t="s">
        <v>161</v>
      </c>
      <c r="E359" t="s">
        <v>151</v>
      </c>
      <c r="F359" t="s">
        <v>23</v>
      </c>
      <c r="G359">
        <v>41</v>
      </c>
      <c r="H359">
        <v>0</v>
      </c>
      <c r="I359">
        <v>32</v>
      </c>
      <c r="J359">
        <v>9</v>
      </c>
      <c r="K359">
        <v>30</v>
      </c>
      <c r="L359" t="b">
        <v>1</v>
      </c>
      <c r="M359">
        <v>220.07</v>
      </c>
      <c r="N359">
        <v>1980.66</v>
      </c>
      <c r="O359" t="s">
        <v>24</v>
      </c>
      <c r="P359" t="str">
        <f>IF(J359=G359+H359-I359,"OK","Check")</f>
        <v>OK</v>
      </c>
      <c r="Q359" t="str">
        <f>IF(AND(J359&lt;=K359,L359=TRUE),"OK",IF(AND(J359&gt;K359,L359=FALSE),"OK","Check"))</f>
        <v>OK</v>
      </c>
      <c r="R359" t="str">
        <f>IF(ABS(N359-J359*M359)&lt;=J359*0.005+0.01,"OK","Check")</f>
        <v>OK</v>
      </c>
      <c r="S359" s="3">
        <f t="shared" si="5"/>
        <v>1</v>
      </c>
    </row>
    <row r="360" spans="1:19">
      <c r="A360" s="1">
        <v>46054</v>
      </c>
      <c r="B360" t="s">
        <v>276</v>
      </c>
      <c r="C360" t="s">
        <v>162</v>
      </c>
      <c r="D360" t="s">
        <v>163</v>
      </c>
      <c r="E360" t="s">
        <v>151</v>
      </c>
      <c r="F360" t="s">
        <v>23</v>
      </c>
      <c r="G360">
        <v>362</v>
      </c>
      <c r="H360">
        <v>0</v>
      </c>
      <c r="I360">
        <v>185</v>
      </c>
      <c r="J360">
        <v>177</v>
      </c>
      <c r="K360">
        <v>168</v>
      </c>
      <c r="L360" t="b">
        <v>0</v>
      </c>
      <c r="M360">
        <v>217.25</v>
      </c>
      <c r="N360">
        <v>38452.6</v>
      </c>
      <c r="O360" t="s">
        <v>37</v>
      </c>
      <c r="P360" t="str">
        <f>IF(J360=G360+H360-I360,"OK","Check")</f>
        <v>OK</v>
      </c>
      <c r="Q360" t="str">
        <f>IF(AND(J360&lt;=K360,L360=TRUE),"OK",IF(AND(J360&gt;K360,L360=FALSE),"OK","Check"))</f>
        <v>OK</v>
      </c>
      <c r="R360" t="str">
        <f>IF(ABS(N360-J360*M360)&lt;=J360*0.005+0.01,"OK","Check")</f>
        <v>OK</v>
      </c>
      <c r="S360" s="3">
        <f t="shared" si="5"/>
        <v>1</v>
      </c>
    </row>
    <row r="361" spans="1:19">
      <c r="A361" s="1">
        <v>46054</v>
      </c>
      <c r="B361" t="s">
        <v>276</v>
      </c>
      <c r="C361" t="s">
        <v>166</v>
      </c>
      <c r="D361" t="s">
        <v>167</v>
      </c>
      <c r="E361" t="s">
        <v>151</v>
      </c>
      <c r="F361" t="s">
        <v>23</v>
      </c>
      <c r="G361">
        <v>103</v>
      </c>
      <c r="H361">
        <v>0</v>
      </c>
      <c r="I361">
        <v>95</v>
      </c>
      <c r="J361">
        <v>8</v>
      </c>
      <c r="K361">
        <v>81</v>
      </c>
      <c r="L361" t="b">
        <v>1</v>
      </c>
      <c r="M361">
        <v>144.49</v>
      </c>
      <c r="N361">
        <v>1155.8900000000001</v>
      </c>
      <c r="O361" t="s">
        <v>44</v>
      </c>
      <c r="P361" t="str">
        <f>IF(J361=G361+H361-I361,"OK","Check")</f>
        <v>OK</v>
      </c>
      <c r="Q361" t="str">
        <f>IF(AND(J361&lt;=K361,L361=TRUE),"OK",IF(AND(J361&gt;K361,L361=FALSE),"OK","Check"))</f>
        <v>OK</v>
      </c>
      <c r="R361" t="str">
        <f>IF(ABS(N361-J361*M361)&lt;=J361*0.005+0.01,"OK","Check")</f>
        <v>OK</v>
      </c>
      <c r="S361" s="3">
        <f t="shared" si="5"/>
        <v>1</v>
      </c>
    </row>
    <row r="362" spans="1:19">
      <c r="A362" s="1">
        <v>46054</v>
      </c>
      <c r="B362" t="s">
        <v>276</v>
      </c>
      <c r="C362" t="s">
        <v>249</v>
      </c>
      <c r="D362" t="s">
        <v>250</v>
      </c>
      <c r="E362" t="s">
        <v>151</v>
      </c>
      <c r="F362" t="s">
        <v>23</v>
      </c>
      <c r="G362">
        <v>67</v>
      </c>
      <c r="H362">
        <v>180</v>
      </c>
      <c r="I362">
        <v>40</v>
      </c>
      <c r="J362">
        <v>207</v>
      </c>
      <c r="K362">
        <v>60</v>
      </c>
      <c r="L362" t="b">
        <v>0</v>
      </c>
      <c r="M362">
        <v>701.77</v>
      </c>
      <c r="N362">
        <v>145266.26999999999</v>
      </c>
      <c r="O362" t="s">
        <v>32</v>
      </c>
      <c r="P362" t="str">
        <f>IF(J362=G362+H362-I362,"OK","Check")</f>
        <v>OK</v>
      </c>
      <c r="Q362" t="str">
        <f>IF(AND(J362&lt;=K362,L362=TRUE),"OK",IF(AND(J362&gt;K362,L362=FALSE),"OK","Check"))</f>
        <v>OK</v>
      </c>
      <c r="R362" t="str">
        <f>IF(ABS(N362-J362*M362)&lt;=J362*0.005+0.01,"OK","Check")</f>
        <v>OK</v>
      </c>
      <c r="S362" s="3">
        <f t="shared" si="5"/>
        <v>1</v>
      </c>
    </row>
    <row r="363" spans="1:19">
      <c r="A363" s="1">
        <v>46054</v>
      </c>
      <c r="B363" t="s">
        <v>276</v>
      </c>
      <c r="C363" t="s">
        <v>168</v>
      </c>
      <c r="D363" t="s">
        <v>169</v>
      </c>
      <c r="E363" t="s">
        <v>151</v>
      </c>
      <c r="F363" t="s">
        <v>23</v>
      </c>
      <c r="G363">
        <v>439</v>
      </c>
      <c r="H363">
        <v>0</v>
      </c>
      <c r="I363">
        <v>199</v>
      </c>
      <c r="J363">
        <v>240</v>
      </c>
      <c r="K363">
        <v>280</v>
      </c>
      <c r="L363" t="b">
        <v>1</v>
      </c>
      <c r="M363">
        <v>640.54</v>
      </c>
      <c r="N363">
        <v>153728.66</v>
      </c>
      <c r="O363" t="s">
        <v>27</v>
      </c>
      <c r="P363" t="str">
        <f>IF(J363=G363+H363-I363,"OK","Check")</f>
        <v>OK</v>
      </c>
      <c r="Q363" t="str">
        <f>IF(AND(J363&lt;=K363,L363=TRUE),"OK",IF(AND(J363&gt;K363,L363=FALSE),"OK","Check"))</f>
        <v>OK</v>
      </c>
      <c r="R363" t="str">
        <f>IF(ABS(N363-J363*M363)&lt;=J363*0.005+0.01,"OK","Check")</f>
        <v>OK</v>
      </c>
      <c r="S363" s="3">
        <f t="shared" si="5"/>
        <v>1</v>
      </c>
    </row>
    <row r="364" spans="1:19">
      <c r="A364" s="1">
        <v>46054</v>
      </c>
      <c r="B364" t="s">
        <v>276</v>
      </c>
      <c r="C364" t="s">
        <v>172</v>
      </c>
      <c r="D364" t="s">
        <v>173</v>
      </c>
      <c r="E364" t="s">
        <v>151</v>
      </c>
      <c r="F364" t="s">
        <v>23</v>
      </c>
      <c r="G364">
        <v>336</v>
      </c>
      <c r="H364">
        <v>0</v>
      </c>
      <c r="I364">
        <v>121</v>
      </c>
      <c r="J364">
        <v>215</v>
      </c>
      <c r="K364">
        <v>172</v>
      </c>
      <c r="L364" t="b">
        <v>0</v>
      </c>
      <c r="M364">
        <v>496.45</v>
      </c>
      <c r="N364">
        <v>106736.51</v>
      </c>
      <c r="O364" t="s">
        <v>24</v>
      </c>
      <c r="P364" t="str">
        <f>IF(J364=G364+H364-I364,"OK","Check")</f>
        <v>OK</v>
      </c>
      <c r="Q364" t="str">
        <f>IF(AND(J364&lt;=K364,L364=TRUE),"OK",IF(AND(J364&gt;K364,L364=FALSE),"OK","Check"))</f>
        <v>OK</v>
      </c>
      <c r="R364" t="str">
        <f>IF(ABS(N364-J364*M364)&lt;=J364*0.005+0.01,"OK","Check")</f>
        <v>OK</v>
      </c>
      <c r="S364" s="3">
        <f t="shared" si="5"/>
        <v>1</v>
      </c>
    </row>
    <row r="365" spans="1:19">
      <c r="A365" s="1">
        <v>46054</v>
      </c>
      <c r="B365" t="s">
        <v>276</v>
      </c>
      <c r="C365" t="s">
        <v>176</v>
      </c>
      <c r="D365" t="s">
        <v>177</v>
      </c>
      <c r="E365" t="s">
        <v>151</v>
      </c>
      <c r="F365" t="s">
        <v>23</v>
      </c>
      <c r="G365">
        <v>322</v>
      </c>
      <c r="H365">
        <v>0</v>
      </c>
      <c r="I365">
        <v>191</v>
      </c>
      <c r="J365">
        <v>131</v>
      </c>
      <c r="K365">
        <v>180</v>
      </c>
      <c r="L365" t="b">
        <v>1</v>
      </c>
      <c r="M365">
        <v>65.09</v>
      </c>
      <c r="N365">
        <v>8526.67</v>
      </c>
      <c r="O365" t="s">
        <v>27</v>
      </c>
      <c r="P365" t="str">
        <f>IF(J365=G365+H365-I365,"OK","Check")</f>
        <v>OK</v>
      </c>
      <c r="Q365" t="str">
        <f>IF(AND(J365&lt;=K365,L365=TRUE),"OK",IF(AND(J365&gt;K365,L365=FALSE),"OK","Check"))</f>
        <v>OK</v>
      </c>
      <c r="R365" t="str">
        <f>IF(ABS(N365-J365*M365)&lt;=J365*0.005+0.01,"OK","Check")</f>
        <v>OK</v>
      </c>
      <c r="S365" s="3">
        <f t="shared" si="5"/>
        <v>1</v>
      </c>
    </row>
    <row r="366" spans="1:19">
      <c r="A366" s="1">
        <v>46054</v>
      </c>
      <c r="B366" t="s">
        <v>276</v>
      </c>
      <c r="C366" t="s">
        <v>178</v>
      </c>
      <c r="D366" t="s">
        <v>179</v>
      </c>
      <c r="E366" t="s">
        <v>151</v>
      </c>
      <c r="F366" t="s">
        <v>23</v>
      </c>
      <c r="G366">
        <v>179</v>
      </c>
      <c r="H366">
        <v>214</v>
      </c>
      <c r="I366">
        <v>96</v>
      </c>
      <c r="J366">
        <v>297</v>
      </c>
      <c r="K366">
        <v>122</v>
      </c>
      <c r="L366" t="b">
        <v>0</v>
      </c>
      <c r="M366">
        <v>344.5</v>
      </c>
      <c r="N366">
        <v>102315.77</v>
      </c>
      <c r="O366" t="s">
        <v>32</v>
      </c>
      <c r="P366" t="str">
        <f>IF(J366=G366+H366-I366,"OK","Check")</f>
        <v>OK</v>
      </c>
      <c r="Q366" t="str">
        <f>IF(AND(J366&lt;=K366,L366=TRUE),"OK",IF(AND(J366&gt;K366,L366=FALSE),"OK","Check"))</f>
        <v>OK</v>
      </c>
      <c r="R366" t="str">
        <f>IF(ABS(N366-J366*M366)&lt;=J366*0.005+0.01,"OK","Check")</f>
        <v>OK</v>
      </c>
      <c r="S366" s="3">
        <f t="shared" si="5"/>
        <v>1</v>
      </c>
    </row>
    <row r="367" spans="1:19">
      <c r="A367" s="1">
        <v>46054</v>
      </c>
      <c r="B367" t="s">
        <v>276</v>
      </c>
      <c r="C367" t="s">
        <v>180</v>
      </c>
      <c r="D367" t="s">
        <v>181</v>
      </c>
      <c r="E367" t="s">
        <v>151</v>
      </c>
      <c r="F367" t="s">
        <v>23</v>
      </c>
      <c r="G367">
        <v>200</v>
      </c>
      <c r="H367">
        <v>0</v>
      </c>
      <c r="I367">
        <v>93</v>
      </c>
      <c r="J367">
        <v>107</v>
      </c>
      <c r="K367">
        <v>99</v>
      </c>
      <c r="L367" t="b">
        <v>0</v>
      </c>
      <c r="M367">
        <v>59.56</v>
      </c>
      <c r="N367">
        <v>6373.15</v>
      </c>
      <c r="O367" t="s">
        <v>44</v>
      </c>
      <c r="P367" t="str">
        <f>IF(J367=G367+H367-I367,"OK","Check")</f>
        <v>OK</v>
      </c>
      <c r="Q367" t="str">
        <f>IF(AND(J367&lt;=K367,L367=TRUE),"OK",IF(AND(J367&gt;K367,L367=FALSE),"OK","Check"))</f>
        <v>OK</v>
      </c>
      <c r="R367" t="str">
        <f>IF(ABS(N367-J367*M367)&lt;=J367*0.005+0.01,"OK","Check")</f>
        <v>OK</v>
      </c>
      <c r="S367" s="3">
        <f t="shared" si="5"/>
        <v>1</v>
      </c>
    </row>
    <row r="368" spans="1:19">
      <c r="A368" s="1">
        <v>46054</v>
      </c>
      <c r="B368" t="s">
        <v>276</v>
      </c>
      <c r="C368" t="s">
        <v>182</v>
      </c>
      <c r="D368" t="s">
        <v>183</v>
      </c>
      <c r="E368" t="s">
        <v>151</v>
      </c>
      <c r="F368" t="s">
        <v>23</v>
      </c>
      <c r="G368">
        <v>275</v>
      </c>
      <c r="H368">
        <v>0</v>
      </c>
      <c r="I368">
        <v>190</v>
      </c>
      <c r="J368">
        <v>85</v>
      </c>
      <c r="K368">
        <v>192</v>
      </c>
      <c r="L368" t="b">
        <v>1</v>
      </c>
      <c r="M368">
        <v>234.49</v>
      </c>
      <c r="N368">
        <v>19931.23</v>
      </c>
      <c r="O368" t="s">
        <v>32</v>
      </c>
      <c r="P368" t="str">
        <f>IF(J368=G368+H368-I368,"OK","Check")</f>
        <v>OK</v>
      </c>
      <c r="Q368" t="str">
        <f>IF(AND(J368&lt;=K368,L368=TRUE),"OK",IF(AND(J368&gt;K368,L368=FALSE),"OK","Check"))</f>
        <v>OK</v>
      </c>
      <c r="R368" t="str">
        <f>IF(ABS(N368-J368*M368)&lt;=J368*0.005+0.01,"OK","Check")</f>
        <v>OK</v>
      </c>
      <c r="S368" s="3">
        <f t="shared" si="5"/>
        <v>1</v>
      </c>
    </row>
    <row r="369" spans="1:19">
      <c r="A369" s="1">
        <v>46054</v>
      </c>
      <c r="B369" t="s">
        <v>276</v>
      </c>
      <c r="C369" t="s">
        <v>251</v>
      </c>
      <c r="D369" t="s">
        <v>252</v>
      </c>
      <c r="E369" t="s">
        <v>151</v>
      </c>
      <c r="F369" t="s">
        <v>23</v>
      </c>
      <c r="G369">
        <v>148</v>
      </c>
      <c r="H369">
        <v>194</v>
      </c>
      <c r="I369">
        <v>64</v>
      </c>
      <c r="J369">
        <v>278</v>
      </c>
      <c r="K369">
        <v>61</v>
      </c>
      <c r="L369" t="b">
        <v>0</v>
      </c>
      <c r="M369">
        <v>92.18</v>
      </c>
      <c r="N369">
        <v>25625.439999999999</v>
      </c>
      <c r="O369" t="s">
        <v>44</v>
      </c>
      <c r="P369" t="str">
        <f>IF(J369=G369+H369-I369,"OK","Check")</f>
        <v>OK</v>
      </c>
      <c r="Q369" t="str">
        <f>IF(AND(J369&lt;=K369,L369=TRUE),"OK",IF(AND(J369&gt;K369,L369=FALSE),"OK","Check"))</f>
        <v>OK</v>
      </c>
      <c r="R369" t="str">
        <f>IF(ABS(N369-J369*M369)&lt;=J369*0.005+0.01,"OK","Check")</f>
        <v>OK</v>
      </c>
      <c r="S369" s="3">
        <f t="shared" si="5"/>
        <v>1</v>
      </c>
    </row>
    <row r="370" spans="1:19">
      <c r="A370" s="1">
        <v>46054</v>
      </c>
      <c r="B370" t="s">
        <v>276</v>
      </c>
      <c r="C370" t="s">
        <v>184</v>
      </c>
      <c r="D370" t="s">
        <v>185</v>
      </c>
      <c r="E370" t="s">
        <v>151</v>
      </c>
      <c r="F370" t="s">
        <v>23</v>
      </c>
      <c r="G370">
        <v>462</v>
      </c>
      <c r="H370">
        <v>0</v>
      </c>
      <c r="I370">
        <v>139</v>
      </c>
      <c r="J370">
        <v>323</v>
      </c>
      <c r="K370">
        <v>163</v>
      </c>
      <c r="L370" t="b">
        <v>0</v>
      </c>
      <c r="M370">
        <v>366.8</v>
      </c>
      <c r="N370">
        <v>118475</v>
      </c>
      <c r="O370" t="s">
        <v>60</v>
      </c>
      <c r="P370" t="str">
        <f>IF(J370=G370+H370-I370,"OK","Check")</f>
        <v>OK</v>
      </c>
      <c r="Q370" t="str">
        <f>IF(AND(J370&lt;=K370,L370=TRUE),"OK",IF(AND(J370&gt;K370,L370=FALSE),"OK","Check"))</f>
        <v>OK</v>
      </c>
      <c r="R370" t="str">
        <f>IF(ABS(N370-J370*M370)&lt;=J370*0.005+0.01,"OK","Check")</f>
        <v>OK</v>
      </c>
      <c r="S370" s="3">
        <f t="shared" si="5"/>
        <v>1</v>
      </c>
    </row>
    <row r="371" spans="1:19">
      <c r="A371" s="1">
        <v>46054</v>
      </c>
      <c r="B371" t="s">
        <v>276</v>
      </c>
      <c r="C371" t="s">
        <v>191</v>
      </c>
      <c r="D371" t="s">
        <v>192</v>
      </c>
      <c r="E371" t="s">
        <v>188</v>
      </c>
      <c r="F371" t="s">
        <v>23</v>
      </c>
      <c r="G371">
        <v>154</v>
      </c>
      <c r="H371">
        <v>0</v>
      </c>
      <c r="I371">
        <v>54</v>
      </c>
      <c r="J371">
        <v>100</v>
      </c>
      <c r="K371">
        <v>89</v>
      </c>
      <c r="L371" t="b">
        <v>0</v>
      </c>
      <c r="M371">
        <v>102.1</v>
      </c>
      <c r="N371">
        <v>10209.879999999999</v>
      </c>
      <c r="O371" t="s">
        <v>98</v>
      </c>
      <c r="P371" t="str">
        <f>IF(J371=G371+H371-I371,"OK","Check")</f>
        <v>OK</v>
      </c>
      <c r="Q371" t="str">
        <f>IF(AND(J371&lt;=K371,L371=TRUE),"OK",IF(AND(J371&gt;K371,L371=FALSE),"OK","Check"))</f>
        <v>OK</v>
      </c>
      <c r="R371" t="str">
        <f>IF(ABS(N371-J371*M371)&lt;=J371*0.005+0.01,"OK","Check")</f>
        <v>OK</v>
      </c>
      <c r="S371" s="3">
        <f t="shared" si="5"/>
        <v>1</v>
      </c>
    </row>
    <row r="372" spans="1:19">
      <c r="A372" s="1">
        <v>46054</v>
      </c>
      <c r="B372" t="s">
        <v>276</v>
      </c>
      <c r="C372" t="s">
        <v>193</v>
      </c>
      <c r="D372" t="s">
        <v>194</v>
      </c>
      <c r="E372" t="s">
        <v>188</v>
      </c>
      <c r="F372" t="s">
        <v>23</v>
      </c>
      <c r="G372">
        <v>131</v>
      </c>
      <c r="H372">
        <v>0</v>
      </c>
      <c r="I372">
        <v>66</v>
      </c>
      <c r="J372">
        <v>65</v>
      </c>
      <c r="K372">
        <v>71</v>
      </c>
      <c r="L372" t="b">
        <v>1</v>
      </c>
      <c r="M372">
        <v>442.14</v>
      </c>
      <c r="N372">
        <v>28739.33</v>
      </c>
      <c r="O372" t="s">
        <v>27</v>
      </c>
      <c r="P372" t="str">
        <f>IF(J372=G372+H372-I372,"OK","Check")</f>
        <v>OK</v>
      </c>
      <c r="Q372" t="str">
        <f>IF(AND(J372&lt;=K372,L372=TRUE),"OK",IF(AND(J372&gt;K372,L372=FALSE),"OK","Check"))</f>
        <v>OK</v>
      </c>
      <c r="R372" t="str">
        <f>IF(ABS(N372-J372*M372)&lt;=J372*0.005+0.01,"OK","Check")</f>
        <v>OK</v>
      </c>
      <c r="S372" s="3">
        <f t="shared" si="5"/>
        <v>1</v>
      </c>
    </row>
    <row r="373" spans="1:19">
      <c r="A373" s="1">
        <v>46054</v>
      </c>
      <c r="B373" t="s">
        <v>276</v>
      </c>
      <c r="C373" t="s">
        <v>195</v>
      </c>
      <c r="D373" t="s">
        <v>196</v>
      </c>
      <c r="E373" t="s">
        <v>188</v>
      </c>
      <c r="F373" t="s">
        <v>23</v>
      </c>
      <c r="G373">
        <v>188</v>
      </c>
      <c r="H373">
        <v>274</v>
      </c>
      <c r="I373">
        <v>103</v>
      </c>
      <c r="J373">
        <v>359</v>
      </c>
      <c r="K373">
        <v>159</v>
      </c>
      <c r="L373" t="b">
        <v>0</v>
      </c>
      <c r="M373">
        <v>76.400000000000006</v>
      </c>
      <c r="N373">
        <v>27426.98</v>
      </c>
      <c r="O373" t="s">
        <v>47</v>
      </c>
      <c r="P373" t="str">
        <f>IF(J373=G373+H373-I373,"OK","Check")</f>
        <v>OK</v>
      </c>
      <c r="Q373" t="str">
        <f>IF(AND(J373&lt;=K373,L373=TRUE),"OK",IF(AND(J373&gt;K373,L373=FALSE),"OK","Check"))</f>
        <v>OK</v>
      </c>
      <c r="R373" t="str">
        <f>IF(ABS(N373-J373*M373)&lt;=J373*0.005+0.01,"OK","Check")</f>
        <v>OK</v>
      </c>
      <c r="S373" s="3">
        <f t="shared" si="5"/>
        <v>1</v>
      </c>
    </row>
    <row r="374" spans="1:19">
      <c r="A374" s="1">
        <v>46054</v>
      </c>
      <c r="B374" t="s">
        <v>276</v>
      </c>
      <c r="C374" t="s">
        <v>253</v>
      </c>
      <c r="D374" t="s">
        <v>254</v>
      </c>
      <c r="E374" t="s">
        <v>188</v>
      </c>
      <c r="F374" t="s">
        <v>23</v>
      </c>
      <c r="G374">
        <v>53</v>
      </c>
      <c r="H374">
        <v>0</v>
      </c>
      <c r="I374">
        <v>12</v>
      </c>
      <c r="J374">
        <v>41</v>
      </c>
      <c r="K374">
        <v>26</v>
      </c>
      <c r="L374" t="b">
        <v>0</v>
      </c>
      <c r="M374">
        <v>297.36</v>
      </c>
      <c r="N374">
        <v>12191.56</v>
      </c>
      <c r="O374" t="s">
        <v>60</v>
      </c>
      <c r="P374" t="str">
        <f>IF(J374=G374+H374-I374,"OK","Check")</f>
        <v>OK</v>
      </c>
      <c r="Q374" t="str">
        <f>IF(AND(J374&lt;=K374,L374=TRUE),"OK",IF(AND(J374&gt;K374,L374=FALSE),"OK","Check"))</f>
        <v>OK</v>
      </c>
      <c r="R374" t="str">
        <f>IF(ABS(N374-J374*M374)&lt;=J374*0.005+0.01,"OK","Check")</f>
        <v>OK</v>
      </c>
      <c r="S374" s="3">
        <f t="shared" si="5"/>
        <v>1</v>
      </c>
    </row>
    <row r="375" spans="1:19">
      <c r="A375" s="1">
        <v>46054</v>
      </c>
      <c r="B375" t="s">
        <v>276</v>
      </c>
      <c r="C375" t="s">
        <v>197</v>
      </c>
      <c r="D375" t="s">
        <v>198</v>
      </c>
      <c r="E375" t="s">
        <v>188</v>
      </c>
      <c r="F375" t="s">
        <v>23</v>
      </c>
      <c r="G375">
        <v>326</v>
      </c>
      <c r="H375">
        <v>736</v>
      </c>
      <c r="I375">
        <v>289</v>
      </c>
      <c r="J375">
        <v>773</v>
      </c>
      <c r="K375">
        <v>249</v>
      </c>
      <c r="L375" t="b">
        <v>0</v>
      </c>
      <c r="M375">
        <v>112.3</v>
      </c>
      <c r="N375">
        <v>86805.45</v>
      </c>
      <c r="O375" t="s">
        <v>98</v>
      </c>
      <c r="P375" t="str">
        <f>IF(J375=G375+H375-I375,"OK","Check")</f>
        <v>OK</v>
      </c>
      <c r="Q375" t="str">
        <f>IF(AND(J375&lt;=K375,L375=TRUE),"OK",IF(AND(J375&gt;K375,L375=FALSE),"OK","Check"))</f>
        <v>OK</v>
      </c>
      <c r="R375" t="str">
        <f>IF(ABS(N375-J375*M375)&lt;=J375*0.005+0.01,"OK","Check")</f>
        <v>OK</v>
      </c>
      <c r="S375" s="3">
        <f t="shared" si="5"/>
        <v>1</v>
      </c>
    </row>
    <row r="376" spans="1:19">
      <c r="A376" s="1">
        <v>46054</v>
      </c>
      <c r="B376" t="s">
        <v>276</v>
      </c>
      <c r="C376" t="s">
        <v>199</v>
      </c>
      <c r="D376" t="s">
        <v>200</v>
      </c>
      <c r="E376" t="s">
        <v>188</v>
      </c>
      <c r="F376" t="s">
        <v>23</v>
      </c>
      <c r="G376">
        <v>119</v>
      </c>
      <c r="H376">
        <v>0</v>
      </c>
      <c r="I376">
        <v>65</v>
      </c>
      <c r="J376">
        <v>54</v>
      </c>
      <c r="K376">
        <v>82</v>
      </c>
      <c r="L376" t="b">
        <v>1</v>
      </c>
      <c r="M376">
        <v>533.88</v>
      </c>
      <c r="N376">
        <v>28829.63</v>
      </c>
      <c r="O376" t="s">
        <v>98</v>
      </c>
      <c r="P376" t="str">
        <f>IF(J376=G376+H376-I376,"OK","Check")</f>
        <v>OK</v>
      </c>
      <c r="Q376" t="str">
        <f>IF(AND(J376&lt;=K376,L376=TRUE),"OK",IF(AND(J376&gt;K376,L376=FALSE),"OK","Check"))</f>
        <v>OK</v>
      </c>
      <c r="R376" t="str">
        <f>IF(ABS(N376-J376*M376)&lt;=J376*0.005+0.01,"OK","Check")</f>
        <v>OK</v>
      </c>
      <c r="S376" s="3">
        <f t="shared" si="5"/>
        <v>1</v>
      </c>
    </row>
    <row r="377" spans="1:19">
      <c r="A377" s="1">
        <v>46054</v>
      </c>
      <c r="B377" t="s">
        <v>276</v>
      </c>
      <c r="C377" t="s">
        <v>201</v>
      </c>
      <c r="D377" t="s">
        <v>202</v>
      </c>
      <c r="E377" t="s">
        <v>188</v>
      </c>
      <c r="F377" t="s">
        <v>23</v>
      </c>
      <c r="G377">
        <v>159</v>
      </c>
      <c r="H377">
        <v>0</v>
      </c>
      <c r="I377">
        <v>88</v>
      </c>
      <c r="J377">
        <v>71</v>
      </c>
      <c r="K377">
        <v>109</v>
      </c>
      <c r="L377" t="b">
        <v>1</v>
      </c>
      <c r="M377">
        <v>904.7</v>
      </c>
      <c r="N377">
        <v>64233.47</v>
      </c>
      <c r="O377" t="s">
        <v>47</v>
      </c>
      <c r="P377" t="str">
        <f>IF(J377=G377+H377-I377,"OK","Check")</f>
        <v>OK</v>
      </c>
      <c r="Q377" t="str">
        <f>IF(AND(J377&lt;=K377,L377=TRUE),"OK",IF(AND(J377&gt;K377,L377=FALSE),"OK","Check"))</f>
        <v>OK</v>
      </c>
      <c r="R377" t="str">
        <f>IF(ABS(N377-J377*M377)&lt;=J377*0.005+0.01,"OK","Check")</f>
        <v>OK</v>
      </c>
      <c r="S377" s="3">
        <f t="shared" si="5"/>
        <v>1</v>
      </c>
    </row>
    <row r="378" spans="1:19">
      <c r="A378" s="1">
        <v>46054</v>
      </c>
      <c r="B378" t="s">
        <v>276</v>
      </c>
      <c r="C378" t="s">
        <v>205</v>
      </c>
      <c r="D378" t="s">
        <v>206</v>
      </c>
      <c r="E378" t="s">
        <v>188</v>
      </c>
      <c r="F378" t="s">
        <v>23</v>
      </c>
      <c r="G378">
        <v>143</v>
      </c>
      <c r="H378">
        <v>252</v>
      </c>
      <c r="I378">
        <v>95</v>
      </c>
      <c r="J378">
        <v>300</v>
      </c>
      <c r="K378">
        <v>137</v>
      </c>
      <c r="L378" t="b">
        <v>0</v>
      </c>
      <c r="M378">
        <v>93.18</v>
      </c>
      <c r="N378">
        <v>27954.720000000001</v>
      </c>
      <c r="O378" t="s">
        <v>98</v>
      </c>
      <c r="P378" t="str">
        <f>IF(J378=G378+H378-I378,"OK","Check")</f>
        <v>OK</v>
      </c>
      <c r="Q378" t="str">
        <f>IF(AND(J378&lt;=K378,L378=TRUE),"OK",IF(AND(J378&gt;K378,L378=FALSE),"OK","Check"))</f>
        <v>OK</v>
      </c>
      <c r="R378" t="str">
        <f>IF(ABS(N378-J378*M378)&lt;=J378*0.005+0.01,"OK","Check")</f>
        <v>OK</v>
      </c>
      <c r="S378" s="3">
        <f t="shared" si="5"/>
        <v>1</v>
      </c>
    </row>
    <row r="379" spans="1:19">
      <c r="A379" s="1">
        <v>46054</v>
      </c>
      <c r="B379" t="s">
        <v>276</v>
      </c>
      <c r="C379" t="s">
        <v>255</v>
      </c>
      <c r="D379" t="s">
        <v>256</v>
      </c>
      <c r="E379" t="s">
        <v>188</v>
      </c>
      <c r="F379" t="s">
        <v>23</v>
      </c>
      <c r="G379">
        <v>314</v>
      </c>
      <c r="H379">
        <v>0</v>
      </c>
      <c r="I379">
        <v>69</v>
      </c>
      <c r="J379">
        <v>245</v>
      </c>
      <c r="K379">
        <v>154</v>
      </c>
      <c r="L379" t="b">
        <v>0</v>
      </c>
      <c r="M379">
        <v>380.89</v>
      </c>
      <c r="N379">
        <v>93317.84</v>
      </c>
      <c r="O379" t="s">
        <v>37</v>
      </c>
      <c r="P379" t="str">
        <f>IF(J379=G379+H379-I379,"OK","Check")</f>
        <v>OK</v>
      </c>
      <c r="Q379" t="str">
        <f>IF(AND(J379&lt;=K379,L379=TRUE),"OK",IF(AND(J379&gt;K379,L379=FALSE),"OK","Check"))</f>
        <v>OK</v>
      </c>
      <c r="R379" t="str">
        <f>IF(ABS(N379-J379*M379)&lt;=J379*0.005+0.01,"OK","Check")</f>
        <v>OK</v>
      </c>
      <c r="S379" s="3">
        <f t="shared" si="5"/>
        <v>1</v>
      </c>
    </row>
    <row r="380" spans="1:19">
      <c r="A380" s="1">
        <v>46054</v>
      </c>
      <c r="B380" t="s">
        <v>276</v>
      </c>
      <c r="C380" t="s">
        <v>207</v>
      </c>
      <c r="D380" t="s">
        <v>208</v>
      </c>
      <c r="E380" t="s">
        <v>188</v>
      </c>
      <c r="F380" t="s">
        <v>23</v>
      </c>
      <c r="G380">
        <v>144</v>
      </c>
      <c r="H380">
        <v>0</v>
      </c>
      <c r="I380">
        <v>79</v>
      </c>
      <c r="J380">
        <v>65</v>
      </c>
      <c r="K380">
        <v>119</v>
      </c>
      <c r="L380" t="b">
        <v>1</v>
      </c>
      <c r="M380">
        <v>69.69</v>
      </c>
      <c r="N380">
        <v>4529.7700000000004</v>
      </c>
      <c r="O380" t="s">
        <v>47</v>
      </c>
      <c r="P380" t="str">
        <f>IF(J380=G380+H380-I380,"OK","Check")</f>
        <v>OK</v>
      </c>
      <c r="Q380" t="str">
        <f>IF(AND(J380&lt;=K380,L380=TRUE),"OK",IF(AND(J380&gt;K380,L380=FALSE),"OK","Check"))</f>
        <v>OK</v>
      </c>
      <c r="R380" t="str">
        <f>IF(ABS(N380-J380*M380)&lt;=J380*0.005+0.01,"OK","Check")</f>
        <v>OK</v>
      </c>
      <c r="S380" s="3">
        <f t="shared" si="5"/>
        <v>1</v>
      </c>
    </row>
    <row r="381" spans="1:19">
      <c r="A381" s="1">
        <v>46054</v>
      </c>
      <c r="B381" t="s">
        <v>276</v>
      </c>
      <c r="C381" t="s">
        <v>209</v>
      </c>
      <c r="D381" t="s">
        <v>210</v>
      </c>
      <c r="E381" t="s">
        <v>188</v>
      </c>
      <c r="F381" t="s">
        <v>23</v>
      </c>
      <c r="G381">
        <v>147</v>
      </c>
      <c r="H381">
        <v>0</v>
      </c>
      <c r="I381">
        <v>23</v>
      </c>
      <c r="J381">
        <v>124</v>
      </c>
      <c r="K381">
        <v>99</v>
      </c>
      <c r="L381" t="b">
        <v>0</v>
      </c>
      <c r="M381">
        <v>339.31</v>
      </c>
      <c r="N381">
        <v>42074.8</v>
      </c>
      <c r="O381" t="s">
        <v>37</v>
      </c>
      <c r="P381" t="str">
        <f>IF(J381=G381+H381-I381,"OK","Check")</f>
        <v>OK</v>
      </c>
      <c r="Q381" t="str">
        <f>IF(AND(J381&lt;=K381,L381=TRUE),"OK",IF(AND(J381&gt;K381,L381=FALSE),"OK","Check"))</f>
        <v>OK</v>
      </c>
      <c r="R381" t="str">
        <f>IF(ABS(N381-J381*M381)&lt;=J381*0.005+0.01,"OK","Check")</f>
        <v>OK</v>
      </c>
      <c r="S381" s="3">
        <f t="shared" si="5"/>
        <v>1</v>
      </c>
    </row>
    <row r="382" spans="1:19">
      <c r="A382" s="1">
        <v>46054</v>
      </c>
      <c r="B382" t="s">
        <v>276</v>
      </c>
      <c r="C382" t="s">
        <v>268</v>
      </c>
      <c r="D382" t="s">
        <v>269</v>
      </c>
      <c r="E382" t="s">
        <v>188</v>
      </c>
      <c r="F382" t="s">
        <v>23</v>
      </c>
      <c r="G382">
        <v>81</v>
      </c>
      <c r="H382">
        <v>0</v>
      </c>
      <c r="I382">
        <v>53</v>
      </c>
      <c r="J382">
        <v>28</v>
      </c>
      <c r="K382">
        <v>47</v>
      </c>
      <c r="L382" t="b">
        <v>1</v>
      </c>
      <c r="M382">
        <v>42.67</v>
      </c>
      <c r="N382">
        <v>1194.67</v>
      </c>
      <c r="O382" t="s">
        <v>47</v>
      </c>
      <c r="P382" t="str">
        <f>IF(J382=G382+H382-I382,"OK","Check")</f>
        <v>OK</v>
      </c>
      <c r="Q382" t="str">
        <f>IF(AND(J382&lt;=K382,L382=TRUE),"OK",IF(AND(J382&gt;K382,L382=FALSE),"OK","Check"))</f>
        <v>OK</v>
      </c>
      <c r="R382" t="str">
        <f>IF(ABS(N382-J382*M382)&lt;=J382*0.005+0.01,"OK","Check")</f>
        <v>OK</v>
      </c>
      <c r="S382" s="3">
        <f t="shared" si="5"/>
        <v>1</v>
      </c>
    </row>
    <row r="383" spans="1:19">
      <c r="A383" s="1">
        <v>46054</v>
      </c>
      <c r="B383" t="s">
        <v>276</v>
      </c>
      <c r="C383" t="s">
        <v>270</v>
      </c>
      <c r="D383" t="s">
        <v>271</v>
      </c>
      <c r="E383" t="s">
        <v>188</v>
      </c>
      <c r="F383" t="s">
        <v>23</v>
      </c>
      <c r="G383">
        <v>278</v>
      </c>
      <c r="H383">
        <v>244</v>
      </c>
      <c r="I383">
        <v>144</v>
      </c>
      <c r="J383">
        <v>378</v>
      </c>
      <c r="K383">
        <v>147</v>
      </c>
      <c r="L383" t="b">
        <v>0</v>
      </c>
      <c r="M383">
        <v>175.07</v>
      </c>
      <c r="N383">
        <v>66176.320000000007</v>
      </c>
      <c r="O383" t="s">
        <v>24</v>
      </c>
      <c r="P383" t="str">
        <f>IF(J383=G383+H383-I383,"OK","Check")</f>
        <v>OK</v>
      </c>
      <c r="Q383" t="str">
        <f>IF(AND(J383&lt;=K383,L383=TRUE),"OK",IF(AND(J383&gt;K383,L383=FALSE),"OK","Check"))</f>
        <v>OK</v>
      </c>
      <c r="R383" t="str">
        <f>IF(ABS(N383-J383*M383)&lt;=J383*0.005+0.01,"OK","Check")</f>
        <v>OK</v>
      </c>
      <c r="S383" s="3">
        <f t="shared" si="5"/>
        <v>1</v>
      </c>
    </row>
    <row r="384" spans="1:19">
      <c r="A384" s="1">
        <v>46054</v>
      </c>
      <c r="B384" t="s">
        <v>276</v>
      </c>
      <c r="C384" t="s">
        <v>213</v>
      </c>
      <c r="D384" t="s">
        <v>214</v>
      </c>
      <c r="E384" t="s">
        <v>188</v>
      </c>
      <c r="F384" t="s">
        <v>23</v>
      </c>
      <c r="G384">
        <v>418</v>
      </c>
      <c r="H384">
        <v>0</v>
      </c>
      <c r="I384">
        <v>154</v>
      </c>
      <c r="J384">
        <v>264</v>
      </c>
      <c r="K384">
        <v>270</v>
      </c>
      <c r="L384" t="b">
        <v>1</v>
      </c>
      <c r="M384">
        <v>339.36</v>
      </c>
      <c r="N384">
        <v>89591.17</v>
      </c>
      <c r="O384" t="s">
        <v>44</v>
      </c>
      <c r="P384" t="str">
        <f>IF(J384=G384+H384-I384,"OK","Check")</f>
        <v>OK</v>
      </c>
      <c r="Q384" t="str">
        <f>IF(AND(J384&lt;=K384,L384=TRUE),"OK",IF(AND(J384&gt;K384,L384=FALSE),"OK","Check"))</f>
        <v>OK</v>
      </c>
      <c r="R384" t="str">
        <f>IF(ABS(N384-J384*M384)&lt;=J384*0.005+0.01,"OK","Check")</f>
        <v>OK</v>
      </c>
      <c r="S384" s="3">
        <f t="shared" si="5"/>
        <v>1</v>
      </c>
    </row>
    <row r="385" spans="1:19">
      <c r="A385" s="1">
        <v>46054</v>
      </c>
      <c r="B385" t="s">
        <v>276</v>
      </c>
      <c r="C385" t="s">
        <v>217</v>
      </c>
      <c r="D385" t="s">
        <v>218</v>
      </c>
      <c r="E385" t="s">
        <v>219</v>
      </c>
      <c r="F385" t="s">
        <v>23</v>
      </c>
      <c r="G385">
        <v>66</v>
      </c>
      <c r="H385">
        <v>127</v>
      </c>
      <c r="I385">
        <v>45</v>
      </c>
      <c r="J385">
        <v>148</v>
      </c>
      <c r="K385">
        <v>67</v>
      </c>
      <c r="L385" t="b">
        <v>0</v>
      </c>
      <c r="M385">
        <v>18.79</v>
      </c>
      <c r="N385">
        <v>2781.38</v>
      </c>
      <c r="O385" t="s">
        <v>37</v>
      </c>
      <c r="P385" t="str">
        <f>IF(J385=G385+H385-I385,"OK","Check")</f>
        <v>OK</v>
      </c>
      <c r="Q385" t="str">
        <f>IF(AND(J385&lt;=K385,L385=TRUE),"OK",IF(AND(J385&gt;K385,L385=FALSE),"OK","Check"))</f>
        <v>OK</v>
      </c>
      <c r="R385" t="str">
        <f>IF(ABS(N385-J385*M385)&lt;=J385*0.005+0.01,"OK","Check")</f>
        <v>OK</v>
      </c>
      <c r="S385" s="3">
        <f t="shared" si="5"/>
        <v>1</v>
      </c>
    </row>
    <row r="386" spans="1:19">
      <c r="A386" s="1">
        <v>46054</v>
      </c>
      <c r="B386" t="s">
        <v>276</v>
      </c>
      <c r="C386" t="s">
        <v>220</v>
      </c>
      <c r="D386" t="s">
        <v>221</v>
      </c>
      <c r="E386" t="s">
        <v>219</v>
      </c>
      <c r="F386" t="s">
        <v>23</v>
      </c>
      <c r="G386">
        <v>239</v>
      </c>
      <c r="H386">
        <v>0</v>
      </c>
      <c r="I386">
        <v>157</v>
      </c>
      <c r="J386">
        <v>82</v>
      </c>
      <c r="K386">
        <v>165</v>
      </c>
      <c r="L386" t="b">
        <v>1</v>
      </c>
      <c r="M386">
        <v>85.15</v>
      </c>
      <c r="N386">
        <v>6982.17</v>
      </c>
      <c r="O386" t="s">
        <v>60</v>
      </c>
      <c r="P386" t="str">
        <f>IF(J386=G386+H386-I386,"OK","Check")</f>
        <v>OK</v>
      </c>
      <c r="Q386" t="str">
        <f>IF(AND(J386&lt;=K386,L386=TRUE),"OK",IF(AND(J386&gt;K386,L386=FALSE),"OK","Check"))</f>
        <v>OK</v>
      </c>
      <c r="R386" t="str">
        <f>IF(ABS(N386-J386*M386)&lt;=J386*0.005+0.01,"OK","Check")</f>
        <v>OK</v>
      </c>
      <c r="S386" s="3">
        <f t="shared" ref="S386:S449" si="6">COUNTIFS(A:A,A386,B:B,B386,C:C,C386)</f>
        <v>1</v>
      </c>
    </row>
    <row r="387" spans="1:19">
      <c r="A387" s="1">
        <v>46054</v>
      </c>
      <c r="B387" t="s">
        <v>276</v>
      </c>
      <c r="C387" t="s">
        <v>222</v>
      </c>
      <c r="D387" t="s">
        <v>223</v>
      </c>
      <c r="E387" t="s">
        <v>219</v>
      </c>
      <c r="F387" t="s">
        <v>23</v>
      </c>
      <c r="G387">
        <v>72</v>
      </c>
      <c r="H387">
        <v>0</v>
      </c>
      <c r="I387">
        <v>28</v>
      </c>
      <c r="J387">
        <v>44</v>
      </c>
      <c r="K387">
        <v>22</v>
      </c>
      <c r="L387" t="b">
        <v>0</v>
      </c>
      <c r="M387">
        <v>45.74</v>
      </c>
      <c r="N387">
        <v>2012.54</v>
      </c>
      <c r="O387" t="s">
        <v>37</v>
      </c>
      <c r="P387" t="str">
        <f>IF(J387=G387+H387-I387,"OK","Check")</f>
        <v>OK</v>
      </c>
      <c r="Q387" t="str">
        <f>IF(AND(J387&lt;=K387,L387=TRUE),"OK",IF(AND(J387&gt;K387,L387=FALSE),"OK","Check"))</f>
        <v>OK</v>
      </c>
      <c r="R387" t="str">
        <f>IF(ABS(N387-J387*M387)&lt;=J387*0.005+0.01,"OK","Check")</f>
        <v>OK</v>
      </c>
      <c r="S387" s="3">
        <f t="shared" si="6"/>
        <v>1</v>
      </c>
    </row>
    <row r="388" spans="1:19">
      <c r="A388" s="1">
        <v>46054</v>
      </c>
      <c r="B388" t="s">
        <v>276</v>
      </c>
      <c r="C388" t="s">
        <v>272</v>
      </c>
      <c r="D388" t="s">
        <v>273</v>
      </c>
      <c r="E388" t="s">
        <v>219</v>
      </c>
      <c r="F388" t="s">
        <v>23</v>
      </c>
      <c r="G388">
        <v>277</v>
      </c>
      <c r="H388">
        <v>0</v>
      </c>
      <c r="I388">
        <v>101</v>
      </c>
      <c r="J388">
        <v>176</v>
      </c>
      <c r="K388">
        <v>202</v>
      </c>
      <c r="L388" t="b">
        <v>1</v>
      </c>
      <c r="M388">
        <v>1867.75</v>
      </c>
      <c r="N388">
        <v>328724.64</v>
      </c>
      <c r="O388" t="s">
        <v>98</v>
      </c>
      <c r="P388" t="str">
        <f>IF(J388=G388+H388-I388,"OK","Check")</f>
        <v>OK</v>
      </c>
      <c r="Q388" t="str">
        <f>IF(AND(J388&lt;=K388,L388=TRUE),"OK",IF(AND(J388&gt;K388,L388=FALSE),"OK","Check"))</f>
        <v>OK</v>
      </c>
      <c r="R388" t="str">
        <f>IF(ABS(N388-J388*M388)&lt;=J388*0.005+0.01,"OK","Check")</f>
        <v>OK</v>
      </c>
      <c r="S388" s="3">
        <f t="shared" si="6"/>
        <v>1</v>
      </c>
    </row>
    <row r="389" spans="1:19">
      <c r="A389" s="1">
        <v>46054</v>
      </c>
      <c r="B389" t="s">
        <v>276</v>
      </c>
      <c r="C389" t="s">
        <v>228</v>
      </c>
      <c r="D389" t="s">
        <v>229</v>
      </c>
      <c r="E389" t="s">
        <v>219</v>
      </c>
      <c r="F389" t="s">
        <v>23</v>
      </c>
      <c r="G389">
        <v>63</v>
      </c>
      <c r="H389">
        <v>211</v>
      </c>
      <c r="I389">
        <v>50</v>
      </c>
      <c r="J389">
        <v>224</v>
      </c>
      <c r="K389">
        <v>80</v>
      </c>
      <c r="L389" t="b">
        <v>0</v>
      </c>
      <c r="M389">
        <v>45.05</v>
      </c>
      <c r="N389">
        <v>10091.56</v>
      </c>
      <c r="O389" t="s">
        <v>44</v>
      </c>
      <c r="P389" t="str">
        <f>IF(J389=G389+H389-I389,"OK","Check")</f>
        <v>OK</v>
      </c>
      <c r="Q389" t="str">
        <f>IF(AND(J389&lt;=K389,L389=TRUE),"OK",IF(AND(J389&gt;K389,L389=FALSE),"OK","Check"))</f>
        <v>OK</v>
      </c>
      <c r="R389" t="str">
        <f>IF(ABS(N389-J389*M389)&lt;=J389*0.005+0.01,"OK","Check")</f>
        <v>OK</v>
      </c>
      <c r="S389" s="3">
        <f t="shared" si="6"/>
        <v>1</v>
      </c>
    </row>
    <row r="390" spans="1:19">
      <c r="A390" s="1">
        <v>46054</v>
      </c>
      <c r="B390" t="s">
        <v>276</v>
      </c>
      <c r="C390" t="s">
        <v>230</v>
      </c>
      <c r="D390" t="s">
        <v>231</v>
      </c>
      <c r="E390" t="s">
        <v>219</v>
      </c>
      <c r="F390" t="s">
        <v>23</v>
      </c>
      <c r="G390">
        <v>213</v>
      </c>
      <c r="H390">
        <v>0</v>
      </c>
      <c r="I390">
        <v>88</v>
      </c>
      <c r="J390">
        <v>125</v>
      </c>
      <c r="K390">
        <v>112</v>
      </c>
      <c r="L390" t="b">
        <v>0</v>
      </c>
      <c r="M390">
        <v>211.82</v>
      </c>
      <c r="N390">
        <v>26477.99</v>
      </c>
      <c r="O390" t="s">
        <v>32</v>
      </c>
      <c r="P390" t="str">
        <f>IF(J390=G390+H390-I390,"OK","Check")</f>
        <v>OK</v>
      </c>
      <c r="Q390" t="str">
        <f>IF(AND(J390&lt;=K390,L390=TRUE),"OK",IF(AND(J390&gt;K390,L390=FALSE),"OK","Check"))</f>
        <v>OK</v>
      </c>
      <c r="R390" t="str">
        <f>IF(ABS(N390-J390*M390)&lt;=J390*0.005+0.01,"OK","Check")</f>
        <v>OK</v>
      </c>
      <c r="S390" s="3">
        <f t="shared" si="6"/>
        <v>1</v>
      </c>
    </row>
    <row r="391" spans="1:19">
      <c r="A391" s="1">
        <v>46054</v>
      </c>
      <c r="B391" t="s">
        <v>276</v>
      </c>
      <c r="C391" t="s">
        <v>232</v>
      </c>
      <c r="D391" t="s">
        <v>233</v>
      </c>
      <c r="E391" t="s">
        <v>219</v>
      </c>
      <c r="F391" t="s">
        <v>23</v>
      </c>
      <c r="G391">
        <v>115</v>
      </c>
      <c r="H391">
        <v>302</v>
      </c>
      <c r="I391">
        <v>125</v>
      </c>
      <c r="J391">
        <v>292</v>
      </c>
      <c r="K391">
        <v>130</v>
      </c>
      <c r="L391" t="b">
        <v>0</v>
      </c>
      <c r="M391">
        <v>161.65</v>
      </c>
      <c r="N391">
        <v>47202.559999999998</v>
      </c>
      <c r="O391" t="s">
        <v>32</v>
      </c>
      <c r="P391" t="str">
        <f>IF(J391=G391+H391-I391,"OK","Check")</f>
        <v>OK</v>
      </c>
      <c r="Q391" t="str">
        <f>IF(AND(J391&lt;=K391,L391=TRUE),"OK",IF(AND(J391&gt;K391,L391=FALSE),"OK","Check"))</f>
        <v>OK</v>
      </c>
      <c r="R391" t="str">
        <f>IF(ABS(N391-J391*M391)&lt;=J391*0.005+0.01,"OK","Check")</f>
        <v>OK</v>
      </c>
      <c r="S391" s="3">
        <f t="shared" si="6"/>
        <v>1</v>
      </c>
    </row>
    <row r="392" spans="1:19">
      <c r="A392" s="1">
        <v>46054</v>
      </c>
      <c r="B392" t="s">
        <v>276</v>
      </c>
      <c r="C392" t="s">
        <v>257</v>
      </c>
      <c r="D392" t="s">
        <v>258</v>
      </c>
      <c r="E392" t="s">
        <v>219</v>
      </c>
      <c r="F392" t="s">
        <v>23</v>
      </c>
      <c r="G392">
        <v>27</v>
      </c>
      <c r="H392">
        <v>0</v>
      </c>
      <c r="I392">
        <v>12</v>
      </c>
      <c r="J392">
        <v>15</v>
      </c>
      <c r="K392">
        <v>20</v>
      </c>
      <c r="L392" t="b">
        <v>1</v>
      </c>
      <c r="M392">
        <v>806.28</v>
      </c>
      <c r="N392">
        <v>12094.27</v>
      </c>
      <c r="O392" t="s">
        <v>47</v>
      </c>
      <c r="P392" t="str">
        <f>IF(J392=G392+H392-I392,"OK","Check")</f>
        <v>OK</v>
      </c>
      <c r="Q392" t="str">
        <f>IF(AND(J392&lt;=K392,L392=TRUE),"OK",IF(AND(J392&gt;K392,L392=FALSE),"OK","Check"))</f>
        <v>OK</v>
      </c>
      <c r="R392" t="str">
        <f>IF(ABS(N392-J392*M392)&lt;=J392*0.005+0.01,"OK","Check")</f>
        <v>OK</v>
      </c>
      <c r="S392" s="3">
        <f t="shared" si="6"/>
        <v>1</v>
      </c>
    </row>
    <row r="393" spans="1:19">
      <c r="A393" s="1">
        <v>46054</v>
      </c>
      <c r="B393" t="s">
        <v>276</v>
      </c>
      <c r="C393" t="s">
        <v>259</v>
      </c>
      <c r="D393" t="s">
        <v>260</v>
      </c>
      <c r="E393" t="s">
        <v>219</v>
      </c>
      <c r="F393" t="s">
        <v>23</v>
      </c>
      <c r="G393">
        <v>43</v>
      </c>
      <c r="H393">
        <v>0</v>
      </c>
      <c r="I393">
        <v>19</v>
      </c>
      <c r="J393">
        <v>24</v>
      </c>
      <c r="K393">
        <v>25</v>
      </c>
      <c r="L393" t="b">
        <v>1</v>
      </c>
      <c r="M393">
        <v>551.84</v>
      </c>
      <c r="N393">
        <v>13244.19</v>
      </c>
      <c r="O393" t="s">
        <v>60</v>
      </c>
      <c r="P393" t="str">
        <f>IF(J393=G393+H393-I393,"OK","Check")</f>
        <v>OK</v>
      </c>
      <c r="Q393" t="str">
        <f>IF(AND(J393&lt;=K393,L393=TRUE),"OK",IF(AND(J393&gt;K393,L393=FALSE),"OK","Check"))</f>
        <v>OK</v>
      </c>
      <c r="R393" t="str">
        <f>IF(ABS(N393-J393*M393)&lt;=J393*0.005+0.01,"OK","Check")</f>
        <v>OK</v>
      </c>
      <c r="S393" s="3">
        <f t="shared" si="6"/>
        <v>1</v>
      </c>
    </row>
    <row r="394" spans="1:19">
      <c r="A394" s="1">
        <v>46054</v>
      </c>
      <c r="B394" t="s">
        <v>276</v>
      </c>
      <c r="C394" t="s">
        <v>234</v>
      </c>
      <c r="D394" t="s">
        <v>235</v>
      </c>
      <c r="E394" t="s">
        <v>219</v>
      </c>
      <c r="F394" t="s">
        <v>23</v>
      </c>
      <c r="G394">
        <v>240</v>
      </c>
      <c r="H394">
        <v>0</v>
      </c>
      <c r="I394">
        <v>228</v>
      </c>
      <c r="J394">
        <v>12</v>
      </c>
      <c r="K394">
        <v>176</v>
      </c>
      <c r="L394" t="b">
        <v>1</v>
      </c>
      <c r="M394">
        <v>2224.0300000000002</v>
      </c>
      <c r="N394">
        <v>26688.39</v>
      </c>
      <c r="O394" t="s">
        <v>47</v>
      </c>
      <c r="P394" t="str">
        <f>IF(J394=G394+H394-I394,"OK","Check")</f>
        <v>OK</v>
      </c>
      <c r="Q394" t="str">
        <f>IF(AND(J394&lt;=K394,L394=TRUE),"OK",IF(AND(J394&gt;K394,L394=FALSE),"OK","Check"))</f>
        <v>OK</v>
      </c>
      <c r="R394" t="str">
        <f>IF(ABS(N394-J394*M394)&lt;=J394*0.005+0.01,"OK","Check")</f>
        <v>OK</v>
      </c>
      <c r="S394" s="3">
        <f t="shared" si="6"/>
        <v>1</v>
      </c>
    </row>
    <row r="395" spans="1:19">
      <c r="A395" s="1">
        <v>46054</v>
      </c>
      <c r="B395" t="s">
        <v>276</v>
      </c>
      <c r="C395" t="s">
        <v>261</v>
      </c>
      <c r="D395" t="s">
        <v>262</v>
      </c>
      <c r="E395" t="s">
        <v>219</v>
      </c>
      <c r="F395" t="s">
        <v>23</v>
      </c>
      <c r="G395">
        <v>142</v>
      </c>
      <c r="H395">
        <v>0</v>
      </c>
      <c r="I395">
        <v>52</v>
      </c>
      <c r="J395">
        <v>90</v>
      </c>
      <c r="K395">
        <v>63</v>
      </c>
      <c r="L395" t="b">
        <v>0</v>
      </c>
      <c r="M395">
        <v>286.04000000000002</v>
      </c>
      <c r="N395">
        <v>25743.55</v>
      </c>
      <c r="O395" t="s">
        <v>60</v>
      </c>
      <c r="P395" t="str">
        <f>IF(J395=G395+H395-I395,"OK","Check")</f>
        <v>OK</v>
      </c>
      <c r="Q395" t="str">
        <f>IF(AND(J395&lt;=K395,L395=TRUE),"OK",IF(AND(J395&gt;K395,L395=FALSE),"OK","Check"))</f>
        <v>OK</v>
      </c>
      <c r="R395" t="str">
        <f>IF(ABS(N395-J395*M395)&lt;=J395*0.005+0.01,"OK","Check")</f>
        <v>OK</v>
      </c>
      <c r="S395" s="3">
        <f t="shared" si="6"/>
        <v>1</v>
      </c>
    </row>
    <row r="396" spans="1:19">
      <c r="A396" s="1">
        <v>46054</v>
      </c>
      <c r="B396" t="s">
        <v>276</v>
      </c>
      <c r="C396" t="s">
        <v>277</v>
      </c>
      <c r="D396" t="s">
        <v>278</v>
      </c>
      <c r="E396" t="s">
        <v>219</v>
      </c>
      <c r="F396" t="s">
        <v>23</v>
      </c>
      <c r="G396">
        <v>174</v>
      </c>
      <c r="H396">
        <v>0</v>
      </c>
      <c r="I396">
        <v>55</v>
      </c>
      <c r="J396">
        <v>119</v>
      </c>
      <c r="K396">
        <v>102</v>
      </c>
      <c r="L396" t="b">
        <v>0</v>
      </c>
      <c r="M396">
        <v>1397.94</v>
      </c>
      <c r="N396">
        <v>166354.93</v>
      </c>
      <c r="O396" t="s">
        <v>44</v>
      </c>
      <c r="P396" t="str">
        <f>IF(J396=G396+H396-I396,"OK","Check")</f>
        <v>OK</v>
      </c>
      <c r="Q396" t="str">
        <f>IF(AND(J396&lt;=K396,L396=TRUE),"OK",IF(AND(J396&gt;K396,L396=FALSE),"OK","Check"))</f>
        <v>OK</v>
      </c>
      <c r="R396" t="str">
        <f>IF(ABS(N396-J396*M396)&lt;=J396*0.005+0.01,"OK","Check")</f>
        <v>OK</v>
      </c>
      <c r="S396" s="3">
        <f t="shared" si="6"/>
        <v>1</v>
      </c>
    </row>
    <row r="397" spans="1:19">
      <c r="A397" s="1">
        <v>46054</v>
      </c>
      <c r="B397" t="s">
        <v>276</v>
      </c>
      <c r="C397" t="s">
        <v>236</v>
      </c>
      <c r="D397" t="s">
        <v>237</v>
      </c>
      <c r="E397" t="s">
        <v>219</v>
      </c>
      <c r="F397" t="s">
        <v>23</v>
      </c>
      <c r="G397">
        <v>516</v>
      </c>
      <c r="H397">
        <v>0</v>
      </c>
      <c r="I397">
        <v>313</v>
      </c>
      <c r="J397">
        <v>203</v>
      </c>
      <c r="K397">
        <v>208</v>
      </c>
      <c r="L397" t="b">
        <v>1</v>
      </c>
      <c r="M397">
        <v>1082.4100000000001</v>
      </c>
      <c r="N397">
        <v>219728.89</v>
      </c>
      <c r="O397" t="s">
        <v>98</v>
      </c>
      <c r="P397" t="str">
        <f>IF(J397=G397+H397-I397,"OK","Check")</f>
        <v>OK</v>
      </c>
      <c r="Q397" t="str">
        <f>IF(AND(J397&lt;=K397,L397=TRUE),"OK",IF(AND(J397&gt;K397,L397=FALSE),"OK","Check"))</f>
        <v>OK</v>
      </c>
      <c r="R397" t="str">
        <f>IF(ABS(N397-J397*M397)&lt;=J397*0.005+0.01,"OK","Check")</f>
        <v>OK</v>
      </c>
      <c r="S397" s="3">
        <f t="shared" si="6"/>
        <v>1</v>
      </c>
    </row>
    <row r="398" spans="1:19">
      <c r="A398" s="1">
        <v>46054</v>
      </c>
      <c r="B398" t="s">
        <v>276</v>
      </c>
      <c r="C398" t="s">
        <v>263</v>
      </c>
      <c r="D398" t="s">
        <v>264</v>
      </c>
      <c r="E398" t="s">
        <v>219</v>
      </c>
      <c r="F398" t="s">
        <v>23</v>
      </c>
      <c r="G398">
        <v>375</v>
      </c>
      <c r="H398">
        <v>431</v>
      </c>
      <c r="I398">
        <v>61</v>
      </c>
      <c r="J398">
        <v>745</v>
      </c>
      <c r="K398">
        <v>208</v>
      </c>
      <c r="L398" t="b">
        <v>0</v>
      </c>
      <c r="M398">
        <v>32.15</v>
      </c>
      <c r="N398">
        <v>23955.11</v>
      </c>
      <c r="O398" t="s">
        <v>27</v>
      </c>
      <c r="P398" t="str">
        <f>IF(J398=G398+H398-I398,"OK","Check")</f>
        <v>OK</v>
      </c>
      <c r="Q398" t="str">
        <f>IF(AND(J398&lt;=K398,L398=TRUE),"OK",IF(AND(J398&gt;K398,L398=FALSE),"OK","Check"))</f>
        <v>OK</v>
      </c>
      <c r="R398" t="str">
        <f>IF(ABS(N398-J398*M398)&lt;=J398*0.005+0.01,"OK","Check")</f>
        <v>OK</v>
      </c>
      <c r="S398" s="3">
        <f t="shared" si="6"/>
        <v>1</v>
      </c>
    </row>
    <row r="399" spans="1:19">
      <c r="A399" s="1">
        <v>46054</v>
      </c>
      <c r="B399" t="s">
        <v>276</v>
      </c>
      <c r="C399" t="s">
        <v>238</v>
      </c>
      <c r="D399" t="s">
        <v>239</v>
      </c>
      <c r="E399" t="s">
        <v>219</v>
      </c>
      <c r="F399" t="s">
        <v>23</v>
      </c>
      <c r="G399">
        <v>103</v>
      </c>
      <c r="H399">
        <v>289</v>
      </c>
      <c r="I399">
        <v>79</v>
      </c>
      <c r="J399">
        <v>313</v>
      </c>
      <c r="K399">
        <v>110</v>
      </c>
      <c r="L399" t="b">
        <v>0</v>
      </c>
      <c r="M399">
        <v>145.19999999999999</v>
      </c>
      <c r="N399">
        <v>45448.94</v>
      </c>
      <c r="O399" t="s">
        <v>32</v>
      </c>
      <c r="P399" t="str">
        <f>IF(J399=G399+H399-I399,"OK","Check")</f>
        <v>OK</v>
      </c>
      <c r="Q399" t="str">
        <f>IF(AND(J399&lt;=K399,L399=TRUE),"OK",IF(AND(J399&gt;K399,L399=FALSE),"OK","Check"))</f>
        <v>OK</v>
      </c>
      <c r="R399" t="str">
        <f>IF(ABS(N399-J399*M399)&lt;=J399*0.005+0.01,"OK","Check")</f>
        <v>OK</v>
      </c>
      <c r="S399" s="3">
        <f t="shared" si="6"/>
        <v>1</v>
      </c>
    </row>
    <row r="400" spans="1:19">
      <c r="A400" s="1">
        <v>46054</v>
      </c>
      <c r="B400" t="s">
        <v>276</v>
      </c>
      <c r="C400" t="s">
        <v>240</v>
      </c>
      <c r="D400" t="s">
        <v>241</v>
      </c>
      <c r="E400" t="s">
        <v>219</v>
      </c>
      <c r="F400" t="s">
        <v>23</v>
      </c>
      <c r="G400">
        <v>93</v>
      </c>
      <c r="H400">
        <v>0</v>
      </c>
      <c r="I400">
        <v>34</v>
      </c>
      <c r="J400">
        <v>59</v>
      </c>
      <c r="K400">
        <v>57</v>
      </c>
      <c r="L400" t="b">
        <v>0</v>
      </c>
      <c r="M400">
        <v>63.41</v>
      </c>
      <c r="N400">
        <v>3741.34</v>
      </c>
      <c r="O400" t="s">
        <v>27</v>
      </c>
      <c r="P400" t="str">
        <f>IF(J400=G400+H400-I400,"OK","Check")</f>
        <v>OK</v>
      </c>
      <c r="Q400" t="str">
        <f>IF(AND(J400&lt;=K400,L400=TRUE),"OK",IF(AND(J400&gt;K400,L400=FALSE),"OK","Check"))</f>
        <v>OK</v>
      </c>
      <c r="R400" t="str">
        <f>IF(ABS(N400-J400*M400)&lt;=J400*0.005+0.01,"OK","Check")</f>
        <v>OK</v>
      </c>
      <c r="S400" s="3">
        <f t="shared" si="6"/>
        <v>1</v>
      </c>
    </row>
    <row r="401" spans="1:19">
      <c r="A401" s="1">
        <v>46054</v>
      </c>
      <c r="B401" t="s">
        <v>276</v>
      </c>
      <c r="C401" t="s">
        <v>242</v>
      </c>
      <c r="D401" t="s">
        <v>243</v>
      </c>
      <c r="E401" t="s">
        <v>219</v>
      </c>
      <c r="F401" t="s">
        <v>23</v>
      </c>
      <c r="G401">
        <v>155</v>
      </c>
      <c r="H401">
        <v>293</v>
      </c>
      <c r="I401">
        <v>155</v>
      </c>
      <c r="J401">
        <v>293</v>
      </c>
      <c r="K401">
        <v>183</v>
      </c>
      <c r="L401" t="b">
        <v>0</v>
      </c>
      <c r="M401">
        <v>277.55</v>
      </c>
      <c r="N401">
        <v>81323.44</v>
      </c>
      <c r="O401" t="s">
        <v>60</v>
      </c>
      <c r="P401" t="str">
        <f>IF(J401=G401+H401-I401,"OK","Check")</f>
        <v>OK</v>
      </c>
      <c r="Q401" t="str">
        <f>IF(AND(J401&lt;=K401,L401=TRUE),"OK",IF(AND(J401&gt;K401,L401=FALSE),"OK","Check"))</f>
        <v>OK</v>
      </c>
      <c r="R401" t="str">
        <f>IF(ABS(N401-J401*M401)&lt;=J401*0.005+0.01,"OK","Check")</f>
        <v>OK</v>
      </c>
      <c r="S401" s="3">
        <f t="shared" si="6"/>
        <v>1</v>
      </c>
    </row>
    <row r="402" spans="1:19">
      <c r="A402" s="1">
        <v>46054</v>
      </c>
      <c r="B402" t="s">
        <v>279</v>
      </c>
      <c r="C402" t="s">
        <v>20</v>
      </c>
      <c r="D402" t="s">
        <v>21</v>
      </c>
      <c r="E402" t="s">
        <v>22</v>
      </c>
      <c r="F402" t="s">
        <v>23</v>
      </c>
      <c r="G402">
        <v>64</v>
      </c>
      <c r="H402">
        <v>0</v>
      </c>
      <c r="I402">
        <v>25</v>
      </c>
      <c r="J402">
        <v>39</v>
      </c>
      <c r="K402">
        <v>22</v>
      </c>
      <c r="L402" t="b">
        <v>0</v>
      </c>
      <c r="M402">
        <v>280.14999999999998</v>
      </c>
      <c r="N402">
        <v>10925.96</v>
      </c>
      <c r="O402" t="s">
        <v>24</v>
      </c>
      <c r="P402" t="str">
        <f>IF(J402=G402+H402-I402,"OK","Check")</f>
        <v>OK</v>
      </c>
      <c r="Q402" t="str">
        <f>IF(AND(J402&lt;=K402,L402=TRUE),"OK",IF(AND(J402&gt;K402,L402=FALSE),"OK","Check"))</f>
        <v>OK</v>
      </c>
      <c r="R402" t="str">
        <f>IF(ABS(N402-J402*M402)&lt;=J402*0.005+0.01,"OK","Check")</f>
        <v>OK</v>
      </c>
      <c r="S402" s="3">
        <f t="shared" si="6"/>
        <v>1</v>
      </c>
    </row>
    <row r="403" spans="1:19">
      <c r="A403" s="1">
        <v>46054</v>
      </c>
      <c r="B403" t="s">
        <v>279</v>
      </c>
      <c r="C403" t="s">
        <v>25</v>
      </c>
      <c r="D403" t="s">
        <v>26</v>
      </c>
      <c r="E403" t="s">
        <v>22</v>
      </c>
      <c r="F403" t="s">
        <v>23</v>
      </c>
      <c r="G403">
        <v>129</v>
      </c>
      <c r="H403">
        <v>0</v>
      </c>
      <c r="I403">
        <v>129</v>
      </c>
      <c r="J403">
        <v>0</v>
      </c>
      <c r="K403">
        <v>93</v>
      </c>
      <c r="L403" t="b">
        <v>1</v>
      </c>
      <c r="M403">
        <v>1297.8</v>
      </c>
      <c r="N403">
        <v>0</v>
      </c>
      <c r="O403" t="s">
        <v>27</v>
      </c>
      <c r="P403" t="str">
        <f>IF(J403=G403+H403-I403,"OK","Check")</f>
        <v>OK</v>
      </c>
      <c r="Q403" t="str">
        <f>IF(AND(J403&lt;=K403,L403=TRUE),"OK",IF(AND(J403&gt;K403,L403=FALSE),"OK","Check"))</f>
        <v>OK</v>
      </c>
      <c r="R403" t="str">
        <f>IF(ABS(N403-J403*M403)&lt;=J403*0.005+0.01,"OK","Check")</f>
        <v>OK</v>
      </c>
      <c r="S403" s="3">
        <f t="shared" si="6"/>
        <v>1</v>
      </c>
    </row>
    <row r="404" spans="1:19">
      <c r="A404" s="1">
        <v>46054</v>
      </c>
      <c r="B404" t="s">
        <v>279</v>
      </c>
      <c r="C404" t="s">
        <v>28</v>
      </c>
      <c r="D404" t="s">
        <v>29</v>
      </c>
      <c r="E404" t="s">
        <v>22</v>
      </c>
      <c r="F404" t="s">
        <v>23</v>
      </c>
      <c r="G404">
        <v>212</v>
      </c>
      <c r="H404">
        <v>677</v>
      </c>
      <c r="I404">
        <v>254</v>
      </c>
      <c r="J404">
        <v>635</v>
      </c>
      <c r="K404">
        <v>238</v>
      </c>
      <c r="L404" t="b">
        <v>0</v>
      </c>
      <c r="M404">
        <v>97.72</v>
      </c>
      <c r="N404">
        <v>62050.8</v>
      </c>
      <c r="O404" t="s">
        <v>24</v>
      </c>
      <c r="P404" t="str">
        <f>IF(J404=G404+H404-I404,"OK","Check")</f>
        <v>OK</v>
      </c>
      <c r="Q404" t="str">
        <f>IF(AND(J404&lt;=K404,L404=TRUE),"OK",IF(AND(J404&gt;K404,L404=FALSE),"OK","Check"))</f>
        <v>OK</v>
      </c>
      <c r="R404" t="str">
        <f>IF(ABS(N404-J404*M404)&lt;=J404*0.005+0.01,"OK","Check")</f>
        <v>OK</v>
      </c>
      <c r="S404" s="3">
        <f t="shared" si="6"/>
        <v>1</v>
      </c>
    </row>
    <row r="405" spans="1:19">
      <c r="A405" s="1">
        <v>46054</v>
      </c>
      <c r="B405" t="s">
        <v>279</v>
      </c>
      <c r="C405" t="s">
        <v>30</v>
      </c>
      <c r="D405" t="s">
        <v>31</v>
      </c>
      <c r="E405" t="s">
        <v>22</v>
      </c>
      <c r="F405" t="s">
        <v>23</v>
      </c>
      <c r="G405">
        <v>172</v>
      </c>
      <c r="H405">
        <v>0</v>
      </c>
      <c r="I405">
        <v>78</v>
      </c>
      <c r="J405">
        <v>94</v>
      </c>
      <c r="K405">
        <v>117</v>
      </c>
      <c r="L405" t="b">
        <v>1</v>
      </c>
      <c r="M405">
        <v>434.89</v>
      </c>
      <c r="N405">
        <v>40879.35</v>
      </c>
      <c r="O405" t="s">
        <v>32</v>
      </c>
      <c r="P405" t="str">
        <f>IF(J405=G405+H405-I405,"OK","Check")</f>
        <v>OK</v>
      </c>
      <c r="Q405" t="str">
        <f>IF(AND(J405&lt;=K405,L405=TRUE),"OK",IF(AND(J405&gt;K405,L405=FALSE),"OK","Check"))</f>
        <v>OK</v>
      </c>
      <c r="R405" t="str">
        <f>IF(ABS(N405-J405*M405)&lt;=J405*0.005+0.01,"OK","Check")</f>
        <v>OK</v>
      </c>
      <c r="S405" s="3">
        <f t="shared" si="6"/>
        <v>1</v>
      </c>
    </row>
    <row r="406" spans="1:19">
      <c r="A406" s="1">
        <v>46054</v>
      </c>
      <c r="B406" t="s">
        <v>279</v>
      </c>
      <c r="C406" t="s">
        <v>33</v>
      </c>
      <c r="D406" t="s">
        <v>34</v>
      </c>
      <c r="E406" t="s">
        <v>22</v>
      </c>
      <c r="F406" t="s">
        <v>23</v>
      </c>
      <c r="G406">
        <v>185</v>
      </c>
      <c r="H406">
        <v>345</v>
      </c>
      <c r="I406">
        <v>153</v>
      </c>
      <c r="J406">
        <v>377</v>
      </c>
      <c r="K406">
        <v>173</v>
      </c>
      <c r="L406" t="b">
        <v>0</v>
      </c>
      <c r="M406">
        <v>111.9</v>
      </c>
      <c r="N406">
        <v>42185.85</v>
      </c>
      <c r="O406" t="s">
        <v>24</v>
      </c>
      <c r="P406" t="str">
        <f>IF(J406=G406+H406-I406,"OK","Check")</f>
        <v>OK</v>
      </c>
      <c r="Q406" t="str">
        <f>IF(AND(J406&lt;=K406,L406=TRUE),"OK",IF(AND(J406&gt;K406,L406=FALSE),"OK","Check"))</f>
        <v>OK</v>
      </c>
      <c r="R406" t="str">
        <f>IF(ABS(N406-J406*M406)&lt;=J406*0.005+0.01,"OK","Check")</f>
        <v>OK</v>
      </c>
      <c r="S406" s="3">
        <f t="shared" si="6"/>
        <v>1</v>
      </c>
    </row>
    <row r="407" spans="1:19">
      <c r="A407" s="1">
        <v>46054</v>
      </c>
      <c r="B407" t="s">
        <v>279</v>
      </c>
      <c r="C407" t="s">
        <v>35</v>
      </c>
      <c r="D407" t="s">
        <v>36</v>
      </c>
      <c r="E407" t="s">
        <v>22</v>
      </c>
      <c r="F407" t="s">
        <v>23</v>
      </c>
      <c r="G407">
        <v>114</v>
      </c>
      <c r="H407">
        <v>191</v>
      </c>
      <c r="I407">
        <v>45</v>
      </c>
      <c r="J407">
        <v>260</v>
      </c>
      <c r="K407">
        <v>89</v>
      </c>
      <c r="L407" t="b">
        <v>0</v>
      </c>
      <c r="M407">
        <v>595.78</v>
      </c>
      <c r="N407">
        <v>154901.88</v>
      </c>
      <c r="O407" t="s">
        <v>37</v>
      </c>
      <c r="P407" t="str">
        <f>IF(J407=G407+H407-I407,"OK","Check")</f>
        <v>OK</v>
      </c>
      <c r="Q407" t="str">
        <f>IF(AND(J407&lt;=K407,L407=TRUE),"OK",IF(AND(J407&gt;K407,L407=FALSE),"OK","Check"))</f>
        <v>OK</v>
      </c>
      <c r="R407" t="str">
        <f>IF(ABS(N407-J407*M407)&lt;=J407*0.005+0.01,"OK","Check")</f>
        <v>OK</v>
      </c>
      <c r="S407" s="3">
        <f t="shared" si="6"/>
        <v>1</v>
      </c>
    </row>
    <row r="408" spans="1:19">
      <c r="A408" s="1">
        <v>46054</v>
      </c>
      <c r="B408" t="s">
        <v>279</v>
      </c>
      <c r="C408" t="s">
        <v>38</v>
      </c>
      <c r="D408" t="s">
        <v>39</v>
      </c>
      <c r="E408" t="s">
        <v>22</v>
      </c>
      <c r="F408" t="s">
        <v>23</v>
      </c>
      <c r="G408">
        <v>106</v>
      </c>
      <c r="H408">
        <v>243</v>
      </c>
      <c r="I408">
        <v>97</v>
      </c>
      <c r="J408">
        <v>252</v>
      </c>
      <c r="K408">
        <v>110</v>
      </c>
      <c r="L408" t="b">
        <v>0</v>
      </c>
      <c r="M408">
        <v>82.33</v>
      </c>
      <c r="N408">
        <v>20746.45</v>
      </c>
      <c r="O408" t="s">
        <v>24</v>
      </c>
      <c r="P408" t="str">
        <f>IF(J408=G408+H408-I408,"OK","Check")</f>
        <v>OK</v>
      </c>
      <c r="Q408" t="str">
        <f>IF(AND(J408&lt;=K408,L408=TRUE),"OK",IF(AND(J408&gt;K408,L408=FALSE),"OK","Check"))</f>
        <v>OK</v>
      </c>
      <c r="R408" t="str">
        <f>IF(ABS(N408-J408*M408)&lt;=J408*0.005+0.01,"OK","Check")</f>
        <v>OK</v>
      </c>
      <c r="S408" s="3">
        <f t="shared" si="6"/>
        <v>1</v>
      </c>
    </row>
    <row r="409" spans="1:19">
      <c r="A409" s="1">
        <v>46054</v>
      </c>
      <c r="B409" t="s">
        <v>279</v>
      </c>
      <c r="C409" t="s">
        <v>40</v>
      </c>
      <c r="D409" t="s">
        <v>41</v>
      </c>
      <c r="E409" t="s">
        <v>22</v>
      </c>
      <c r="F409" t="s">
        <v>23</v>
      </c>
      <c r="G409">
        <v>481</v>
      </c>
      <c r="H409">
        <v>0</v>
      </c>
      <c r="I409">
        <v>142</v>
      </c>
      <c r="J409">
        <v>339</v>
      </c>
      <c r="K409">
        <v>188</v>
      </c>
      <c r="L409" t="b">
        <v>0</v>
      </c>
      <c r="M409">
        <v>314.20999999999998</v>
      </c>
      <c r="N409">
        <v>106515.51</v>
      </c>
      <c r="O409" t="s">
        <v>24</v>
      </c>
      <c r="P409" t="str">
        <f>IF(J409=G409+H409-I409,"OK","Check")</f>
        <v>OK</v>
      </c>
      <c r="Q409" t="str">
        <f>IF(AND(J409&lt;=K409,L409=TRUE),"OK",IF(AND(J409&gt;K409,L409=FALSE),"OK","Check"))</f>
        <v>OK</v>
      </c>
      <c r="R409" t="str">
        <f>IF(ABS(N409-J409*M409)&lt;=J409*0.005+0.01,"OK","Check")</f>
        <v>OK</v>
      </c>
      <c r="S409" s="3">
        <f t="shared" si="6"/>
        <v>1</v>
      </c>
    </row>
    <row r="410" spans="1:19">
      <c r="A410" s="1">
        <v>46054</v>
      </c>
      <c r="B410" t="s">
        <v>279</v>
      </c>
      <c r="C410" t="s">
        <v>42</v>
      </c>
      <c r="D410" t="s">
        <v>43</v>
      </c>
      <c r="E410" t="s">
        <v>22</v>
      </c>
      <c r="F410" t="s">
        <v>23</v>
      </c>
      <c r="G410">
        <v>175</v>
      </c>
      <c r="H410">
        <v>0</v>
      </c>
      <c r="I410">
        <v>81</v>
      </c>
      <c r="J410">
        <v>94</v>
      </c>
      <c r="K410">
        <v>145</v>
      </c>
      <c r="L410" t="b">
        <v>1</v>
      </c>
      <c r="M410">
        <v>168.61</v>
      </c>
      <c r="N410">
        <v>15849.17</v>
      </c>
      <c r="O410" t="s">
        <v>44</v>
      </c>
      <c r="P410" t="str">
        <f>IF(J410=G410+H410-I410,"OK","Check")</f>
        <v>OK</v>
      </c>
      <c r="Q410" t="str">
        <f>IF(AND(J410&lt;=K410,L410=TRUE),"OK",IF(AND(J410&gt;K410,L410=FALSE),"OK","Check"))</f>
        <v>OK</v>
      </c>
      <c r="R410" t="str">
        <f>IF(ABS(N410-J410*M410)&lt;=J410*0.005+0.01,"OK","Check")</f>
        <v>OK</v>
      </c>
      <c r="S410" s="3">
        <f t="shared" si="6"/>
        <v>1</v>
      </c>
    </row>
    <row r="411" spans="1:19">
      <c r="A411" s="1">
        <v>46054</v>
      </c>
      <c r="B411" t="s">
        <v>279</v>
      </c>
      <c r="C411" t="s">
        <v>45</v>
      </c>
      <c r="D411" t="s">
        <v>46</v>
      </c>
      <c r="E411" t="s">
        <v>22</v>
      </c>
      <c r="F411" t="s">
        <v>23</v>
      </c>
      <c r="G411">
        <v>536</v>
      </c>
      <c r="H411">
        <v>0</v>
      </c>
      <c r="I411">
        <v>190</v>
      </c>
      <c r="J411">
        <v>346</v>
      </c>
      <c r="K411">
        <v>227</v>
      </c>
      <c r="L411" t="b">
        <v>0</v>
      </c>
      <c r="M411">
        <v>666.76</v>
      </c>
      <c r="N411">
        <v>230699.27</v>
      </c>
      <c r="O411" t="s">
        <v>47</v>
      </c>
      <c r="P411" t="str">
        <f>IF(J411=G411+H411-I411,"OK","Check")</f>
        <v>OK</v>
      </c>
      <c r="Q411" t="str">
        <f>IF(AND(J411&lt;=K411,L411=TRUE),"OK",IF(AND(J411&gt;K411,L411=FALSE),"OK","Check"))</f>
        <v>OK</v>
      </c>
      <c r="R411" t="str">
        <f>IF(ABS(N411-J411*M411)&lt;=J411*0.005+0.01,"OK","Check")</f>
        <v>OK</v>
      </c>
      <c r="S411" s="3">
        <f t="shared" si="6"/>
        <v>1</v>
      </c>
    </row>
    <row r="412" spans="1:19">
      <c r="A412" s="1">
        <v>46054</v>
      </c>
      <c r="B412" t="s">
        <v>279</v>
      </c>
      <c r="C412" t="s">
        <v>50</v>
      </c>
      <c r="D412" t="s">
        <v>51</v>
      </c>
      <c r="E412" t="s">
        <v>22</v>
      </c>
      <c r="F412" t="s">
        <v>23</v>
      </c>
      <c r="G412">
        <v>140</v>
      </c>
      <c r="H412">
        <v>0</v>
      </c>
      <c r="I412">
        <v>76</v>
      </c>
      <c r="J412">
        <v>64</v>
      </c>
      <c r="K412">
        <v>106</v>
      </c>
      <c r="L412" t="b">
        <v>1</v>
      </c>
      <c r="M412">
        <v>268.04000000000002</v>
      </c>
      <c r="N412">
        <v>17154.61</v>
      </c>
      <c r="O412" t="s">
        <v>24</v>
      </c>
      <c r="P412" t="str">
        <f>IF(J412=G412+H412-I412,"OK","Check")</f>
        <v>OK</v>
      </c>
      <c r="Q412" t="str">
        <f>IF(AND(J412&lt;=K412,L412=TRUE),"OK",IF(AND(J412&gt;K412,L412=FALSE),"OK","Check"))</f>
        <v>OK</v>
      </c>
      <c r="R412" t="str">
        <f>IF(ABS(N412-J412*M412)&lt;=J412*0.005+0.01,"OK","Check")</f>
        <v>OK</v>
      </c>
      <c r="S412" s="3">
        <f t="shared" si="6"/>
        <v>1</v>
      </c>
    </row>
    <row r="413" spans="1:19">
      <c r="A413" s="1">
        <v>46054</v>
      </c>
      <c r="B413" t="s">
        <v>279</v>
      </c>
      <c r="C413" t="s">
        <v>52</v>
      </c>
      <c r="D413" t="s">
        <v>53</v>
      </c>
      <c r="E413" t="s">
        <v>22</v>
      </c>
      <c r="F413" t="s">
        <v>23</v>
      </c>
      <c r="G413">
        <v>490</v>
      </c>
      <c r="H413">
        <v>0</v>
      </c>
      <c r="I413">
        <v>291</v>
      </c>
      <c r="J413">
        <v>199</v>
      </c>
      <c r="K413">
        <v>229</v>
      </c>
      <c r="L413" t="b">
        <v>1</v>
      </c>
      <c r="M413">
        <v>56.77</v>
      </c>
      <c r="N413">
        <v>11296.71</v>
      </c>
      <c r="O413" t="s">
        <v>47</v>
      </c>
      <c r="P413" t="str">
        <f>IF(J413=G413+H413-I413,"OK","Check")</f>
        <v>OK</v>
      </c>
      <c r="Q413" t="str">
        <f>IF(AND(J413&lt;=K413,L413=TRUE),"OK",IF(AND(J413&gt;K413,L413=FALSE),"OK","Check"))</f>
        <v>OK</v>
      </c>
      <c r="R413" t="str">
        <f>IF(ABS(N413-J413*M413)&lt;=J413*0.005+0.01,"OK","Check")</f>
        <v>OK</v>
      </c>
      <c r="S413" s="3">
        <f t="shared" si="6"/>
        <v>1</v>
      </c>
    </row>
    <row r="414" spans="1:19">
      <c r="A414" s="1">
        <v>46054</v>
      </c>
      <c r="B414" t="s">
        <v>279</v>
      </c>
      <c r="C414" t="s">
        <v>54</v>
      </c>
      <c r="D414" t="s">
        <v>55</v>
      </c>
      <c r="E414" t="s">
        <v>22</v>
      </c>
      <c r="F414" t="s">
        <v>23</v>
      </c>
      <c r="G414">
        <v>84</v>
      </c>
      <c r="H414">
        <v>0</v>
      </c>
      <c r="I414">
        <v>39</v>
      </c>
      <c r="J414">
        <v>45</v>
      </c>
      <c r="K414">
        <v>40</v>
      </c>
      <c r="L414" t="b">
        <v>0</v>
      </c>
      <c r="M414">
        <v>263.77999999999997</v>
      </c>
      <c r="N414">
        <v>11870.25</v>
      </c>
      <c r="O414" t="s">
        <v>44</v>
      </c>
      <c r="P414" t="str">
        <f>IF(J414=G414+H414-I414,"OK","Check")</f>
        <v>OK</v>
      </c>
      <c r="Q414" t="str">
        <f>IF(AND(J414&lt;=K414,L414=TRUE),"OK",IF(AND(J414&gt;K414,L414=FALSE),"OK","Check"))</f>
        <v>OK</v>
      </c>
      <c r="R414" t="str">
        <f>IF(ABS(N414-J414*M414)&lt;=J414*0.005+0.01,"OK","Check")</f>
        <v>OK</v>
      </c>
      <c r="S414" s="3">
        <f t="shared" si="6"/>
        <v>1</v>
      </c>
    </row>
    <row r="415" spans="1:19">
      <c r="A415" s="1">
        <v>46054</v>
      </c>
      <c r="B415" t="s">
        <v>279</v>
      </c>
      <c r="C415" t="s">
        <v>56</v>
      </c>
      <c r="D415" t="s">
        <v>57</v>
      </c>
      <c r="E415" t="s">
        <v>22</v>
      </c>
      <c r="F415" t="s">
        <v>23</v>
      </c>
      <c r="G415">
        <v>77</v>
      </c>
      <c r="H415">
        <v>0</v>
      </c>
      <c r="I415">
        <v>25</v>
      </c>
      <c r="J415">
        <v>52</v>
      </c>
      <c r="K415">
        <v>28</v>
      </c>
      <c r="L415" t="b">
        <v>0</v>
      </c>
      <c r="M415">
        <v>462.05</v>
      </c>
      <c r="N415">
        <v>24026.66</v>
      </c>
      <c r="O415" t="s">
        <v>24</v>
      </c>
      <c r="P415" t="str">
        <f>IF(J415=G415+H415-I415,"OK","Check")</f>
        <v>OK</v>
      </c>
      <c r="Q415" t="str">
        <f>IF(AND(J415&lt;=K415,L415=TRUE),"OK",IF(AND(J415&gt;K415,L415=FALSE),"OK","Check"))</f>
        <v>OK</v>
      </c>
      <c r="R415" t="str">
        <f>IF(ABS(N415-J415*M415)&lt;=J415*0.005+0.01,"OK","Check")</f>
        <v>OK</v>
      </c>
      <c r="S415" s="3">
        <f t="shared" si="6"/>
        <v>1</v>
      </c>
    </row>
    <row r="416" spans="1:19">
      <c r="A416" s="1">
        <v>46054</v>
      </c>
      <c r="B416" t="s">
        <v>279</v>
      </c>
      <c r="C416" t="s">
        <v>58</v>
      </c>
      <c r="D416" t="s">
        <v>59</v>
      </c>
      <c r="E416" t="s">
        <v>22</v>
      </c>
      <c r="F416" t="s">
        <v>23</v>
      </c>
      <c r="G416">
        <v>202</v>
      </c>
      <c r="H416">
        <v>377</v>
      </c>
      <c r="I416">
        <v>103</v>
      </c>
      <c r="J416">
        <v>476</v>
      </c>
      <c r="K416">
        <v>170</v>
      </c>
      <c r="L416" t="b">
        <v>0</v>
      </c>
      <c r="M416">
        <v>1865.15</v>
      </c>
      <c r="N416">
        <v>887811.79</v>
      </c>
      <c r="O416" t="s">
        <v>60</v>
      </c>
      <c r="P416" t="str">
        <f>IF(J416=G416+H416-I416,"OK","Check")</f>
        <v>OK</v>
      </c>
      <c r="Q416" t="str">
        <f>IF(AND(J416&lt;=K416,L416=TRUE),"OK",IF(AND(J416&gt;K416,L416=FALSE),"OK","Check"))</f>
        <v>OK</v>
      </c>
      <c r="R416" t="str">
        <f>IF(ABS(N416-J416*M416)&lt;=J416*0.005+0.01,"OK","Check")</f>
        <v>OK</v>
      </c>
      <c r="S416" s="3">
        <f t="shared" si="6"/>
        <v>1</v>
      </c>
    </row>
    <row r="417" spans="1:19">
      <c r="A417" s="1">
        <v>46054</v>
      </c>
      <c r="B417" t="s">
        <v>279</v>
      </c>
      <c r="C417" t="s">
        <v>61</v>
      </c>
      <c r="D417" t="s">
        <v>62</v>
      </c>
      <c r="E417" t="s">
        <v>22</v>
      </c>
      <c r="F417" t="s">
        <v>23</v>
      </c>
      <c r="G417">
        <v>120</v>
      </c>
      <c r="H417">
        <v>219</v>
      </c>
      <c r="I417">
        <v>54</v>
      </c>
      <c r="J417">
        <v>285</v>
      </c>
      <c r="K417">
        <v>82</v>
      </c>
      <c r="L417" t="b">
        <v>0</v>
      </c>
      <c r="M417">
        <v>23.16</v>
      </c>
      <c r="N417">
        <v>6601.32</v>
      </c>
      <c r="O417" t="s">
        <v>44</v>
      </c>
      <c r="P417" t="str">
        <f>IF(J417=G417+H417-I417,"OK","Check")</f>
        <v>OK</v>
      </c>
      <c r="Q417" t="str">
        <f>IF(AND(J417&lt;=K417,L417=TRUE),"OK",IF(AND(J417&gt;K417,L417=FALSE),"OK","Check"))</f>
        <v>OK</v>
      </c>
      <c r="R417" t="str">
        <f>IF(ABS(N417-J417*M417)&lt;=J417*0.005+0.01,"OK","Check")</f>
        <v>OK</v>
      </c>
      <c r="S417" s="3">
        <f t="shared" si="6"/>
        <v>1</v>
      </c>
    </row>
    <row r="418" spans="1:19">
      <c r="A418" s="1">
        <v>46054</v>
      </c>
      <c r="B418" t="s">
        <v>279</v>
      </c>
      <c r="C418" t="s">
        <v>63</v>
      </c>
      <c r="D418" t="s">
        <v>64</v>
      </c>
      <c r="E418" t="s">
        <v>22</v>
      </c>
      <c r="F418" t="s">
        <v>23</v>
      </c>
      <c r="G418">
        <v>112</v>
      </c>
      <c r="H418">
        <v>0</v>
      </c>
      <c r="I418">
        <v>58</v>
      </c>
      <c r="J418">
        <v>54</v>
      </c>
      <c r="K418">
        <v>59</v>
      </c>
      <c r="L418" t="b">
        <v>1</v>
      </c>
      <c r="M418">
        <v>112.89</v>
      </c>
      <c r="N418">
        <v>6095.79</v>
      </c>
      <c r="O418" t="s">
        <v>47</v>
      </c>
      <c r="P418" t="str">
        <f>IF(J418=G418+H418-I418,"OK","Check")</f>
        <v>OK</v>
      </c>
      <c r="Q418" t="str">
        <f>IF(AND(J418&lt;=K418,L418=TRUE),"OK",IF(AND(J418&gt;K418,L418=FALSE),"OK","Check"))</f>
        <v>OK</v>
      </c>
      <c r="R418" t="str">
        <f>IF(ABS(N418-J418*M418)&lt;=J418*0.005+0.01,"OK","Check")</f>
        <v>OK</v>
      </c>
      <c r="S418" s="3">
        <f t="shared" si="6"/>
        <v>1</v>
      </c>
    </row>
    <row r="419" spans="1:19">
      <c r="A419" s="1">
        <v>46054</v>
      </c>
      <c r="B419" t="s">
        <v>279</v>
      </c>
      <c r="C419" t="s">
        <v>65</v>
      </c>
      <c r="D419" t="s">
        <v>66</v>
      </c>
      <c r="E419" t="s">
        <v>22</v>
      </c>
      <c r="F419" t="s">
        <v>23</v>
      </c>
      <c r="G419">
        <v>24</v>
      </c>
      <c r="H419">
        <v>56</v>
      </c>
      <c r="I419">
        <v>21</v>
      </c>
      <c r="J419">
        <v>59</v>
      </c>
      <c r="K419">
        <v>21</v>
      </c>
      <c r="L419" t="b">
        <v>0</v>
      </c>
      <c r="M419">
        <v>81.569999999999993</v>
      </c>
      <c r="N419">
        <v>4812.55</v>
      </c>
      <c r="O419" t="s">
        <v>44</v>
      </c>
      <c r="P419" t="str">
        <f>IF(J419=G419+H419-I419,"OK","Check")</f>
        <v>OK</v>
      </c>
      <c r="Q419" t="str">
        <f>IF(AND(J419&lt;=K419,L419=TRUE),"OK",IF(AND(J419&gt;K419,L419=FALSE),"OK","Check"))</f>
        <v>OK</v>
      </c>
      <c r="R419" t="str">
        <f>IF(ABS(N419-J419*M419)&lt;=J419*0.005+0.01,"OK","Check")</f>
        <v>OK</v>
      </c>
      <c r="S419" s="3">
        <f t="shared" si="6"/>
        <v>1</v>
      </c>
    </row>
    <row r="420" spans="1:19">
      <c r="A420" s="1">
        <v>46054</v>
      </c>
      <c r="B420" t="s">
        <v>279</v>
      </c>
      <c r="C420" t="s">
        <v>67</v>
      </c>
      <c r="D420" t="s">
        <v>68</v>
      </c>
      <c r="E420" t="s">
        <v>22</v>
      </c>
      <c r="F420" t="s">
        <v>23</v>
      </c>
      <c r="G420">
        <v>129</v>
      </c>
      <c r="H420">
        <v>0</v>
      </c>
      <c r="I420">
        <v>58</v>
      </c>
      <c r="J420">
        <v>71</v>
      </c>
      <c r="K420">
        <v>87</v>
      </c>
      <c r="L420" t="b">
        <v>1</v>
      </c>
      <c r="M420">
        <v>359.74</v>
      </c>
      <c r="N420">
        <v>25541.69</v>
      </c>
      <c r="O420" t="s">
        <v>27</v>
      </c>
      <c r="P420" t="str">
        <f>IF(J420=G420+H420-I420,"OK","Check")</f>
        <v>OK</v>
      </c>
      <c r="Q420" t="str">
        <f>IF(AND(J420&lt;=K420,L420=TRUE),"OK",IF(AND(J420&gt;K420,L420=FALSE),"OK","Check"))</f>
        <v>OK</v>
      </c>
      <c r="R420" t="str">
        <f>IF(ABS(N420-J420*M420)&lt;=J420*0.005+0.01,"OK","Check")</f>
        <v>OK</v>
      </c>
      <c r="S420" s="3">
        <f t="shared" si="6"/>
        <v>1</v>
      </c>
    </row>
    <row r="421" spans="1:19">
      <c r="A421" s="1">
        <v>46054</v>
      </c>
      <c r="B421" t="s">
        <v>279</v>
      </c>
      <c r="C421" t="s">
        <v>69</v>
      </c>
      <c r="D421" t="s">
        <v>70</v>
      </c>
      <c r="E421" t="s">
        <v>71</v>
      </c>
      <c r="F421" t="s">
        <v>23</v>
      </c>
      <c r="G421">
        <v>90</v>
      </c>
      <c r="H421">
        <v>0</v>
      </c>
      <c r="I421">
        <v>38</v>
      </c>
      <c r="J421">
        <v>52</v>
      </c>
      <c r="K421">
        <v>46</v>
      </c>
      <c r="L421" t="b">
        <v>0</v>
      </c>
      <c r="M421">
        <v>104.09</v>
      </c>
      <c r="N421">
        <v>5412.43</v>
      </c>
      <c r="O421" t="s">
        <v>27</v>
      </c>
      <c r="P421" t="str">
        <f>IF(J421=G421+H421-I421,"OK","Check")</f>
        <v>OK</v>
      </c>
      <c r="Q421" t="str">
        <f>IF(AND(J421&lt;=K421,L421=TRUE),"OK",IF(AND(J421&gt;K421,L421=FALSE),"OK","Check"))</f>
        <v>OK</v>
      </c>
      <c r="R421" t="str">
        <f>IF(ABS(N421-J421*M421)&lt;=J421*0.005+0.01,"OK","Check")</f>
        <v>OK</v>
      </c>
      <c r="S421" s="3">
        <f t="shared" si="6"/>
        <v>1</v>
      </c>
    </row>
    <row r="422" spans="1:19">
      <c r="A422" s="1">
        <v>46054</v>
      </c>
      <c r="B422" t="s">
        <v>279</v>
      </c>
      <c r="C422" t="s">
        <v>72</v>
      </c>
      <c r="D422" t="s">
        <v>73</v>
      </c>
      <c r="E422" t="s">
        <v>71</v>
      </c>
      <c r="F422" t="s">
        <v>23</v>
      </c>
      <c r="G422">
        <v>232</v>
      </c>
      <c r="H422">
        <v>0</v>
      </c>
      <c r="I422">
        <v>76</v>
      </c>
      <c r="J422">
        <v>156</v>
      </c>
      <c r="K422">
        <v>121</v>
      </c>
      <c r="L422" t="b">
        <v>0</v>
      </c>
      <c r="M422">
        <v>405.43</v>
      </c>
      <c r="N422">
        <v>63247.8</v>
      </c>
      <c r="O422" t="s">
        <v>60</v>
      </c>
      <c r="P422" t="str">
        <f>IF(J422=G422+H422-I422,"OK","Check")</f>
        <v>OK</v>
      </c>
      <c r="Q422" t="str">
        <f>IF(AND(J422&lt;=K422,L422=TRUE),"OK",IF(AND(J422&gt;K422,L422=FALSE),"OK","Check"))</f>
        <v>OK</v>
      </c>
      <c r="R422" t="str">
        <f>IF(ABS(N422-J422*M422)&lt;=J422*0.005+0.01,"OK","Check")</f>
        <v>OK</v>
      </c>
      <c r="S422" s="3">
        <f t="shared" si="6"/>
        <v>1</v>
      </c>
    </row>
    <row r="423" spans="1:19">
      <c r="A423" s="1">
        <v>46054</v>
      </c>
      <c r="B423" t="s">
        <v>279</v>
      </c>
      <c r="C423" t="s">
        <v>74</v>
      </c>
      <c r="D423" t="s">
        <v>75</v>
      </c>
      <c r="E423" t="s">
        <v>71</v>
      </c>
      <c r="F423" t="s">
        <v>23</v>
      </c>
      <c r="G423">
        <v>86</v>
      </c>
      <c r="H423">
        <v>179</v>
      </c>
      <c r="I423">
        <v>82</v>
      </c>
      <c r="J423">
        <v>183</v>
      </c>
      <c r="K423">
        <v>87</v>
      </c>
      <c r="L423" t="b">
        <v>0</v>
      </c>
      <c r="M423">
        <v>236.86</v>
      </c>
      <c r="N423">
        <v>43346.2</v>
      </c>
      <c r="O423" t="s">
        <v>37</v>
      </c>
      <c r="P423" t="str">
        <f>IF(J423=G423+H423-I423,"OK","Check")</f>
        <v>OK</v>
      </c>
      <c r="Q423" t="str">
        <f>IF(AND(J423&lt;=K423,L423=TRUE),"OK",IF(AND(J423&gt;K423,L423=FALSE),"OK","Check"))</f>
        <v>OK</v>
      </c>
      <c r="R423" t="str">
        <f>IF(ABS(N423-J423*M423)&lt;=J423*0.005+0.01,"OK","Check")</f>
        <v>OK</v>
      </c>
      <c r="S423" s="3">
        <f t="shared" si="6"/>
        <v>1</v>
      </c>
    </row>
    <row r="424" spans="1:19">
      <c r="A424" s="1">
        <v>46054</v>
      </c>
      <c r="B424" t="s">
        <v>279</v>
      </c>
      <c r="C424" t="s">
        <v>76</v>
      </c>
      <c r="D424" t="s">
        <v>77</v>
      </c>
      <c r="E424" t="s">
        <v>71</v>
      </c>
      <c r="F424" t="s">
        <v>23</v>
      </c>
      <c r="G424">
        <v>116</v>
      </c>
      <c r="H424">
        <v>314</v>
      </c>
      <c r="I424">
        <v>94</v>
      </c>
      <c r="J424">
        <v>336</v>
      </c>
      <c r="K424">
        <v>115</v>
      </c>
      <c r="L424" t="b">
        <v>0</v>
      </c>
      <c r="M424">
        <v>1049.18</v>
      </c>
      <c r="N424">
        <v>352522.9</v>
      </c>
      <c r="O424" t="s">
        <v>37</v>
      </c>
      <c r="P424" t="str">
        <f>IF(J424=G424+H424-I424,"OK","Check")</f>
        <v>OK</v>
      </c>
      <c r="Q424" t="str">
        <f>IF(AND(J424&lt;=K424,L424=TRUE),"OK",IF(AND(J424&gt;K424,L424=FALSE),"OK","Check"))</f>
        <v>OK</v>
      </c>
      <c r="R424" t="str">
        <f>IF(ABS(N424-J424*M424)&lt;=J424*0.005+0.01,"OK","Check")</f>
        <v>OK</v>
      </c>
      <c r="S424" s="3">
        <f t="shared" si="6"/>
        <v>1</v>
      </c>
    </row>
    <row r="425" spans="1:19">
      <c r="A425" s="1">
        <v>46054</v>
      </c>
      <c r="B425" t="s">
        <v>279</v>
      </c>
      <c r="C425" t="s">
        <v>78</v>
      </c>
      <c r="D425" t="s">
        <v>79</v>
      </c>
      <c r="E425" t="s">
        <v>71</v>
      </c>
      <c r="F425" t="s">
        <v>23</v>
      </c>
      <c r="G425">
        <v>143</v>
      </c>
      <c r="H425">
        <v>0</v>
      </c>
      <c r="I425">
        <v>83</v>
      </c>
      <c r="J425">
        <v>60</v>
      </c>
      <c r="K425">
        <v>81</v>
      </c>
      <c r="L425" t="b">
        <v>1</v>
      </c>
      <c r="M425">
        <v>356.86</v>
      </c>
      <c r="N425">
        <v>21411.7</v>
      </c>
      <c r="O425" t="s">
        <v>47</v>
      </c>
      <c r="P425" t="str">
        <f>IF(J425=G425+H425-I425,"OK","Check")</f>
        <v>OK</v>
      </c>
      <c r="Q425" t="str">
        <f>IF(AND(J425&lt;=K425,L425=TRUE),"OK",IF(AND(J425&gt;K425,L425=FALSE),"OK","Check"))</f>
        <v>OK</v>
      </c>
      <c r="R425" t="str">
        <f>IF(ABS(N425-J425*M425)&lt;=J425*0.005+0.01,"OK","Check")</f>
        <v>OK</v>
      </c>
      <c r="S425" s="3">
        <f t="shared" si="6"/>
        <v>1</v>
      </c>
    </row>
    <row r="426" spans="1:19">
      <c r="A426" s="1">
        <v>46054</v>
      </c>
      <c r="B426" t="s">
        <v>279</v>
      </c>
      <c r="C426" t="s">
        <v>80</v>
      </c>
      <c r="D426" t="s">
        <v>81</v>
      </c>
      <c r="E426" t="s">
        <v>71</v>
      </c>
      <c r="F426" t="s">
        <v>23</v>
      </c>
      <c r="G426">
        <v>107</v>
      </c>
      <c r="H426">
        <v>0</v>
      </c>
      <c r="I426">
        <v>46</v>
      </c>
      <c r="J426">
        <v>61</v>
      </c>
      <c r="K426">
        <v>37</v>
      </c>
      <c r="L426" t="b">
        <v>0</v>
      </c>
      <c r="M426">
        <v>1689.34</v>
      </c>
      <c r="N426">
        <v>103049.93</v>
      </c>
      <c r="O426" t="s">
        <v>32</v>
      </c>
      <c r="P426" t="str">
        <f>IF(J426=G426+H426-I426,"OK","Check")</f>
        <v>OK</v>
      </c>
      <c r="Q426" t="str">
        <f>IF(AND(J426&lt;=K426,L426=TRUE),"OK",IF(AND(J426&gt;K426,L426=FALSE),"OK","Check"))</f>
        <v>OK</v>
      </c>
      <c r="R426" t="str">
        <f>IF(ABS(N426-J426*M426)&lt;=J426*0.005+0.01,"OK","Check")</f>
        <v>OK</v>
      </c>
      <c r="S426" s="3">
        <f t="shared" si="6"/>
        <v>1</v>
      </c>
    </row>
    <row r="427" spans="1:19">
      <c r="A427" s="1">
        <v>46054</v>
      </c>
      <c r="B427" t="s">
        <v>279</v>
      </c>
      <c r="C427" t="s">
        <v>82</v>
      </c>
      <c r="D427" t="s">
        <v>83</v>
      </c>
      <c r="E427" t="s">
        <v>71</v>
      </c>
      <c r="F427" t="s">
        <v>23</v>
      </c>
      <c r="G427">
        <v>235</v>
      </c>
      <c r="H427">
        <v>0</v>
      </c>
      <c r="I427">
        <v>89</v>
      </c>
      <c r="J427">
        <v>146</v>
      </c>
      <c r="K427">
        <v>193</v>
      </c>
      <c r="L427" t="b">
        <v>1</v>
      </c>
      <c r="M427">
        <v>1788.85</v>
      </c>
      <c r="N427">
        <v>261172.45</v>
      </c>
      <c r="O427" t="s">
        <v>37</v>
      </c>
      <c r="P427" t="str">
        <f>IF(J427=G427+H427-I427,"OK","Check")</f>
        <v>OK</v>
      </c>
      <c r="Q427" t="str">
        <f>IF(AND(J427&lt;=K427,L427=TRUE),"OK",IF(AND(J427&gt;K427,L427=FALSE),"OK","Check"))</f>
        <v>OK</v>
      </c>
      <c r="R427" t="str">
        <f>IF(ABS(N427-J427*M427)&lt;=J427*0.005+0.01,"OK","Check")</f>
        <v>OK</v>
      </c>
      <c r="S427" s="3">
        <f t="shared" si="6"/>
        <v>1</v>
      </c>
    </row>
    <row r="428" spans="1:19">
      <c r="A428" s="1">
        <v>46054</v>
      </c>
      <c r="B428" t="s">
        <v>279</v>
      </c>
      <c r="C428" t="s">
        <v>84</v>
      </c>
      <c r="D428" t="s">
        <v>85</v>
      </c>
      <c r="E428" t="s">
        <v>71</v>
      </c>
      <c r="F428" t="s">
        <v>23</v>
      </c>
      <c r="G428">
        <v>537</v>
      </c>
      <c r="H428">
        <v>0</v>
      </c>
      <c r="I428">
        <v>229</v>
      </c>
      <c r="J428">
        <v>308</v>
      </c>
      <c r="K428">
        <v>255</v>
      </c>
      <c r="L428" t="b">
        <v>0</v>
      </c>
      <c r="M428">
        <v>7890.68</v>
      </c>
      <c r="N428">
        <v>2430330.63</v>
      </c>
      <c r="O428" t="s">
        <v>47</v>
      </c>
      <c r="P428" t="str">
        <f>IF(J428=G428+H428-I428,"OK","Check")</f>
        <v>OK</v>
      </c>
      <c r="Q428" t="str">
        <f>IF(AND(J428&lt;=K428,L428=TRUE),"OK",IF(AND(J428&gt;K428,L428=FALSE),"OK","Check"))</f>
        <v>OK</v>
      </c>
      <c r="R428" t="str">
        <f>IF(ABS(N428-J428*M428)&lt;=J428*0.005+0.01,"OK","Check")</f>
        <v>OK</v>
      </c>
      <c r="S428" s="3">
        <f t="shared" si="6"/>
        <v>1</v>
      </c>
    </row>
    <row r="429" spans="1:19">
      <c r="A429" s="1">
        <v>46054</v>
      </c>
      <c r="B429" t="s">
        <v>279</v>
      </c>
      <c r="C429" t="s">
        <v>86</v>
      </c>
      <c r="D429" t="s">
        <v>87</v>
      </c>
      <c r="E429" t="s">
        <v>71</v>
      </c>
      <c r="F429" t="s">
        <v>23</v>
      </c>
      <c r="G429">
        <v>113</v>
      </c>
      <c r="H429">
        <v>278</v>
      </c>
      <c r="I429">
        <v>125</v>
      </c>
      <c r="J429">
        <v>266</v>
      </c>
      <c r="K429">
        <v>118</v>
      </c>
      <c r="L429" t="b">
        <v>0</v>
      </c>
      <c r="M429">
        <v>43.33</v>
      </c>
      <c r="N429">
        <v>11525.15</v>
      </c>
      <c r="O429" t="s">
        <v>60</v>
      </c>
      <c r="P429" t="str">
        <f>IF(J429=G429+H429-I429,"OK","Check")</f>
        <v>OK</v>
      </c>
      <c r="Q429" t="str">
        <f>IF(AND(J429&lt;=K429,L429=TRUE),"OK",IF(AND(J429&gt;K429,L429=FALSE),"OK","Check"))</f>
        <v>OK</v>
      </c>
      <c r="R429" t="str">
        <f>IF(ABS(N429-J429*M429)&lt;=J429*0.005+0.01,"OK","Check")</f>
        <v>OK</v>
      </c>
      <c r="S429" s="3">
        <f t="shared" si="6"/>
        <v>1</v>
      </c>
    </row>
    <row r="430" spans="1:19">
      <c r="A430" s="1">
        <v>46054</v>
      </c>
      <c r="B430" t="s">
        <v>279</v>
      </c>
      <c r="C430" t="s">
        <v>88</v>
      </c>
      <c r="D430" t="s">
        <v>89</v>
      </c>
      <c r="E430" t="s">
        <v>71</v>
      </c>
      <c r="F430" t="s">
        <v>23</v>
      </c>
      <c r="G430">
        <v>336</v>
      </c>
      <c r="H430">
        <v>579</v>
      </c>
      <c r="I430">
        <v>189</v>
      </c>
      <c r="J430">
        <v>726</v>
      </c>
      <c r="K430">
        <v>314</v>
      </c>
      <c r="L430" t="b">
        <v>0</v>
      </c>
      <c r="M430">
        <v>215.07</v>
      </c>
      <c r="N430">
        <v>156141.73000000001</v>
      </c>
      <c r="O430" t="s">
        <v>32</v>
      </c>
      <c r="P430" t="str">
        <f>IF(J430=G430+H430-I430,"OK","Check")</f>
        <v>OK</v>
      </c>
      <c r="Q430" t="str">
        <f>IF(AND(J430&lt;=K430,L430=TRUE),"OK",IF(AND(J430&gt;K430,L430=FALSE),"OK","Check"))</f>
        <v>OK</v>
      </c>
      <c r="R430" t="str">
        <f>IF(ABS(N430-J430*M430)&lt;=J430*0.005+0.01,"OK","Check")</f>
        <v>OK</v>
      </c>
      <c r="S430" s="3">
        <f t="shared" si="6"/>
        <v>1</v>
      </c>
    </row>
    <row r="431" spans="1:19">
      <c r="A431" s="1">
        <v>46054</v>
      </c>
      <c r="B431" t="s">
        <v>279</v>
      </c>
      <c r="C431" t="s">
        <v>92</v>
      </c>
      <c r="D431" t="s">
        <v>93</v>
      </c>
      <c r="E431" t="s">
        <v>71</v>
      </c>
      <c r="F431" t="s">
        <v>23</v>
      </c>
      <c r="G431">
        <v>171</v>
      </c>
      <c r="H431">
        <v>295</v>
      </c>
      <c r="I431">
        <v>131</v>
      </c>
      <c r="J431">
        <v>335</v>
      </c>
      <c r="K431">
        <v>139</v>
      </c>
      <c r="L431" t="b">
        <v>0</v>
      </c>
      <c r="M431">
        <v>253.55</v>
      </c>
      <c r="N431">
        <v>84940.88</v>
      </c>
      <c r="O431" t="s">
        <v>24</v>
      </c>
      <c r="P431" t="str">
        <f>IF(J431=G431+H431-I431,"OK","Check")</f>
        <v>OK</v>
      </c>
      <c r="Q431" t="str">
        <f>IF(AND(J431&lt;=K431,L431=TRUE),"OK",IF(AND(J431&gt;K431,L431=FALSE),"OK","Check"))</f>
        <v>OK</v>
      </c>
      <c r="R431" t="str">
        <f>IF(ABS(N431-J431*M431)&lt;=J431*0.005+0.01,"OK","Check")</f>
        <v>OK</v>
      </c>
      <c r="S431" s="3">
        <f t="shared" si="6"/>
        <v>1</v>
      </c>
    </row>
    <row r="432" spans="1:19">
      <c r="A432" s="1">
        <v>46054</v>
      </c>
      <c r="B432" t="s">
        <v>279</v>
      </c>
      <c r="C432" t="s">
        <v>247</v>
      </c>
      <c r="D432" t="s">
        <v>248</v>
      </c>
      <c r="E432" t="s">
        <v>71</v>
      </c>
      <c r="F432" t="s">
        <v>23</v>
      </c>
      <c r="G432">
        <v>223</v>
      </c>
      <c r="H432">
        <v>421</v>
      </c>
      <c r="I432">
        <v>218</v>
      </c>
      <c r="J432">
        <v>426</v>
      </c>
      <c r="K432">
        <v>196</v>
      </c>
      <c r="L432" t="b">
        <v>0</v>
      </c>
      <c r="M432">
        <v>279.52</v>
      </c>
      <c r="N432">
        <v>119077.46</v>
      </c>
      <c r="O432" t="s">
        <v>32</v>
      </c>
      <c r="P432" t="str">
        <f>IF(J432=G432+H432-I432,"OK","Check")</f>
        <v>OK</v>
      </c>
      <c r="Q432" t="str">
        <f>IF(AND(J432&lt;=K432,L432=TRUE),"OK",IF(AND(J432&gt;K432,L432=FALSE),"OK","Check"))</f>
        <v>OK</v>
      </c>
      <c r="R432" t="str">
        <f>IF(ABS(N432-J432*M432)&lt;=J432*0.005+0.01,"OK","Check")</f>
        <v>OK</v>
      </c>
      <c r="S432" s="3">
        <f t="shared" si="6"/>
        <v>1</v>
      </c>
    </row>
    <row r="433" spans="1:19">
      <c r="A433" s="1">
        <v>46054</v>
      </c>
      <c r="B433" t="s">
        <v>279</v>
      </c>
      <c r="C433" t="s">
        <v>103</v>
      </c>
      <c r="D433" t="s">
        <v>104</v>
      </c>
      <c r="E433" t="s">
        <v>71</v>
      </c>
      <c r="F433" t="s">
        <v>23</v>
      </c>
      <c r="G433">
        <v>322</v>
      </c>
      <c r="H433">
        <v>0</v>
      </c>
      <c r="I433">
        <v>118</v>
      </c>
      <c r="J433">
        <v>204</v>
      </c>
      <c r="K433">
        <v>161</v>
      </c>
      <c r="L433" t="b">
        <v>0</v>
      </c>
      <c r="M433">
        <v>525.21</v>
      </c>
      <c r="N433">
        <v>107142.9</v>
      </c>
      <c r="O433" t="s">
        <v>98</v>
      </c>
      <c r="P433" t="str">
        <f>IF(J433=G433+H433-I433,"OK","Check")</f>
        <v>OK</v>
      </c>
      <c r="Q433" t="str">
        <f>IF(AND(J433&lt;=K433,L433=TRUE),"OK",IF(AND(J433&gt;K433,L433=FALSE),"OK","Check"))</f>
        <v>OK</v>
      </c>
      <c r="R433" t="str">
        <f>IF(ABS(N433-J433*M433)&lt;=J433*0.005+0.01,"OK","Check")</f>
        <v>OK</v>
      </c>
      <c r="S433" s="3">
        <f t="shared" si="6"/>
        <v>1</v>
      </c>
    </row>
    <row r="434" spans="1:19">
      <c r="A434" s="1">
        <v>46054</v>
      </c>
      <c r="B434" t="s">
        <v>279</v>
      </c>
      <c r="C434" t="s">
        <v>105</v>
      </c>
      <c r="D434" t="s">
        <v>106</v>
      </c>
      <c r="E434" t="s">
        <v>71</v>
      </c>
      <c r="F434" t="s">
        <v>23</v>
      </c>
      <c r="G434">
        <v>508</v>
      </c>
      <c r="H434">
        <v>0</v>
      </c>
      <c r="I434">
        <v>173</v>
      </c>
      <c r="J434">
        <v>335</v>
      </c>
      <c r="K434">
        <v>236</v>
      </c>
      <c r="L434" t="b">
        <v>0</v>
      </c>
      <c r="M434">
        <v>2362.56</v>
      </c>
      <c r="N434">
        <v>791456.54</v>
      </c>
      <c r="O434" t="s">
        <v>32</v>
      </c>
      <c r="P434" t="str">
        <f>IF(J434=G434+H434-I434,"OK","Check")</f>
        <v>OK</v>
      </c>
      <c r="Q434" t="str">
        <f>IF(AND(J434&lt;=K434,L434=TRUE),"OK",IF(AND(J434&gt;K434,L434=FALSE),"OK","Check"))</f>
        <v>OK</v>
      </c>
      <c r="R434" t="str">
        <f>IF(ABS(N434-J434*M434)&lt;=J434*0.005+0.01,"OK","Check")</f>
        <v>OK</v>
      </c>
      <c r="S434" s="3">
        <f t="shared" si="6"/>
        <v>1</v>
      </c>
    </row>
    <row r="435" spans="1:19">
      <c r="A435" s="1">
        <v>46054</v>
      </c>
      <c r="B435" t="s">
        <v>279</v>
      </c>
      <c r="C435" t="s">
        <v>107</v>
      </c>
      <c r="D435" t="s">
        <v>108</v>
      </c>
      <c r="E435" t="s">
        <v>109</v>
      </c>
      <c r="F435" t="s">
        <v>110</v>
      </c>
      <c r="G435">
        <v>197</v>
      </c>
      <c r="H435">
        <v>0</v>
      </c>
      <c r="I435">
        <v>100</v>
      </c>
      <c r="J435">
        <v>97</v>
      </c>
      <c r="K435">
        <v>96</v>
      </c>
      <c r="L435" t="b">
        <v>0</v>
      </c>
      <c r="M435">
        <v>100.62</v>
      </c>
      <c r="N435">
        <v>9759.9</v>
      </c>
      <c r="O435" t="s">
        <v>24</v>
      </c>
      <c r="P435" t="str">
        <f>IF(J435=G435+H435-I435,"OK","Check")</f>
        <v>OK</v>
      </c>
      <c r="Q435" t="str">
        <f>IF(AND(J435&lt;=K435,L435=TRUE),"OK",IF(AND(J435&gt;K435,L435=FALSE),"OK","Check"))</f>
        <v>OK</v>
      </c>
      <c r="R435" t="str">
        <f>IF(ABS(N435-J435*M435)&lt;=J435*0.005+0.01,"OK","Check")</f>
        <v>OK</v>
      </c>
      <c r="S435" s="3">
        <f t="shared" si="6"/>
        <v>1</v>
      </c>
    </row>
    <row r="436" spans="1:19">
      <c r="A436" s="1">
        <v>46054</v>
      </c>
      <c r="B436" t="s">
        <v>279</v>
      </c>
      <c r="C436" t="s">
        <v>113</v>
      </c>
      <c r="D436" t="s">
        <v>114</v>
      </c>
      <c r="E436" t="s">
        <v>109</v>
      </c>
      <c r="F436" t="s">
        <v>110</v>
      </c>
      <c r="G436">
        <v>224</v>
      </c>
      <c r="H436">
        <v>0</v>
      </c>
      <c r="I436">
        <v>84</v>
      </c>
      <c r="J436">
        <v>140</v>
      </c>
      <c r="K436">
        <v>113</v>
      </c>
      <c r="L436" t="b">
        <v>0</v>
      </c>
      <c r="M436">
        <v>132.78</v>
      </c>
      <c r="N436">
        <v>18588.72</v>
      </c>
      <c r="O436" t="s">
        <v>27</v>
      </c>
      <c r="P436" t="str">
        <f>IF(J436=G436+H436-I436,"OK","Check")</f>
        <v>OK</v>
      </c>
      <c r="Q436" t="str">
        <f>IF(AND(J436&lt;=K436,L436=TRUE),"OK",IF(AND(J436&gt;K436,L436=FALSE),"OK","Check"))</f>
        <v>OK</v>
      </c>
      <c r="R436" t="str">
        <f>IF(ABS(N436-J436*M436)&lt;=J436*0.005+0.01,"OK","Check")</f>
        <v>OK</v>
      </c>
      <c r="S436" s="3">
        <f t="shared" si="6"/>
        <v>1</v>
      </c>
    </row>
    <row r="437" spans="1:19">
      <c r="A437" s="1">
        <v>46054</v>
      </c>
      <c r="B437" t="s">
        <v>279</v>
      </c>
      <c r="C437" t="s">
        <v>115</v>
      </c>
      <c r="D437" t="s">
        <v>116</v>
      </c>
      <c r="E437" t="s">
        <v>109</v>
      </c>
      <c r="F437" t="s">
        <v>110</v>
      </c>
      <c r="G437">
        <v>386</v>
      </c>
      <c r="H437">
        <v>0</v>
      </c>
      <c r="I437">
        <v>143</v>
      </c>
      <c r="J437">
        <v>243</v>
      </c>
      <c r="K437">
        <v>195</v>
      </c>
      <c r="L437" t="b">
        <v>0</v>
      </c>
      <c r="M437">
        <v>589.13</v>
      </c>
      <c r="N437">
        <v>143157.79</v>
      </c>
      <c r="O437" t="s">
        <v>44</v>
      </c>
      <c r="P437" t="str">
        <f>IF(J437=G437+H437-I437,"OK","Check")</f>
        <v>OK</v>
      </c>
      <c r="Q437" t="str">
        <f>IF(AND(J437&lt;=K437,L437=TRUE),"OK",IF(AND(J437&gt;K437,L437=FALSE),"OK","Check"))</f>
        <v>OK</v>
      </c>
      <c r="R437" t="str">
        <f>IF(ABS(N437-J437*M437)&lt;=J437*0.005+0.01,"OK","Check")</f>
        <v>OK</v>
      </c>
      <c r="S437" s="3">
        <f t="shared" si="6"/>
        <v>1</v>
      </c>
    </row>
    <row r="438" spans="1:19">
      <c r="A438" s="1">
        <v>46054</v>
      </c>
      <c r="B438" t="s">
        <v>279</v>
      </c>
      <c r="C438" t="s">
        <v>119</v>
      </c>
      <c r="D438" t="s">
        <v>120</v>
      </c>
      <c r="E438" t="s">
        <v>109</v>
      </c>
      <c r="F438" t="s">
        <v>110</v>
      </c>
      <c r="G438">
        <v>392</v>
      </c>
      <c r="H438">
        <v>0</v>
      </c>
      <c r="I438">
        <v>165</v>
      </c>
      <c r="J438">
        <v>227</v>
      </c>
      <c r="K438">
        <v>247</v>
      </c>
      <c r="L438" t="b">
        <v>1</v>
      </c>
      <c r="M438">
        <v>202.67</v>
      </c>
      <c r="N438">
        <v>46005.56</v>
      </c>
      <c r="O438" t="s">
        <v>32</v>
      </c>
      <c r="P438" t="str">
        <f>IF(J438=G438+H438-I438,"OK","Check")</f>
        <v>OK</v>
      </c>
      <c r="Q438" t="str">
        <f>IF(AND(J438&lt;=K438,L438=TRUE),"OK",IF(AND(J438&gt;K438,L438=FALSE),"OK","Check"))</f>
        <v>OK</v>
      </c>
      <c r="R438" t="str">
        <f>IF(ABS(N438-J438*M438)&lt;=J438*0.005+0.01,"OK","Check")</f>
        <v>OK</v>
      </c>
      <c r="S438" s="3">
        <f t="shared" si="6"/>
        <v>1</v>
      </c>
    </row>
    <row r="439" spans="1:19">
      <c r="A439" s="1">
        <v>46054</v>
      </c>
      <c r="B439" t="s">
        <v>279</v>
      </c>
      <c r="C439" t="s">
        <v>121</v>
      </c>
      <c r="D439" t="s">
        <v>122</v>
      </c>
      <c r="E439" t="s">
        <v>109</v>
      </c>
      <c r="F439" t="s">
        <v>110</v>
      </c>
      <c r="G439">
        <v>425</v>
      </c>
      <c r="H439">
        <v>0</v>
      </c>
      <c r="I439">
        <v>198</v>
      </c>
      <c r="J439">
        <v>227</v>
      </c>
      <c r="K439">
        <v>261</v>
      </c>
      <c r="L439" t="b">
        <v>1</v>
      </c>
      <c r="M439">
        <v>40.21</v>
      </c>
      <c r="N439">
        <v>9127.5499999999993</v>
      </c>
      <c r="O439" t="s">
        <v>47</v>
      </c>
      <c r="P439" t="str">
        <f>IF(J439=G439+H439-I439,"OK","Check")</f>
        <v>OK</v>
      </c>
      <c r="Q439" t="str">
        <f>IF(AND(J439&lt;=K439,L439=TRUE),"OK",IF(AND(J439&gt;K439,L439=FALSE),"OK","Check"))</f>
        <v>OK</v>
      </c>
      <c r="R439" t="str">
        <f>IF(ABS(N439-J439*M439)&lt;=J439*0.005+0.01,"OK","Check")</f>
        <v>OK</v>
      </c>
      <c r="S439" s="3">
        <f t="shared" si="6"/>
        <v>1</v>
      </c>
    </row>
    <row r="440" spans="1:19">
      <c r="A440" s="1">
        <v>46054</v>
      </c>
      <c r="B440" t="s">
        <v>279</v>
      </c>
      <c r="C440" t="s">
        <v>125</v>
      </c>
      <c r="D440" t="s">
        <v>126</v>
      </c>
      <c r="E440" t="s">
        <v>109</v>
      </c>
      <c r="F440" t="s">
        <v>110</v>
      </c>
      <c r="G440">
        <v>183</v>
      </c>
      <c r="H440">
        <v>0</v>
      </c>
      <c r="I440">
        <v>63</v>
      </c>
      <c r="J440">
        <v>120</v>
      </c>
      <c r="K440">
        <v>126</v>
      </c>
      <c r="L440" t="b">
        <v>1</v>
      </c>
      <c r="M440">
        <v>138.72999999999999</v>
      </c>
      <c r="N440">
        <v>16647.7</v>
      </c>
      <c r="O440" t="s">
        <v>47</v>
      </c>
      <c r="P440" t="str">
        <f>IF(J440=G440+H440-I440,"OK","Check")</f>
        <v>OK</v>
      </c>
      <c r="Q440" t="str">
        <f>IF(AND(J440&lt;=K440,L440=TRUE),"OK",IF(AND(J440&gt;K440,L440=FALSE),"OK","Check"))</f>
        <v>OK</v>
      </c>
      <c r="R440" t="str">
        <f>IF(ABS(N440-J440*M440)&lt;=J440*0.005+0.01,"OK","Check")</f>
        <v>OK</v>
      </c>
      <c r="S440" s="3">
        <f t="shared" si="6"/>
        <v>1</v>
      </c>
    </row>
    <row r="441" spans="1:19">
      <c r="A441" s="1">
        <v>46054</v>
      </c>
      <c r="B441" t="s">
        <v>279</v>
      </c>
      <c r="C441" t="s">
        <v>127</v>
      </c>
      <c r="D441" t="s">
        <v>128</v>
      </c>
      <c r="E441" t="s">
        <v>109</v>
      </c>
      <c r="F441" t="s">
        <v>110</v>
      </c>
      <c r="G441">
        <v>75</v>
      </c>
      <c r="H441">
        <v>0</v>
      </c>
      <c r="I441">
        <v>33</v>
      </c>
      <c r="J441">
        <v>42</v>
      </c>
      <c r="K441">
        <v>43</v>
      </c>
      <c r="L441" t="b">
        <v>1</v>
      </c>
      <c r="M441">
        <v>602.99</v>
      </c>
      <c r="N441">
        <v>25325.67</v>
      </c>
      <c r="O441" t="s">
        <v>44</v>
      </c>
      <c r="P441" t="str">
        <f>IF(J441=G441+H441-I441,"OK","Check")</f>
        <v>OK</v>
      </c>
      <c r="Q441" t="str">
        <f>IF(AND(J441&lt;=K441,L441=TRUE),"OK",IF(AND(J441&gt;K441,L441=FALSE),"OK","Check"))</f>
        <v>OK</v>
      </c>
      <c r="R441" t="str">
        <f>IF(ABS(N441-J441*M441)&lt;=J441*0.005+0.01,"OK","Check")</f>
        <v>OK</v>
      </c>
      <c r="S441" s="3">
        <f t="shared" si="6"/>
        <v>1</v>
      </c>
    </row>
    <row r="442" spans="1:19">
      <c r="A442" s="1">
        <v>46054</v>
      </c>
      <c r="B442" t="s">
        <v>279</v>
      </c>
      <c r="C442" t="s">
        <v>129</v>
      </c>
      <c r="D442" t="s">
        <v>130</v>
      </c>
      <c r="E442" t="s">
        <v>109</v>
      </c>
      <c r="F442" t="s">
        <v>110</v>
      </c>
      <c r="G442">
        <v>438</v>
      </c>
      <c r="H442">
        <v>0</v>
      </c>
      <c r="I442">
        <v>194</v>
      </c>
      <c r="J442">
        <v>244</v>
      </c>
      <c r="K442">
        <v>122</v>
      </c>
      <c r="L442" t="b">
        <v>0</v>
      </c>
      <c r="M442">
        <v>434.91</v>
      </c>
      <c r="N442">
        <v>106117.46</v>
      </c>
      <c r="O442" t="s">
        <v>32</v>
      </c>
      <c r="P442" t="str">
        <f>IF(J442=G442+H442-I442,"OK","Check")</f>
        <v>OK</v>
      </c>
      <c r="Q442" t="str">
        <f>IF(AND(J442&lt;=K442,L442=TRUE),"OK",IF(AND(J442&gt;K442,L442=FALSE),"OK","Check"))</f>
        <v>OK</v>
      </c>
      <c r="R442" t="str">
        <f>IF(ABS(N442-J442*M442)&lt;=J442*0.005+0.01,"OK","Check")</f>
        <v>OK</v>
      </c>
      <c r="S442" s="3">
        <f t="shared" si="6"/>
        <v>1</v>
      </c>
    </row>
    <row r="443" spans="1:19">
      <c r="A443" s="1">
        <v>46054</v>
      </c>
      <c r="B443" t="s">
        <v>279</v>
      </c>
      <c r="C443" t="s">
        <v>131</v>
      </c>
      <c r="D443" t="s">
        <v>132</v>
      </c>
      <c r="E443" t="s">
        <v>109</v>
      </c>
      <c r="F443" t="s">
        <v>110</v>
      </c>
      <c r="G443">
        <v>284</v>
      </c>
      <c r="H443">
        <v>0</v>
      </c>
      <c r="I443">
        <v>113</v>
      </c>
      <c r="J443">
        <v>171</v>
      </c>
      <c r="K443">
        <v>128</v>
      </c>
      <c r="L443" t="b">
        <v>0</v>
      </c>
      <c r="M443">
        <v>1905.13</v>
      </c>
      <c r="N443">
        <v>325776.89</v>
      </c>
      <c r="O443" t="s">
        <v>24</v>
      </c>
      <c r="P443" t="str">
        <f>IF(J443=G443+H443-I443,"OK","Check")</f>
        <v>OK</v>
      </c>
      <c r="Q443" t="str">
        <f>IF(AND(J443&lt;=K443,L443=TRUE),"OK",IF(AND(J443&gt;K443,L443=FALSE),"OK","Check"))</f>
        <v>OK</v>
      </c>
      <c r="R443" t="str">
        <f>IF(ABS(N443-J443*M443)&lt;=J443*0.005+0.01,"OK","Check")</f>
        <v>OK</v>
      </c>
      <c r="S443" s="3">
        <f t="shared" si="6"/>
        <v>1</v>
      </c>
    </row>
    <row r="444" spans="1:19">
      <c r="A444" s="1">
        <v>46054</v>
      </c>
      <c r="B444" t="s">
        <v>279</v>
      </c>
      <c r="C444" t="s">
        <v>133</v>
      </c>
      <c r="D444" t="s">
        <v>134</v>
      </c>
      <c r="E444" t="s">
        <v>109</v>
      </c>
      <c r="F444" t="s">
        <v>110</v>
      </c>
      <c r="G444">
        <v>34</v>
      </c>
      <c r="H444">
        <v>0</v>
      </c>
      <c r="I444">
        <v>19</v>
      </c>
      <c r="J444">
        <v>15</v>
      </c>
      <c r="K444">
        <v>16</v>
      </c>
      <c r="L444" t="b">
        <v>1</v>
      </c>
      <c r="M444">
        <v>22.08</v>
      </c>
      <c r="N444">
        <v>331.24</v>
      </c>
      <c r="O444" t="s">
        <v>98</v>
      </c>
      <c r="P444" t="str">
        <f>IF(J444=G444+H444-I444,"OK","Check")</f>
        <v>OK</v>
      </c>
      <c r="Q444" t="str">
        <f>IF(AND(J444&lt;=K444,L444=TRUE),"OK",IF(AND(J444&gt;K444,L444=FALSE),"OK","Check"))</f>
        <v>OK</v>
      </c>
      <c r="R444" t="str">
        <f>IF(ABS(N444-J444*M444)&lt;=J444*0.005+0.01,"OK","Check")</f>
        <v>OK</v>
      </c>
      <c r="S444" s="3">
        <f t="shared" si="6"/>
        <v>1</v>
      </c>
    </row>
    <row r="445" spans="1:19">
      <c r="A445" s="1">
        <v>46054</v>
      </c>
      <c r="B445" t="s">
        <v>279</v>
      </c>
      <c r="C445" t="s">
        <v>135</v>
      </c>
      <c r="D445" t="s">
        <v>136</v>
      </c>
      <c r="E445" t="s">
        <v>109</v>
      </c>
      <c r="F445" t="s">
        <v>110</v>
      </c>
      <c r="G445">
        <v>253</v>
      </c>
      <c r="H445">
        <v>0</v>
      </c>
      <c r="I445">
        <v>150</v>
      </c>
      <c r="J445">
        <v>103</v>
      </c>
      <c r="K445">
        <v>161</v>
      </c>
      <c r="L445" t="b">
        <v>1</v>
      </c>
      <c r="M445">
        <v>99</v>
      </c>
      <c r="N445">
        <v>10196.65</v>
      </c>
      <c r="O445" t="s">
        <v>32</v>
      </c>
      <c r="P445" t="str">
        <f>IF(J445=G445+H445-I445,"OK","Check")</f>
        <v>OK</v>
      </c>
      <c r="Q445" t="str">
        <f>IF(AND(J445&lt;=K445,L445=TRUE),"OK",IF(AND(J445&gt;K445,L445=FALSE),"OK","Check"))</f>
        <v>OK</v>
      </c>
      <c r="R445" t="str">
        <f>IF(ABS(N445-J445*M445)&lt;=J445*0.005+0.01,"OK","Check")</f>
        <v>OK</v>
      </c>
      <c r="S445" s="3">
        <f t="shared" si="6"/>
        <v>1</v>
      </c>
    </row>
    <row r="446" spans="1:19">
      <c r="A446" s="1">
        <v>46054</v>
      </c>
      <c r="B446" t="s">
        <v>279</v>
      </c>
      <c r="C446" t="s">
        <v>137</v>
      </c>
      <c r="D446" t="s">
        <v>138</v>
      </c>
      <c r="E446" t="s">
        <v>109</v>
      </c>
      <c r="F446" t="s">
        <v>110</v>
      </c>
      <c r="G446">
        <v>346</v>
      </c>
      <c r="H446">
        <v>0</v>
      </c>
      <c r="I446">
        <v>179</v>
      </c>
      <c r="J446">
        <v>167</v>
      </c>
      <c r="K446">
        <v>210</v>
      </c>
      <c r="L446" t="b">
        <v>1</v>
      </c>
      <c r="M446">
        <v>58.14</v>
      </c>
      <c r="N446">
        <v>9709.31</v>
      </c>
      <c r="O446" t="s">
        <v>27</v>
      </c>
      <c r="P446" t="str">
        <f>IF(J446=G446+H446-I446,"OK","Check")</f>
        <v>OK</v>
      </c>
      <c r="Q446" t="str">
        <f>IF(AND(J446&lt;=K446,L446=TRUE),"OK",IF(AND(J446&gt;K446,L446=FALSE),"OK","Check"))</f>
        <v>OK</v>
      </c>
      <c r="R446" t="str">
        <f>IF(ABS(N446-J446*M446)&lt;=J446*0.005+0.01,"OK","Check")</f>
        <v>OK</v>
      </c>
      <c r="S446" s="3">
        <f t="shared" si="6"/>
        <v>1</v>
      </c>
    </row>
    <row r="447" spans="1:19">
      <c r="A447" s="1">
        <v>46054</v>
      </c>
      <c r="B447" t="s">
        <v>279</v>
      </c>
      <c r="C447" t="s">
        <v>139</v>
      </c>
      <c r="D447" t="s">
        <v>140</v>
      </c>
      <c r="E447" t="s">
        <v>109</v>
      </c>
      <c r="F447" t="s">
        <v>110</v>
      </c>
      <c r="G447">
        <v>36</v>
      </c>
      <c r="H447">
        <v>41</v>
      </c>
      <c r="I447">
        <v>22</v>
      </c>
      <c r="J447">
        <v>55</v>
      </c>
      <c r="K447">
        <v>17</v>
      </c>
      <c r="L447" t="b">
        <v>0</v>
      </c>
      <c r="M447">
        <v>301.49</v>
      </c>
      <c r="N447">
        <v>16581.810000000001</v>
      </c>
      <c r="O447" t="s">
        <v>32</v>
      </c>
      <c r="P447" t="str">
        <f>IF(J447=G447+H447-I447,"OK","Check")</f>
        <v>OK</v>
      </c>
      <c r="Q447" t="str">
        <f>IF(AND(J447&lt;=K447,L447=TRUE),"OK",IF(AND(J447&gt;K447,L447=FALSE),"OK","Check"))</f>
        <v>OK</v>
      </c>
      <c r="R447" t="str">
        <f>IF(ABS(N447-J447*M447)&lt;=J447*0.005+0.01,"OK","Check")</f>
        <v>OK</v>
      </c>
      <c r="S447" s="3">
        <f t="shared" si="6"/>
        <v>1</v>
      </c>
    </row>
    <row r="448" spans="1:19">
      <c r="A448" s="1">
        <v>46054</v>
      </c>
      <c r="B448" t="s">
        <v>279</v>
      </c>
      <c r="C448" t="s">
        <v>143</v>
      </c>
      <c r="D448" t="s">
        <v>144</v>
      </c>
      <c r="E448" t="s">
        <v>109</v>
      </c>
      <c r="F448" t="s">
        <v>110</v>
      </c>
      <c r="G448">
        <v>49</v>
      </c>
      <c r="H448">
        <v>86</v>
      </c>
      <c r="I448">
        <v>36</v>
      </c>
      <c r="J448">
        <v>99</v>
      </c>
      <c r="K448">
        <v>56</v>
      </c>
      <c r="L448" t="b">
        <v>0</v>
      </c>
      <c r="M448">
        <v>398.42</v>
      </c>
      <c r="N448">
        <v>39444.03</v>
      </c>
      <c r="O448" t="s">
        <v>24</v>
      </c>
      <c r="P448" t="str">
        <f>IF(J448=G448+H448-I448,"OK","Check")</f>
        <v>OK</v>
      </c>
      <c r="Q448" t="str">
        <f>IF(AND(J448&lt;=K448,L448=TRUE),"OK",IF(AND(J448&gt;K448,L448=FALSE),"OK","Check"))</f>
        <v>OK</v>
      </c>
      <c r="R448" t="str">
        <f>IF(ABS(N448-J448*M448)&lt;=J448*0.005+0.01,"OK","Check")</f>
        <v>OK</v>
      </c>
      <c r="S448" s="3">
        <f t="shared" si="6"/>
        <v>1</v>
      </c>
    </row>
    <row r="449" spans="1:19">
      <c r="A449" s="1">
        <v>46054</v>
      </c>
      <c r="B449" t="s">
        <v>279</v>
      </c>
      <c r="C449" t="s">
        <v>152</v>
      </c>
      <c r="D449" t="s">
        <v>153</v>
      </c>
      <c r="E449" t="s">
        <v>151</v>
      </c>
      <c r="F449" t="s">
        <v>23</v>
      </c>
      <c r="G449">
        <v>212</v>
      </c>
      <c r="H449">
        <v>258</v>
      </c>
      <c r="I449">
        <v>102</v>
      </c>
      <c r="J449">
        <v>368</v>
      </c>
      <c r="K449">
        <v>102</v>
      </c>
      <c r="L449" t="b">
        <v>0</v>
      </c>
      <c r="M449">
        <v>1190.3</v>
      </c>
      <c r="N449">
        <v>438029.69</v>
      </c>
      <c r="O449" t="s">
        <v>98</v>
      </c>
      <c r="P449" t="str">
        <f>IF(J449=G449+H449-I449,"OK","Check")</f>
        <v>OK</v>
      </c>
      <c r="Q449" t="str">
        <f>IF(AND(J449&lt;=K449,L449=TRUE),"OK",IF(AND(J449&gt;K449,L449=FALSE),"OK","Check"))</f>
        <v>OK</v>
      </c>
      <c r="R449" t="str">
        <f>IF(ABS(N449-J449*M449)&lt;=J449*0.005+0.01,"OK","Check")</f>
        <v>OK</v>
      </c>
      <c r="S449" s="3">
        <f t="shared" si="6"/>
        <v>1</v>
      </c>
    </row>
    <row r="450" spans="1:19">
      <c r="A450" s="1">
        <v>46054</v>
      </c>
      <c r="B450" t="s">
        <v>279</v>
      </c>
      <c r="C450" t="s">
        <v>154</v>
      </c>
      <c r="D450" t="s">
        <v>155</v>
      </c>
      <c r="E450" t="s">
        <v>151</v>
      </c>
      <c r="F450" t="s">
        <v>23</v>
      </c>
      <c r="G450">
        <v>171</v>
      </c>
      <c r="H450">
        <v>0</v>
      </c>
      <c r="I450">
        <v>77</v>
      </c>
      <c r="J450">
        <v>94</v>
      </c>
      <c r="K450">
        <v>134</v>
      </c>
      <c r="L450" t="b">
        <v>1</v>
      </c>
      <c r="M450">
        <v>307.22000000000003</v>
      </c>
      <c r="N450">
        <v>28878.39</v>
      </c>
      <c r="O450" t="s">
        <v>60</v>
      </c>
      <c r="P450" t="str">
        <f>IF(J450=G450+H450-I450,"OK","Check")</f>
        <v>OK</v>
      </c>
      <c r="Q450" t="str">
        <f>IF(AND(J450&lt;=K450,L450=TRUE),"OK",IF(AND(J450&gt;K450,L450=FALSE),"OK","Check"))</f>
        <v>OK</v>
      </c>
      <c r="R450" t="str">
        <f>IF(ABS(N450-J450*M450)&lt;=J450*0.005+0.01,"OK","Check")</f>
        <v>OK</v>
      </c>
      <c r="S450" s="3">
        <f t="shared" ref="S450:S513" si="7">COUNTIFS(A:A,A450,B:B,B450,C:C,C450)</f>
        <v>1</v>
      </c>
    </row>
    <row r="451" spans="1:19">
      <c r="A451" s="1">
        <v>46054</v>
      </c>
      <c r="B451" t="s">
        <v>279</v>
      </c>
      <c r="C451" t="s">
        <v>156</v>
      </c>
      <c r="D451" t="s">
        <v>157</v>
      </c>
      <c r="E451" t="s">
        <v>151</v>
      </c>
      <c r="F451" t="s">
        <v>23</v>
      </c>
      <c r="G451">
        <v>488</v>
      </c>
      <c r="H451">
        <v>0</v>
      </c>
      <c r="I451">
        <v>147</v>
      </c>
      <c r="J451">
        <v>341</v>
      </c>
      <c r="K451">
        <v>159</v>
      </c>
      <c r="L451" t="b">
        <v>0</v>
      </c>
      <c r="M451">
        <v>1515.56</v>
      </c>
      <c r="N451">
        <v>516806.76</v>
      </c>
      <c r="O451" t="s">
        <v>32</v>
      </c>
      <c r="P451" t="str">
        <f>IF(J451=G451+H451-I451,"OK","Check")</f>
        <v>OK</v>
      </c>
      <c r="Q451" t="str">
        <f>IF(AND(J451&lt;=K451,L451=TRUE),"OK",IF(AND(J451&gt;K451,L451=FALSE),"OK","Check"))</f>
        <v>OK</v>
      </c>
      <c r="R451" t="str">
        <f>IF(ABS(N451-J451*M451)&lt;=J451*0.005+0.01,"OK","Check")</f>
        <v>OK</v>
      </c>
      <c r="S451" s="3">
        <f t="shared" si="7"/>
        <v>1</v>
      </c>
    </row>
    <row r="452" spans="1:19">
      <c r="A452" s="1">
        <v>46054</v>
      </c>
      <c r="B452" t="s">
        <v>279</v>
      </c>
      <c r="C452" t="s">
        <v>158</v>
      </c>
      <c r="D452" t="s">
        <v>159</v>
      </c>
      <c r="E452" t="s">
        <v>151</v>
      </c>
      <c r="F452" t="s">
        <v>23</v>
      </c>
      <c r="G452">
        <v>456</v>
      </c>
      <c r="H452">
        <v>0</v>
      </c>
      <c r="I452">
        <v>189</v>
      </c>
      <c r="J452">
        <v>267</v>
      </c>
      <c r="K452">
        <v>140</v>
      </c>
      <c r="L452" t="b">
        <v>0</v>
      </c>
      <c r="M452">
        <v>42.7</v>
      </c>
      <c r="N452">
        <v>11399.62</v>
      </c>
      <c r="O452" t="s">
        <v>37</v>
      </c>
      <c r="P452" t="str">
        <f>IF(J452=G452+H452-I452,"OK","Check")</f>
        <v>OK</v>
      </c>
      <c r="Q452" t="str">
        <f>IF(AND(J452&lt;=K452,L452=TRUE),"OK",IF(AND(J452&gt;K452,L452=FALSE),"OK","Check"))</f>
        <v>OK</v>
      </c>
      <c r="R452" t="str">
        <f>IF(ABS(N452-J452*M452)&lt;=J452*0.005+0.01,"OK","Check")</f>
        <v>OK</v>
      </c>
      <c r="S452" s="3">
        <f t="shared" si="7"/>
        <v>1</v>
      </c>
    </row>
    <row r="453" spans="1:19">
      <c r="A453" s="1">
        <v>46054</v>
      </c>
      <c r="B453" t="s">
        <v>279</v>
      </c>
      <c r="C453" t="s">
        <v>160</v>
      </c>
      <c r="D453" t="s">
        <v>161</v>
      </c>
      <c r="E453" t="s">
        <v>151</v>
      </c>
      <c r="F453" t="s">
        <v>23</v>
      </c>
      <c r="G453">
        <v>107</v>
      </c>
      <c r="H453">
        <v>0</v>
      </c>
      <c r="I453">
        <v>57</v>
      </c>
      <c r="J453">
        <v>50</v>
      </c>
      <c r="K453">
        <v>46</v>
      </c>
      <c r="L453" t="b">
        <v>0</v>
      </c>
      <c r="M453">
        <v>225.98</v>
      </c>
      <c r="N453">
        <v>11299.02</v>
      </c>
      <c r="O453" t="s">
        <v>24</v>
      </c>
      <c r="P453" t="str">
        <f>IF(J453=G453+H453-I453,"OK","Check")</f>
        <v>OK</v>
      </c>
      <c r="Q453" t="str">
        <f>IF(AND(J453&lt;=K453,L453=TRUE),"OK",IF(AND(J453&gt;K453,L453=FALSE),"OK","Check"))</f>
        <v>OK</v>
      </c>
      <c r="R453" t="str">
        <f>IF(ABS(N453-J453*M453)&lt;=J453*0.005+0.01,"OK","Check")</f>
        <v>OK</v>
      </c>
      <c r="S453" s="3">
        <f t="shared" si="7"/>
        <v>1</v>
      </c>
    </row>
    <row r="454" spans="1:19">
      <c r="A454" s="1">
        <v>46054</v>
      </c>
      <c r="B454" t="s">
        <v>279</v>
      </c>
      <c r="C454" t="s">
        <v>162</v>
      </c>
      <c r="D454" t="s">
        <v>163</v>
      </c>
      <c r="E454" t="s">
        <v>151</v>
      </c>
      <c r="F454" t="s">
        <v>23</v>
      </c>
      <c r="G454">
        <v>85</v>
      </c>
      <c r="H454">
        <v>0</v>
      </c>
      <c r="I454">
        <v>40</v>
      </c>
      <c r="J454">
        <v>45</v>
      </c>
      <c r="K454">
        <v>67</v>
      </c>
      <c r="L454" t="b">
        <v>1</v>
      </c>
      <c r="M454">
        <v>215.9</v>
      </c>
      <c r="N454">
        <v>9715.51</v>
      </c>
      <c r="O454" t="s">
        <v>37</v>
      </c>
      <c r="P454" t="str">
        <f>IF(J454=G454+H454-I454,"OK","Check")</f>
        <v>OK</v>
      </c>
      <c r="Q454" t="str">
        <f>IF(AND(J454&lt;=K454,L454=TRUE),"OK",IF(AND(J454&gt;K454,L454=FALSE),"OK","Check"))</f>
        <v>OK</v>
      </c>
      <c r="R454" t="str">
        <f>IF(ABS(N454-J454*M454)&lt;=J454*0.005+0.01,"OK","Check")</f>
        <v>OK</v>
      </c>
      <c r="S454" s="3">
        <f t="shared" si="7"/>
        <v>1</v>
      </c>
    </row>
    <row r="455" spans="1:19">
      <c r="A455" s="1">
        <v>46054</v>
      </c>
      <c r="B455" t="s">
        <v>279</v>
      </c>
      <c r="C455" t="s">
        <v>164</v>
      </c>
      <c r="D455" t="s">
        <v>165</v>
      </c>
      <c r="E455" t="s">
        <v>151</v>
      </c>
      <c r="F455" t="s">
        <v>23</v>
      </c>
      <c r="G455">
        <v>230</v>
      </c>
      <c r="H455">
        <v>0</v>
      </c>
      <c r="I455">
        <v>76</v>
      </c>
      <c r="J455">
        <v>154</v>
      </c>
      <c r="K455">
        <v>84</v>
      </c>
      <c r="L455" t="b">
        <v>0</v>
      </c>
      <c r="M455">
        <v>907.52</v>
      </c>
      <c r="N455">
        <v>139758.54999999999</v>
      </c>
      <c r="O455" t="s">
        <v>98</v>
      </c>
      <c r="P455" t="str">
        <f>IF(J455=G455+H455-I455,"OK","Check")</f>
        <v>OK</v>
      </c>
      <c r="Q455" t="str">
        <f>IF(AND(J455&lt;=K455,L455=TRUE),"OK",IF(AND(J455&gt;K455,L455=FALSE),"OK","Check"))</f>
        <v>OK</v>
      </c>
      <c r="R455" t="str">
        <f>IF(ABS(N455-J455*M455)&lt;=J455*0.005+0.01,"OK","Check")</f>
        <v>OK</v>
      </c>
      <c r="S455" s="3">
        <f t="shared" si="7"/>
        <v>1</v>
      </c>
    </row>
    <row r="456" spans="1:19">
      <c r="A456" s="1">
        <v>46054</v>
      </c>
      <c r="B456" t="s">
        <v>279</v>
      </c>
      <c r="C456" t="s">
        <v>166</v>
      </c>
      <c r="D456" t="s">
        <v>167</v>
      </c>
      <c r="E456" t="s">
        <v>151</v>
      </c>
      <c r="F456" t="s">
        <v>23</v>
      </c>
      <c r="G456">
        <v>328</v>
      </c>
      <c r="H456">
        <v>0</v>
      </c>
      <c r="I456">
        <v>131</v>
      </c>
      <c r="J456">
        <v>197</v>
      </c>
      <c r="K456">
        <v>146</v>
      </c>
      <c r="L456" t="b">
        <v>0</v>
      </c>
      <c r="M456">
        <v>131.76</v>
      </c>
      <c r="N456">
        <v>25957.11</v>
      </c>
      <c r="O456" t="s">
        <v>44</v>
      </c>
      <c r="P456" t="str">
        <f>IF(J456=G456+H456-I456,"OK","Check")</f>
        <v>OK</v>
      </c>
      <c r="Q456" t="str">
        <f>IF(AND(J456&lt;=K456,L456=TRUE),"OK",IF(AND(J456&gt;K456,L456=FALSE),"OK","Check"))</f>
        <v>OK</v>
      </c>
      <c r="R456" t="str">
        <f>IF(ABS(N456-J456*M456)&lt;=J456*0.005+0.01,"OK","Check")</f>
        <v>OK</v>
      </c>
      <c r="S456" s="3">
        <f t="shared" si="7"/>
        <v>1</v>
      </c>
    </row>
    <row r="457" spans="1:19">
      <c r="A457" s="1">
        <v>46054</v>
      </c>
      <c r="B457" t="s">
        <v>279</v>
      </c>
      <c r="C457" t="s">
        <v>249</v>
      </c>
      <c r="D457" t="s">
        <v>250</v>
      </c>
      <c r="E457" t="s">
        <v>151</v>
      </c>
      <c r="F457" t="s">
        <v>23</v>
      </c>
      <c r="G457">
        <v>190</v>
      </c>
      <c r="H457">
        <v>488</v>
      </c>
      <c r="I457">
        <v>130</v>
      </c>
      <c r="J457">
        <v>548</v>
      </c>
      <c r="K457">
        <v>231</v>
      </c>
      <c r="L457" t="b">
        <v>0</v>
      </c>
      <c r="M457">
        <v>592.71</v>
      </c>
      <c r="N457">
        <v>324802.7</v>
      </c>
      <c r="O457" t="s">
        <v>32</v>
      </c>
      <c r="P457" t="str">
        <f>IF(J457=G457+H457-I457,"OK","Check")</f>
        <v>OK</v>
      </c>
      <c r="Q457" t="str">
        <f>IF(AND(J457&lt;=K457,L457=TRUE),"OK",IF(AND(J457&gt;K457,L457=FALSE),"OK","Check"))</f>
        <v>OK</v>
      </c>
      <c r="R457" t="str">
        <f>IF(ABS(N457-J457*M457)&lt;=J457*0.005+0.01,"OK","Check")</f>
        <v>OK</v>
      </c>
      <c r="S457" s="3">
        <f t="shared" si="7"/>
        <v>1</v>
      </c>
    </row>
    <row r="458" spans="1:19">
      <c r="A458" s="1">
        <v>46054</v>
      </c>
      <c r="B458" t="s">
        <v>279</v>
      </c>
      <c r="C458" t="s">
        <v>168</v>
      </c>
      <c r="D458" t="s">
        <v>169</v>
      </c>
      <c r="E458" t="s">
        <v>151</v>
      </c>
      <c r="F458" t="s">
        <v>23</v>
      </c>
      <c r="G458">
        <v>320</v>
      </c>
      <c r="H458">
        <v>0</v>
      </c>
      <c r="I458">
        <v>219</v>
      </c>
      <c r="J458">
        <v>101</v>
      </c>
      <c r="K458">
        <v>180</v>
      </c>
      <c r="L458" t="b">
        <v>1</v>
      </c>
      <c r="M458">
        <v>644.48</v>
      </c>
      <c r="N458">
        <v>65092.639999999999</v>
      </c>
      <c r="O458" t="s">
        <v>27</v>
      </c>
      <c r="P458" t="str">
        <f>IF(J458=G458+H458-I458,"OK","Check")</f>
        <v>OK</v>
      </c>
      <c r="Q458" t="str">
        <f>IF(AND(J458&lt;=K458,L458=TRUE),"OK",IF(AND(J458&gt;K458,L458=FALSE),"OK","Check"))</f>
        <v>OK</v>
      </c>
      <c r="R458" t="str">
        <f>IF(ABS(N458-J458*M458)&lt;=J458*0.005+0.01,"OK","Check")</f>
        <v>OK</v>
      </c>
      <c r="S458" s="3">
        <f t="shared" si="7"/>
        <v>1</v>
      </c>
    </row>
    <row r="459" spans="1:19">
      <c r="A459" s="1">
        <v>46054</v>
      </c>
      <c r="B459" t="s">
        <v>279</v>
      </c>
      <c r="C459" t="s">
        <v>170</v>
      </c>
      <c r="D459" t="s">
        <v>171</v>
      </c>
      <c r="E459" t="s">
        <v>151</v>
      </c>
      <c r="F459" t="s">
        <v>23</v>
      </c>
      <c r="G459">
        <v>141</v>
      </c>
      <c r="H459">
        <v>0</v>
      </c>
      <c r="I459">
        <v>76</v>
      </c>
      <c r="J459">
        <v>65</v>
      </c>
      <c r="K459">
        <v>96</v>
      </c>
      <c r="L459" t="b">
        <v>1</v>
      </c>
      <c r="M459">
        <v>3073.19</v>
      </c>
      <c r="N459">
        <v>199757.15</v>
      </c>
      <c r="O459" t="s">
        <v>47</v>
      </c>
      <c r="P459" t="str">
        <f>IF(J459=G459+H459-I459,"OK","Check")</f>
        <v>OK</v>
      </c>
      <c r="Q459" t="str">
        <f>IF(AND(J459&lt;=K459,L459=TRUE),"OK",IF(AND(J459&gt;K459,L459=FALSE),"OK","Check"))</f>
        <v>OK</v>
      </c>
      <c r="R459" t="str">
        <f>IF(ABS(N459-J459*M459)&lt;=J459*0.005+0.01,"OK","Check")</f>
        <v>OK</v>
      </c>
      <c r="S459" s="3">
        <f t="shared" si="7"/>
        <v>1</v>
      </c>
    </row>
    <row r="460" spans="1:19">
      <c r="A460" s="1">
        <v>46054</v>
      </c>
      <c r="B460" t="s">
        <v>279</v>
      </c>
      <c r="C460" t="s">
        <v>172</v>
      </c>
      <c r="D460" t="s">
        <v>173</v>
      </c>
      <c r="E460" t="s">
        <v>151</v>
      </c>
      <c r="F460" t="s">
        <v>23</v>
      </c>
      <c r="G460">
        <v>298</v>
      </c>
      <c r="H460">
        <v>294</v>
      </c>
      <c r="I460">
        <v>90</v>
      </c>
      <c r="J460">
        <v>502</v>
      </c>
      <c r="K460">
        <v>168</v>
      </c>
      <c r="L460" t="b">
        <v>0</v>
      </c>
      <c r="M460">
        <v>465.4</v>
      </c>
      <c r="N460">
        <v>233631.18</v>
      </c>
      <c r="O460" t="s">
        <v>24</v>
      </c>
      <c r="P460" t="str">
        <f>IF(J460=G460+H460-I460,"OK","Check")</f>
        <v>OK</v>
      </c>
      <c r="Q460" t="str">
        <f>IF(AND(J460&lt;=K460,L460=TRUE),"OK",IF(AND(J460&gt;K460,L460=FALSE),"OK","Check"))</f>
        <v>OK</v>
      </c>
      <c r="R460" t="str">
        <f>IF(ABS(N460-J460*M460)&lt;=J460*0.005+0.01,"OK","Check")</f>
        <v>OK</v>
      </c>
      <c r="S460" s="3">
        <f t="shared" si="7"/>
        <v>1</v>
      </c>
    </row>
    <row r="461" spans="1:19">
      <c r="A461" s="1">
        <v>46054</v>
      </c>
      <c r="B461" t="s">
        <v>279</v>
      </c>
      <c r="C461" t="s">
        <v>174</v>
      </c>
      <c r="D461" t="s">
        <v>175</v>
      </c>
      <c r="E461" t="s">
        <v>151</v>
      </c>
      <c r="F461" t="s">
        <v>23</v>
      </c>
      <c r="G461">
        <v>494</v>
      </c>
      <c r="H461">
        <v>0</v>
      </c>
      <c r="I461">
        <v>198</v>
      </c>
      <c r="J461">
        <v>296</v>
      </c>
      <c r="K461">
        <v>232</v>
      </c>
      <c r="L461" t="b">
        <v>0</v>
      </c>
      <c r="M461">
        <v>2298.96</v>
      </c>
      <c r="N461">
        <v>680493.48</v>
      </c>
      <c r="O461" t="s">
        <v>27</v>
      </c>
      <c r="P461" t="str">
        <f>IF(J461=G461+H461-I461,"OK","Check")</f>
        <v>OK</v>
      </c>
      <c r="Q461" t="str">
        <f>IF(AND(J461&lt;=K461,L461=TRUE),"OK",IF(AND(J461&gt;K461,L461=FALSE),"OK","Check"))</f>
        <v>OK</v>
      </c>
      <c r="R461" t="str">
        <f>IF(ABS(N461-J461*M461)&lt;=J461*0.005+0.01,"OK","Check")</f>
        <v>OK</v>
      </c>
      <c r="S461" s="3">
        <f t="shared" si="7"/>
        <v>1</v>
      </c>
    </row>
    <row r="462" spans="1:19">
      <c r="A462" s="1">
        <v>46054</v>
      </c>
      <c r="B462" t="s">
        <v>279</v>
      </c>
      <c r="C462" t="s">
        <v>176</v>
      </c>
      <c r="D462" t="s">
        <v>177</v>
      </c>
      <c r="E462" t="s">
        <v>151</v>
      </c>
      <c r="F462" t="s">
        <v>23</v>
      </c>
      <c r="G462">
        <v>88</v>
      </c>
      <c r="H462">
        <v>165</v>
      </c>
      <c r="I462">
        <v>66</v>
      </c>
      <c r="J462">
        <v>187</v>
      </c>
      <c r="K462">
        <v>93</v>
      </c>
      <c r="L462" t="b">
        <v>0</v>
      </c>
      <c r="M462">
        <v>64.88</v>
      </c>
      <c r="N462">
        <v>12131.68</v>
      </c>
      <c r="O462" t="s">
        <v>27</v>
      </c>
      <c r="P462" t="str">
        <f>IF(J462=G462+H462-I462,"OK","Check")</f>
        <v>OK</v>
      </c>
      <c r="Q462" t="str">
        <f>IF(AND(J462&lt;=K462,L462=TRUE),"OK",IF(AND(J462&gt;K462,L462=FALSE),"OK","Check"))</f>
        <v>OK</v>
      </c>
      <c r="R462" t="str">
        <f>IF(ABS(N462-J462*M462)&lt;=J462*0.005+0.01,"OK","Check")</f>
        <v>OK</v>
      </c>
      <c r="S462" s="3">
        <f t="shared" si="7"/>
        <v>1</v>
      </c>
    </row>
    <row r="463" spans="1:19">
      <c r="A463" s="1">
        <v>46054</v>
      </c>
      <c r="B463" t="s">
        <v>279</v>
      </c>
      <c r="C463" t="s">
        <v>178</v>
      </c>
      <c r="D463" t="s">
        <v>179</v>
      </c>
      <c r="E463" t="s">
        <v>151</v>
      </c>
      <c r="F463" t="s">
        <v>23</v>
      </c>
      <c r="G463">
        <v>53</v>
      </c>
      <c r="H463">
        <v>0</v>
      </c>
      <c r="I463">
        <v>39</v>
      </c>
      <c r="J463">
        <v>14</v>
      </c>
      <c r="K463">
        <v>39</v>
      </c>
      <c r="L463" t="b">
        <v>1</v>
      </c>
      <c r="M463">
        <v>334.46</v>
      </c>
      <c r="N463">
        <v>4682.3999999999996</v>
      </c>
      <c r="O463" t="s">
        <v>32</v>
      </c>
      <c r="P463" t="str">
        <f>IF(J463=G463+H463-I463,"OK","Check")</f>
        <v>OK</v>
      </c>
      <c r="Q463" t="str">
        <f>IF(AND(J463&lt;=K463,L463=TRUE),"OK",IF(AND(J463&gt;K463,L463=FALSE),"OK","Check"))</f>
        <v>OK</v>
      </c>
      <c r="R463" t="str">
        <f>IF(ABS(N463-J463*M463)&lt;=J463*0.005+0.01,"OK","Check")</f>
        <v>OK</v>
      </c>
      <c r="S463" s="3">
        <f t="shared" si="7"/>
        <v>1</v>
      </c>
    </row>
    <row r="464" spans="1:19">
      <c r="A464" s="1">
        <v>46054</v>
      </c>
      <c r="B464" t="s">
        <v>279</v>
      </c>
      <c r="C464" t="s">
        <v>180</v>
      </c>
      <c r="D464" t="s">
        <v>181</v>
      </c>
      <c r="E464" t="s">
        <v>151</v>
      </c>
      <c r="F464" t="s">
        <v>23</v>
      </c>
      <c r="G464">
        <v>152</v>
      </c>
      <c r="H464">
        <v>378</v>
      </c>
      <c r="I464">
        <v>98</v>
      </c>
      <c r="J464">
        <v>432</v>
      </c>
      <c r="K464">
        <v>130</v>
      </c>
      <c r="L464" t="b">
        <v>0</v>
      </c>
      <c r="M464">
        <v>53.72</v>
      </c>
      <c r="N464">
        <v>23207.39</v>
      </c>
      <c r="O464" t="s">
        <v>44</v>
      </c>
      <c r="P464" t="str">
        <f>IF(J464=G464+H464-I464,"OK","Check")</f>
        <v>OK</v>
      </c>
      <c r="Q464" t="str">
        <f>IF(AND(J464&lt;=K464,L464=TRUE),"OK",IF(AND(J464&gt;K464,L464=FALSE),"OK","Check"))</f>
        <v>OK</v>
      </c>
      <c r="R464" t="str">
        <f>IF(ABS(N464-J464*M464)&lt;=J464*0.005+0.01,"OK","Check")</f>
        <v>OK</v>
      </c>
      <c r="S464" s="3">
        <f t="shared" si="7"/>
        <v>1</v>
      </c>
    </row>
    <row r="465" spans="1:19">
      <c r="A465" s="1">
        <v>46054</v>
      </c>
      <c r="B465" t="s">
        <v>279</v>
      </c>
      <c r="C465" t="s">
        <v>182</v>
      </c>
      <c r="D465" t="s">
        <v>183</v>
      </c>
      <c r="E465" t="s">
        <v>151</v>
      </c>
      <c r="F465" t="s">
        <v>23</v>
      </c>
      <c r="G465">
        <v>126</v>
      </c>
      <c r="H465">
        <v>148</v>
      </c>
      <c r="I465">
        <v>40</v>
      </c>
      <c r="J465">
        <v>234</v>
      </c>
      <c r="K465">
        <v>66</v>
      </c>
      <c r="L465" t="b">
        <v>0</v>
      </c>
      <c r="M465">
        <v>260.35000000000002</v>
      </c>
      <c r="N465">
        <v>60921.94</v>
      </c>
      <c r="O465" t="s">
        <v>32</v>
      </c>
      <c r="P465" t="str">
        <f>IF(J465=G465+H465-I465,"OK","Check")</f>
        <v>OK</v>
      </c>
      <c r="Q465" t="str">
        <f>IF(AND(J465&lt;=K465,L465=TRUE),"OK",IF(AND(J465&gt;K465,L465=FALSE),"OK","Check"))</f>
        <v>OK</v>
      </c>
      <c r="R465" t="str">
        <f>IF(ABS(N465-J465*M465)&lt;=J465*0.005+0.01,"OK","Check")</f>
        <v>OK</v>
      </c>
      <c r="S465" s="3">
        <f t="shared" si="7"/>
        <v>1</v>
      </c>
    </row>
    <row r="466" spans="1:19">
      <c r="A466" s="1">
        <v>46054</v>
      </c>
      <c r="B466" t="s">
        <v>279</v>
      </c>
      <c r="C466" t="s">
        <v>251</v>
      </c>
      <c r="D466" t="s">
        <v>252</v>
      </c>
      <c r="E466" t="s">
        <v>151</v>
      </c>
      <c r="F466" t="s">
        <v>23</v>
      </c>
      <c r="G466">
        <v>435</v>
      </c>
      <c r="H466">
        <v>0</v>
      </c>
      <c r="I466">
        <v>233</v>
      </c>
      <c r="J466">
        <v>202</v>
      </c>
      <c r="K466">
        <v>261</v>
      </c>
      <c r="L466" t="b">
        <v>1</v>
      </c>
      <c r="M466">
        <v>78.89</v>
      </c>
      <c r="N466">
        <v>15934.78</v>
      </c>
      <c r="O466" t="s">
        <v>44</v>
      </c>
      <c r="P466" t="str">
        <f>IF(J466=G466+H466-I466,"OK","Check")</f>
        <v>OK</v>
      </c>
      <c r="Q466" t="str">
        <f>IF(AND(J466&lt;=K466,L466=TRUE),"OK",IF(AND(J466&gt;K466,L466=FALSE),"OK","Check"))</f>
        <v>OK</v>
      </c>
      <c r="R466" t="str">
        <f>IF(ABS(N466-J466*M466)&lt;=J466*0.005+0.01,"OK","Check")</f>
        <v>OK</v>
      </c>
      <c r="S466" s="3">
        <f t="shared" si="7"/>
        <v>1</v>
      </c>
    </row>
    <row r="467" spans="1:19">
      <c r="A467" s="1">
        <v>46054</v>
      </c>
      <c r="B467" t="s">
        <v>279</v>
      </c>
      <c r="C467" t="s">
        <v>184</v>
      </c>
      <c r="D467" t="s">
        <v>185</v>
      </c>
      <c r="E467" t="s">
        <v>151</v>
      </c>
      <c r="F467" t="s">
        <v>23</v>
      </c>
      <c r="G467">
        <v>88</v>
      </c>
      <c r="H467">
        <v>247</v>
      </c>
      <c r="I467">
        <v>60</v>
      </c>
      <c r="J467">
        <v>275</v>
      </c>
      <c r="K467">
        <v>88</v>
      </c>
      <c r="L467" t="b">
        <v>0</v>
      </c>
      <c r="M467">
        <v>379.98</v>
      </c>
      <c r="N467">
        <v>104493.64</v>
      </c>
      <c r="O467" t="s">
        <v>60</v>
      </c>
      <c r="P467" t="str">
        <f>IF(J467=G467+H467-I467,"OK","Check")</f>
        <v>OK</v>
      </c>
      <c r="Q467" t="str">
        <f>IF(AND(J467&lt;=K467,L467=TRUE),"OK",IF(AND(J467&gt;K467,L467=FALSE),"OK","Check"))</f>
        <v>OK</v>
      </c>
      <c r="R467" t="str">
        <f>IF(ABS(N467-J467*M467)&lt;=J467*0.005+0.01,"OK","Check")</f>
        <v>OK</v>
      </c>
      <c r="S467" s="3">
        <f t="shared" si="7"/>
        <v>1</v>
      </c>
    </row>
    <row r="468" spans="1:19">
      <c r="A468" s="1">
        <v>46054</v>
      </c>
      <c r="B468" t="s">
        <v>279</v>
      </c>
      <c r="C468" t="s">
        <v>186</v>
      </c>
      <c r="D468" t="s">
        <v>187</v>
      </c>
      <c r="E468" t="s">
        <v>188</v>
      </c>
      <c r="F468" t="s">
        <v>23</v>
      </c>
      <c r="G468">
        <v>44</v>
      </c>
      <c r="H468">
        <v>0</v>
      </c>
      <c r="I468">
        <v>18</v>
      </c>
      <c r="J468">
        <v>26</v>
      </c>
      <c r="K468">
        <v>15</v>
      </c>
      <c r="L468" t="b">
        <v>0</v>
      </c>
      <c r="M468">
        <v>131.13</v>
      </c>
      <c r="N468">
        <v>3409.43</v>
      </c>
      <c r="O468" t="s">
        <v>24</v>
      </c>
      <c r="P468" t="str">
        <f>IF(J468=G468+H468-I468,"OK","Check")</f>
        <v>OK</v>
      </c>
      <c r="Q468" t="str">
        <f>IF(AND(J468&lt;=K468,L468=TRUE),"OK",IF(AND(J468&gt;K468,L468=FALSE),"OK","Check"))</f>
        <v>OK</v>
      </c>
      <c r="R468" t="str">
        <f>IF(ABS(N468-J468*M468)&lt;=J468*0.005+0.01,"OK","Check")</f>
        <v>OK</v>
      </c>
      <c r="S468" s="3">
        <f t="shared" si="7"/>
        <v>1</v>
      </c>
    </row>
    <row r="469" spans="1:19">
      <c r="A469" s="1">
        <v>46054</v>
      </c>
      <c r="B469" t="s">
        <v>279</v>
      </c>
      <c r="C469" t="s">
        <v>189</v>
      </c>
      <c r="D469" t="s">
        <v>190</v>
      </c>
      <c r="E469" t="s">
        <v>188</v>
      </c>
      <c r="F469" t="s">
        <v>23</v>
      </c>
      <c r="G469">
        <v>281</v>
      </c>
      <c r="H469">
        <v>0</v>
      </c>
      <c r="I469">
        <v>127</v>
      </c>
      <c r="J469">
        <v>154</v>
      </c>
      <c r="K469">
        <v>135</v>
      </c>
      <c r="L469" t="b">
        <v>0</v>
      </c>
      <c r="M469">
        <v>542.69000000000005</v>
      </c>
      <c r="N469">
        <v>83573.58</v>
      </c>
      <c r="O469" t="s">
        <v>98</v>
      </c>
      <c r="P469" t="str">
        <f>IF(J469=G469+H469-I469,"OK","Check")</f>
        <v>OK</v>
      </c>
      <c r="Q469" t="str">
        <f>IF(AND(J469&lt;=K469,L469=TRUE),"OK",IF(AND(J469&gt;K469,L469=FALSE),"OK","Check"))</f>
        <v>OK</v>
      </c>
      <c r="R469" t="str">
        <f>IF(ABS(N469-J469*M469)&lt;=J469*0.005+0.01,"OK","Check")</f>
        <v>OK</v>
      </c>
      <c r="S469" s="3">
        <f t="shared" si="7"/>
        <v>1</v>
      </c>
    </row>
    <row r="470" spans="1:19">
      <c r="A470" s="1">
        <v>46054</v>
      </c>
      <c r="B470" t="s">
        <v>279</v>
      </c>
      <c r="C470" t="s">
        <v>195</v>
      </c>
      <c r="D470" t="s">
        <v>196</v>
      </c>
      <c r="E470" t="s">
        <v>188</v>
      </c>
      <c r="F470" t="s">
        <v>23</v>
      </c>
      <c r="G470">
        <v>218</v>
      </c>
      <c r="H470">
        <v>453</v>
      </c>
      <c r="I470">
        <v>221</v>
      </c>
      <c r="J470">
        <v>450</v>
      </c>
      <c r="K470">
        <v>213</v>
      </c>
      <c r="L470" t="b">
        <v>0</v>
      </c>
      <c r="M470">
        <v>63.43</v>
      </c>
      <c r="N470">
        <v>28544.42</v>
      </c>
      <c r="O470" t="s">
        <v>47</v>
      </c>
      <c r="P470" t="str">
        <f>IF(J470=G470+H470-I470,"OK","Check")</f>
        <v>OK</v>
      </c>
      <c r="Q470" t="str">
        <f>IF(AND(J470&lt;=K470,L470=TRUE),"OK",IF(AND(J470&gt;K470,L470=FALSE),"OK","Check"))</f>
        <v>OK</v>
      </c>
      <c r="R470" t="str">
        <f>IF(ABS(N470-J470*M470)&lt;=J470*0.005+0.01,"OK","Check")</f>
        <v>OK</v>
      </c>
      <c r="S470" s="3">
        <f t="shared" si="7"/>
        <v>1</v>
      </c>
    </row>
    <row r="471" spans="1:19">
      <c r="A471" s="1">
        <v>46054</v>
      </c>
      <c r="B471" t="s">
        <v>279</v>
      </c>
      <c r="C471" t="s">
        <v>253</v>
      </c>
      <c r="D471" t="s">
        <v>254</v>
      </c>
      <c r="E471" t="s">
        <v>188</v>
      </c>
      <c r="F471" t="s">
        <v>23</v>
      </c>
      <c r="G471">
        <v>265</v>
      </c>
      <c r="H471">
        <v>0</v>
      </c>
      <c r="I471">
        <v>140</v>
      </c>
      <c r="J471">
        <v>125</v>
      </c>
      <c r="K471">
        <v>171</v>
      </c>
      <c r="L471" t="b">
        <v>1</v>
      </c>
      <c r="M471">
        <v>324.42</v>
      </c>
      <c r="N471">
        <v>40552.75</v>
      </c>
      <c r="O471" t="s">
        <v>60</v>
      </c>
      <c r="P471" t="str">
        <f>IF(J471=G471+H471-I471,"OK","Check")</f>
        <v>OK</v>
      </c>
      <c r="Q471" t="str">
        <f>IF(AND(J471&lt;=K471,L471=TRUE),"OK",IF(AND(J471&gt;K471,L471=FALSE),"OK","Check"))</f>
        <v>OK</v>
      </c>
      <c r="R471" t="str">
        <f>IF(ABS(N471-J471*M471)&lt;=J471*0.005+0.01,"OK","Check")</f>
        <v>OK</v>
      </c>
      <c r="S471" s="3">
        <f t="shared" si="7"/>
        <v>1</v>
      </c>
    </row>
    <row r="472" spans="1:19">
      <c r="A472" s="1">
        <v>46054</v>
      </c>
      <c r="B472" t="s">
        <v>279</v>
      </c>
      <c r="C472" t="s">
        <v>197</v>
      </c>
      <c r="D472" t="s">
        <v>198</v>
      </c>
      <c r="E472" t="s">
        <v>188</v>
      </c>
      <c r="F472" t="s">
        <v>23</v>
      </c>
      <c r="G472">
        <v>122</v>
      </c>
      <c r="H472">
        <v>0</v>
      </c>
      <c r="I472">
        <v>50</v>
      </c>
      <c r="J472">
        <v>72</v>
      </c>
      <c r="K472">
        <v>55</v>
      </c>
      <c r="L472" t="b">
        <v>0</v>
      </c>
      <c r="M472">
        <v>115.85</v>
      </c>
      <c r="N472">
        <v>8341.2199999999993</v>
      </c>
      <c r="O472" t="s">
        <v>98</v>
      </c>
      <c r="P472" t="str">
        <f>IF(J472=G472+H472-I472,"OK","Check")</f>
        <v>OK</v>
      </c>
      <c r="Q472" t="str">
        <f>IF(AND(J472&lt;=K472,L472=TRUE),"OK",IF(AND(J472&gt;K472,L472=FALSE),"OK","Check"))</f>
        <v>OK</v>
      </c>
      <c r="R472" t="str">
        <f>IF(ABS(N472-J472*M472)&lt;=J472*0.005+0.01,"OK","Check")</f>
        <v>OK</v>
      </c>
      <c r="S472" s="3">
        <f t="shared" si="7"/>
        <v>1</v>
      </c>
    </row>
    <row r="473" spans="1:19">
      <c r="A473" s="1">
        <v>46054</v>
      </c>
      <c r="B473" t="s">
        <v>279</v>
      </c>
      <c r="C473" t="s">
        <v>199</v>
      </c>
      <c r="D473" t="s">
        <v>200</v>
      </c>
      <c r="E473" t="s">
        <v>188</v>
      </c>
      <c r="F473" t="s">
        <v>23</v>
      </c>
      <c r="G473">
        <v>156</v>
      </c>
      <c r="H473">
        <v>0</v>
      </c>
      <c r="I473">
        <v>130</v>
      </c>
      <c r="J473">
        <v>26</v>
      </c>
      <c r="K473">
        <v>112</v>
      </c>
      <c r="L473" t="b">
        <v>1</v>
      </c>
      <c r="M473">
        <v>533.84</v>
      </c>
      <c r="N473">
        <v>13879.88</v>
      </c>
      <c r="O473" t="s">
        <v>98</v>
      </c>
      <c r="P473" t="str">
        <f>IF(J473=G473+H473-I473,"OK","Check")</f>
        <v>OK</v>
      </c>
      <c r="Q473" t="str">
        <f>IF(AND(J473&lt;=K473,L473=TRUE),"OK",IF(AND(J473&gt;K473,L473=FALSE),"OK","Check"))</f>
        <v>OK</v>
      </c>
      <c r="R473" t="str">
        <f>IF(ABS(N473-J473*M473)&lt;=J473*0.005+0.01,"OK","Check")</f>
        <v>OK</v>
      </c>
      <c r="S473" s="3">
        <f t="shared" si="7"/>
        <v>1</v>
      </c>
    </row>
    <row r="474" spans="1:19">
      <c r="A474" s="1">
        <v>46054</v>
      </c>
      <c r="B474" t="s">
        <v>279</v>
      </c>
      <c r="C474" t="s">
        <v>201</v>
      </c>
      <c r="D474" t="s">
        <v>202</v>
      </c>
      <c r="E474" t="s">
        <v>188</v>
      </c>
      <c r="F474" t="s">
        <v>23</v>
      </c>
      <c r="G474">
        <v>486</v>
      </c>
      <c r="H474">
        <v>0</v>
      </c>
      <c r="I474">
        <v>221</v>
      </c>
      <c r="J474">
        <v>265</v>
      </c>
      <c r="K474">
        <v>194</v>
      </c>
      <c r="L474" t="b">
        <v>0</v>
      </c>
      <c r="M474">
        <v>862.91</v>
      </c>
      <c r="N474">
        <v>228670.09</v>
      </c>
      <c r="O474" t="s">
        <v>47</v>
      </c>
      <c r="P474" t="str">
        <f>IF(J474=G474+H474-I474,"OK","Check")</f>
        <v>OK</v>
      </c>
      <c r="Q474" t="str">
        <f>IF(AND(J474&lt;=K474,L474=TRUE),"OK",IF(AND(J474&gt;K474,L474=FALSE),"OK","Check"))</f>
        <v>OK</v>
      </c>
      <c r="R474" t="str">
        <f>IF(ABS(N474-J474*M474)&lt;=J474*0.005+0.01,"OK","Check")</f>
        <v>OK</v>
      </c>
      <c r="S474" s="3">
        <f t="shared" si="7"/>
        <v>1</v>
      </c>
    </row>
    <row r="475" spans="1:19">
      <c r="A475" s="1">
        <v>46054</v>
      </c>
      <c r="B475" t="s">
        <v>279</v>
      </c>
      <c r="C475" t="s">
        <v>203</v>
      </c>
      <c r="D475" t="s">
        <v>204</v>
      </c>
      <c r="E475" t="s">
        <v>188</v>
      </c>
      <c r="F475" t="s">
        <v>23</v>
      </c>
      <c r="G475">
        <v>483</v>
      </c>
      <c r="H475">
        <v>0</v>
      </c>
      <c r="I475">
        <v>211</v>
      </c>
      <c r="J475">
        <v>272</v>
      </c>
      <c r="K475">
        <v>192</v>
      </c>
      <c r="L475" t="b">
        <v>0</v>
      </c>
      <c r="M475">
        <v>4022.51</v>
      </c>
      <c r="N475">
        <v>1094123.26</v>
      </c>
      <c r="O475" t="s">
        <v>47</v>
      </c>
      <c r="P475" t="str">
        <f>IF(J475=G475+H475-I475,"OK","Check")</f>
        <v>OK</v>
      </c>
      <c r="Q475" t="str">
        <f>IF(AND(J475&lt;=K475,L475=TRUE),"OK",IF(AND(J475&gt;K475,L475=FALSE),"OK","Check"))</f>
        <v>OK</v>
      </c>
      <c r="R475" t="str">
        <f>IF(ABS(N475-J475*M475)&lt;=J475*0.005+0.01,"OK","Check")</f>
        <v>OK</v>
      </c>
      <c r="S475" s="3">
        <f t="shared" si="7"/>
        <v>1</v>
      </c>
    </row>
    <row r="476" spans="1:19">
      <c r="A476" s="1">
        <v>46054</v>
      </c>
      <c r="B476" t="s">
        <v>279</v>
      </c>
      <c r="C476" t="s">
        <v>205</v>
      </c>
      <c r="D476" t="s">
        <v>206</v>
      </c>
      <c r="E476" t="s">
        <v>188</v>
      </c>
      <c r="F476" t="s">
        <v>23</v>
      </c>
      <c r="G476">
        <v>295</v>
      </c>
      <c r="H476">
        <v>0</v>
      </c>
      <c r="I476">
        <v>173</v>
      </c>
      <c r="J476">
        <v>122</v>
      </c>
      <c r="K476">
        <v>245</v>
      </c>
      <c r="L476" t="b">
        <v>1</v>
      </c>
      <c r="M476">
        <v>93.49</v>
      </c>
      <c r="N476">
        <v>11405.57</v>
      </c>
      <c r="O476" t="s">
        <v>98</v>
      </c>
      <c r="P476" t="str">
        <f>IF(J476=G476+H476-I476,"OK","Check")</f>
        <v>OK</v>
      </c>
      <c r="Q476" t="str">
        <f>IF(AND(J476&lt;=K476,L476=TRUE),"OK",IF(AND(J476&gt;K476,L476=FALSE),"OK","Check"))</f>
        <v>OK</v>
      </c>
      <c r="R476" t="str">
        <f>IF(ABS(N476-J476*M476)&lt;=J476*0.005+0.01,"OK","Check")</f>
        <v>OK</v>
      </c>
      <c r="S476" s="3">
        <f t="shared" si="7"/>
        <v>1</v>
      </c>
    </row>
    <row r="477" spans="1:19">
      <c r="A477" s="1">
        <v>46054</v>
      </c>
      <c r="B477" t="s">
        <v>279</v>
      </c>
      <c r="C477" t="s">
        <v>255</v>
      </c>
      <c r="D477" t="s">
        <v>256</v>
      </c>
      <c r="E477" t="s">
        <v>188</v>
      </c>
      <c r="F477" t="s">
        <v>23</v>
      </c>
      <c r="G477">
        <v>282</v>
      </c>
      <c r="H477">
        <v>0</v>
      </c>
      <c r="I477">
        <v>147</v>
      </c>
      <c r="J477">
        <v>135</v>
      </c>
      <c r="K477">
        <v>111</v>
      </c>
      <c r="L477" t="b">
        <v>0</v>
      </c>
      <c r="M477">
        <v>386.24</v>
      </c>
      <c r="N477">
        <v>52141.760000000002</v>
      </c>
      <c r="O477" t="s">
        <v>37</v>
      </c>
      <c r="P477" t="str">
        <f>IF(J477=G477+H477-I477,"OK","Check")</f>
        <v>OK</v>
      </c>
      <c r="Q477" t="str">
        <f>IF(AND(J477&lt;=K477,L477=TRUE),"OK",IF(AND(J477&gt;K477,L477=FALSE),"OK","Check"))</f>
        <v>OK</v>
      </c>
      <c r="R477" t="str">
        <f>IF(ABS(N477-J477*M477)&lt;=J477*0.005+0.01,"OK","Check")</f>
        <v>OK</v>
      </c>
      <c r="S477" s="3">
        <f t="shared" si="7"/>
        <v>1</v>
      </c>
    </row>
    <row r="478" spans="1:19">
      <c r="A478" s="1">
        <v>46054</v>
      </c>
      <c r="B478" t="s">
        <v>279</v>
      </c>
      <c r="C478" t="s">
        <v>209</v>
      </c>
      <c r="D478" t="s">
        <v>210</v>
      </c>
      <c r="E478" t="s">
        <v>188</v>
      </c>
      <c r="F478" t="s">
        <v>23</v>
      </c>
      <c r="G478">
        <v>322</v>
      </c>
      <c r="H478">
        <v>595</v>
      </c>
      <c r="I478">
        <v>171</v>
      </c>
      <c r="J478">
        <v>746</v>
      </c>
      <c r="K478">
        <v>293</v>
      </c>
      <c r="L478" t="b">
        <v>0</v>
      </c>
      <c r="M478">
        <v>366.44</v>
      </c>
      <c r="N478">
        <v>273363.11</v>
      </c>
      <c r="O478" t="s">
        <v>37</v>
      </c>
      <c r="P478" t="str">
        <f>IF(J478=G478+H478-I478,"OK","Check")</f>
        <v>OK</v>
      </c>
      <c r="Q478" t="str">
        <f>IF(AND(J478&lt;=K478,L478=TRUE),"OK",IF(AND(J478&gt;K478,L478=FALSE),"OK","Check"))</f>
        <v>OK</v>
      </c>
      <c r="R478" t="str">
        <f>IF(ABS(N478-J478*M478)&lt;=J478*0.005+0.01,"OK","Check")</f>
        <v>OK</v>
      </c>
      <c r="S478" s="3">
        <f t="shared" si="7"/>
        <v>1</v>
      </c>
    </row>
    <row r="479" spans="1:19">
      <c r="A479" s="1">
        <v>46054</v>
      </c>
      <c r="B479" t="s">
        <v>279</v>
      </c>
      <c r="C479" t="s">
        <v>266</v>
      </c>
      <c r="D479" t="s">
        <v>267</v>
      </c>
      <c r="E479" t="s">
        <v>188</v>
      </c>
      <c r="F479" t="s">
        <v>23</v>
      </c>
      <c r="G479">
        <v>328</v>
      </c>
      <c r="H479">
        <v>0</v>
      </c>
      <c r="I479">
        <v>166</v>
      </c>
      <c r="J479">
        <v>162</v>
      </c>
      <c r="K479">
        <v>141</v>
      </c>
      <c r="L479" t="b">
        <v>0</v>
      </c>
      <c r="M479">
        <v>101.63</v>
      </c>
      <c r="N479">
        <v>16463.88</v>
      </c>
      <c r="O479" t="s">
        <v>24</v>
      </c>
      <c r="P479" t="str">
        <f>IF(J479=G479+H479-I479,"OK","Check")</f>
        <v>OK</v>
      </c>
      <c r="Q479" t="str">
        <f>IF(AND(J479&lt;=K479,L479=TRUE),"OK",IF(AND(J479&gt;K479,L479=FALSE),"OK","Check"))</f>
        <v>OK</v>
      </c>
      <c r="R479" t="str">
        <f>IF(ABS(N479-J479*M479)&lt;=J479*0.005+0.01,"OK","Check")</f>
        <v>OK</v>
      </c>
      <c r="S479" s="3">
        <f t="shared" si="7"/>
        <v>1</v>
      </c>
    </row>
    <row r="480" spans="1:19">
      <c r="A480" s="1">
        <v>46054</v>
      </c>
      <c r="B480" t="s">
        <v>279</v>
      </c>
      <c r="C480" t="s">
        <v>211</v>
      </c>
      <c r="D480" t="s">
        <v>212</v>
      </c>
      <c r="E480" t="s">
        <v>188</v>
      </c>
      <c r="F480" t="s">
        <v>23</v>
      </c>
      <c r="G480">
        <v>69</v>
      </c>
      <c r="H480">
        <v>0</v>
      </c>
      <c r="I480">
        <v>46</v>
      </c>
      <c r="J480">
        <v>23</v>
      </c>
      <c r="K480">
        <v>43</v>
      </c>
      <c r="L480" t="b">
        <v>1</v>
      </c>
      <c r="M480">
        <v>428.71</v>
      </c>
      <c r="N480">
        <v>9860.2900000000009</v>
      </c>
      <c r="O480" t="s">
        <v>60</v>
      </c>
      <c r="P480" t="str">
        <f>IF(J480=G480+H480-I480,"OK","Check")</f>
        <v>OK</v>
      </c>
      <c r="Q480" t="str">
        <f>IF(AND(J480&lt;=K480,L480=TRUE),"OK",IF(AND(J480&gt;K480,L480=FALSE),"OK","Check"))</f>
        <v>OK</v>
      </c>
      <c r="R480" t="str">
        <f>IF(ABS(N480-J480*M480)&lt;=J480*0.005+0.01,"OK","Check")</f>
        <v>OK</v>
      </c>
      <c r="S480" s="3">
        <f t="shared" si="7"/>
        <v>1</v>
      </c>
    </row>
    <row r="481" spans="1:19">
      <c r="A481" s="1">
        <v>46054</v>
      </c>
      <c r="B481" t="s">
        <v>279</v>
      </c>
      <c r="C481" t="s">
        <v>268</v>
      </c>
      <c r="D481" t="s">
        <v>269</v>
      </c>
      <c r="E481" t="s">
        <v>188</v>
      </c>
      <c r="F481" t="s">
        <v>23</v>
      </c>
      <c r="G481">
        <v>42</v>
      </c>
      <c r="H481">
        <v>0</v>
      </c>
      <c r="I481">
        <v>13</v>
      </c>
      <c r="J481">
        <v>29</v>
      </c>
      <c r="K481">
        <v>28</v>
      </c>
      <c r="L481" t="b">
        <v>0</v>
      </c>
      <c r="M481">
        <v>40.31</v>
      </c>
      <c r="N481">
        <v>1168.99</v>
      </c>
      <c r="O481" t="s">
        <v>47</v>
      </c>
      <c r="P481" t="str">
        <f>IF(J481=G481+H481-I481,"OK","Check")</f>
        <v>OK</v>
      </c>
      <c r="Q481" t="str">
        <f>IF(AND(J481&lt;=K481,L481=TRUE),"OK",IF(AND(J481&gt;K481,L481=FALSE),"OK","Check"))</f>
        <v>OK</v>
      </c>
      <c r="R481" t="str">
        <f>IF(ABS(N481-J481*M481)&lt;=J481*0.005+0.01,"OK","Check")</f>
        <v>OK</v>
      </c>
      <c r="S481" s="3">
        <f t="shared" si="7"/>
        <v>1</v>
      </c>
    </row>
    <row r="482" spans="1:19">
      <c r="A482" s="1">
        <v>46054</v>
      </c>
      <c r="B482" t="s">
        <v>279</v>
      </c>
      <c r="C482" t="s">
        <v>270</v>
      </c>
      <c r="D482" t="s">
        <v>271</v>
      </c>
      <c r="E482" t="s">
        <v>188</v>
      </c>
      <c r="F482" t="s">
        <v>23</v>
      </c>
      <c r="G482">
        <v>128</v>
      </c>
      <c r="H482">
        <v>0</v>
      </c>
      <c r="I482">
        <v>88</v>
      </c>
      <c r="J482">
        <v>40</v>
      </c>
      <c r="K482">
        <v>105</v>
      </c>
      <c r="L482" t="b">
        <v>1</v>
      </c>
      <c r="M482">
        <v>175.44</v>
      </c>
      <c r="N482">
        <v>7017.53</v>
      </c>
      <c r="O482" t="s">
        <v>24</v>
      </c>
      <c r="P482" t="str">
        <f>IF(J482=G482+H482-I482,"OK","Check")</f>
        <v>OK</v>
      </c>
      <c r="Q482" t="str">
        <f>IF(AND(J482&lt;=K482,L482=TRUE),"OK",IF(AND(J482&gt;K482,L482=FALSE),"OK","Check"))</f>
        <v>OK</v>
      </c>
      <c r="R482" t="str">
        <f>IF(ABS(N482-J482*M482)&lt;=J482*0.005+0.01,"OK","Check")</f>
        <v>OK</v>
      </c>
      <c r="S482" s="3">
        <f t="shared" si="7"/>
        <v>1</v>
      </c>
    </row>
    <row r="483" spans="1:19">
      <c r="A483" s="1">
        <v>46054</v>
      </c>
      <c r="B483" t="s">
        <v>279</v>
      </c>
      <c r="C483" t="s">
        <v>213</v>
      </c>
      <c r="D483" t="s">
        <v>214</v>
      </c>
      <c r="E483" t="s">
        <v>188</v>
      </c>
      <c r="F483" t="s">
        <v>23</v>
      </c>
      <c r="G483">
        <v>450</v>
      </c>
      <c r="H483">
        <v>0</v>
      </c>
      <c r="I483">
        <v>219</v>
      </c>
      <c r="J483">
        <v>231</v>
      </c>
      <c r="K483">
        <v>284</v>
      </c>
      <c r="L483" t="b">
        <v>1</v>
      </c>
      <c r="M483">
        <v>312.48</v>
      </c>
      <c r="N483">
        <v>72181.8</v>
      </c>
      <c r="O483" t="s">
        <v>44</v>
      </c>
      <c r="P483" t="str">
        <f>IF(J483=G483+H483-I483,"OK","Check")</f>
        <v>OK</v>
      </c>
      <c r="Q483" t="str">
        <f>IF(AND(J483&lt;=K483,L483=TRUE),"OK",IF(AND(J483&gt;K483,L483=FALSE),"OK","Check"))</f>
        <v>OK</v>
      </c>
      <c r="R483" t="str">
        <f>IF(ABS(N483-J483*M483)&lt;=J483*0.005+0.01,"OK","Check")</f>
        <v>OK</v>
      </c>
      <c r="S483" s="3">
        <f t="shared" si="7"/>
        <v>1</v>
      </c>
    </row>
    <row r="484" spans="1:19">
      <c r="A484" s="1">
        <v>46054</v>
      </c>
      <c r="B484" t="s">
        <v>279</v>
      </c>
      <c r="C484" t="s">
        <v>215</v>
      </c>
      <c r="D484" t="s">
        <v>216</v>
      </c>
      <c r="E484" t="s">
        <v>188</v>
      </c>
      <c r="F484" t="s">
        <v>23</v>
      </c>
      <c r="G484">
        <v>602</v>
      </c>
      <c r="H484">
        <v>0</v>
      </c>
      <c r="I484">
        <v>203</v>
      </c>
      <c r="J484">
        <v>399</v>
      </c>
      <c r="K484">
        <v>286</v>
      </c>
      <c r="L484" t="b">
        <v>0</v>
      </c>
      <c r="M484">
        <v>1718.05</v>
      </c>
      <c r="N484">
        <v>685501.83</v>
      </c>
      <c r="O484" t="s">
        <v>27</v>
      </c>
      <c r="P484" t="str">
        <f>IF(J484=G484+H484-I484,"OK","Check")</f>
        <v>OK</v>
      </c>
      <c r="Q484" t="str">
        <f>IF(AND(J484&lt;=K484,L484=TRUE),"OK",IF(AND(J484&gt;K484,L484=FALSE),"OK","Check"))</f>
        <v>OK</v>
      </c>
      <c r="R484" t="str">
        <f>IF(ABS(N484-J484*M484)&lt;=J484*0.005+0.01,"OK","Check")</f>
        <v>OK</v>
      </c>
      <c r="S484" s="3">
        <f t="shared" si="7"/>
        <v>1</v>
      </c>
    </row>
    <row r="485" spans="1:19">
      <c r="A485" s="1">
        <v>46054</v>
      </c>
      <c r="B485" t="s">
        <v>279</v>
      </c>
      <c r="C485" t="s">
        <v>217</v>
      </c>
      <c r="D485" t="s">
        <v>218</v>
      </c>
      <c r="E485" t="s">
        <v>219</v>
      </c>
      <c r="F485" t="s">
        <v>23</v>
      </c>
      <c r="G485">
        <v>526</v>
      </c>
      <c r="H485">
        <v>411</v>
      </c>
      <c r="I485">
        <v>165</v>
      </c>
      <c r="J485">
        <v>772</v>
      </c>
      <c r="K485">
        <v>171</v>
      </c>
      <c r="L485" t="b">
        <v>0</v>
      </c>
      <c r="M485">
        <v>17.100000000000001</v>
      </c>
      <c r="N485">
        <v>13200.3</v>
      </c>
      <c r="O485" t="s">
        <v>37</v>
      </c>
      <c r="P485" t="str">
        <f>IF(J485=G485+H485-I485,"OK","Check")</f>
        <v>OK</v>
      </c>
      <c r="Q485" t="str">
        <f>IF(AND(J485&lt;=K485,L485=TRUE),"OK",IF(AND(J485&gt;K485,L485=FALSE),"OK","Check"))</f>
        <v>OK</v>
      </c>
      <c r="R485" t="str">
        <f>IF(ABS(N485-J485*M485)&lt;=J485*0.005+0.01,"OK","Check")</f>
        <v>OK</v>
      </c>
      <c r="S485" s="3">
        <f t="shared" si="7"/>
        <v>1</v>
      </c>
    </row>
    <row r="486" spans="1:19">
      <c r="A486" s="1">
        <v>46054</v>
      </c>
      <c r="B486" t="s">
        <v>279</v>
      </c>
      <c r="C486" t="s">
        <v>220</v>
      </c>
      <c r="D486" t="s">
        <v>221</v>
      </c>
      <c r="E486" t="s">
        <v>219</v>
      </c>
      <c r="F486" t="s">
        <v>23</v>
      </c>
      <c r="G486">
        <v>405</v>
      </c>
      <c r="H486">
        <v>0</v>
      </c>
      <c r="I486">
        <v>147</v>
      </c>
      <c r="J486">
        <v>258</v>
      </c>
      <c r="K486">
        <v>221</v>
      </c>
      <c r="L486" t="b">
        <v>0</v>
      </c>
      <c r="M486">
        <v>85.72</v>
      </c>
      <c r="N486">
        <v>22115.360000000001</v>
      </c>
      <c r="O486" t="s">
        <v>60</v>
      </c>
      <c r="P486" t="str">
        <f>IF(J486=G486+H486-I486,"OK","Check")</f>
        <v>OK</v>
      </c>
      <c r="Q486" t="str">
        <f>IF(AND(J486&lt;=K486,L486=TRUE),"OK",IF(AND(J486&gt;K486,L486=FALSE),"OK","Check"))</f>
        <v>OK</v>
      </c>
      <c r="R486" t="str">
        <f>IF(ABS(N486-J486*M486)&lt;=J486*0.005+0.01,"OK","Check")</f>
        <v>OK</v>
      </c>
      <c r="S486" s="3">
        <f t="shared" si="7"/>
        <v>1</v>
      </c>
    </row>
    <row r="487" spans="1:19">
      <c r="A487" s="1">
        <v>46054</v>
      </c>
      <c r="B487" t="s">
        <v>279</v>
      </c>
      <c r="C487" t="s">
        <v>222</v>
      </c>
      <c r="D487" t="s">
        <v>223</v>
      </c>
      <c r="E487" t="s">
        <v>219</v>
      </c>
      <c r="F487" t="s">
        <v>23</v>
      </c>
      <c r="G487">
        <v>177</v>
      </c>
      <c r="H487">
        <v>237</v>
      </c>
      <c r="I487">
        <v>119</v>
      </c>
      <c r="J487">
        <v>295</v>
      </c>
      <c r="K487">
        <v>138</v>
      </c>
      <c r="L487" t="b">
        <v>0</v>
      </c>
      <c r="M487">
        <v>41.28</v>
      </c>
      <c r="N487">
        <v>12177.45</v>
      </c>
      <c r="O487" t="s">
        <v>37</v>
      </c>
      <c r="P487" t="str">
        <f>IF(J487=G487+H487-I487,"OK","Check")</f>
        <v>OK</v>
      </c>
      <c r="Q487" t="str">
        <f>IF(AND(J487&lt;=K487,L487=TRUE),"OK",IF(AND(J487&gt;K487,L487=FALSE),"OK","Check"))</f>
        <v>OK</v>
      </c>
      <c r="R487" t="str">
        <f>IF(ABS(N487-J487*M487)&lt;=J487*0.005+0.01,"OK","Check")</f>
        <v>OK</v>
      </c>
      <c r="S487" s="3">
        <f t="shared" si="7"/>
        <v>1</v>
      </c>
    </row>
    <row r="488" spans="1:19">
      <c r="A488" s="1">
        <v>46054</v>
      </c>
      <c r="B488" t="s">
        <v>279</v>
      </c>
      <c r="C488" t="s">
        <v>224</v>
      </c>
      <c r="D488" t="s">
        <v>225</v>
      </c>
      <c r="E488" t="s">
        <v>219</v>
      </c>
      <c r="F488" t="s">
        <v>23</v>
      </c>
      <c r="G488">
        <v>297</v>
      </c>
      <c r="H488">
        <v>0</v>
      </c>
      <c r="I488">
        <v>83</v>
      </c>
      <c r="J488">
        <v>214</v>
      </c>
      <c r="K488">
        <v>133</v>
      </c>
      <c r="L488" t="b">
        <v>0</v>
      </c>
      <c r="M488">
        <v>177.48</v>
      </c>
      <c r="N488">
        <v>37980.120000000003</v>
      </c>
      <c r="O488" t="s">
        <v>44</v>
      </c>
      <c r="P488" t="str">
        <f>IF(J488=G488+H488-I488,"OK","Check")</f>
        <v>OK</v>
      </c>
      <c r="Q488" t="str">
        <f>IF(AND(J488&lt;=K488,L488=TRUE),"OK",IF(AND(J488&gt;K488,L488=FALSE),"OK","Check"))</f>
        <v>OK</v>
      </c>
      <c r="R488" t="str">
        <f>IF(ABS(N488-J488*M488)&lt;=J488*0.005+0.01,"OK","Check")</f>
        <v>OK</v>
      </c>
      <c r="S488" s="3">
        <f t="shared" si="7"/>
        <v>1</v>
      </c>
    </row>
    <row r="489" spans="1:19">
      <c r="A489" s="1">
        <v>46054</v>
      </c>
      <c r="B489" t="s">
        <v>279</v>
      </c>
      <c r="C489" t="s">
        <v>272</v>
      </c>
      <c r="D489" t="s">
        <v>273</v>
      </c>
      <c r="E489" t="s">
        <v>219</v>
      </c>
      <c r="F489" t="s">
        <v>23</v>
      </c>
      <c r="G489">
        <v>346</v>
      </c>
      <c r="H489">
        <v>0</v>
      </c>
      <c r="I489">
        <v>96</v>
      </c>
      <c r="J489">
        <v>250</v>
      </c>
      <c r="K489">
        <v>120</v>
      </c>
      <c r="L489" t="b">
        <v>0</v>
      </c>
      <c r="M489">
        <v>1702.23</v>
      </c>
      <c r="N489">
        <v>425556.82</v>
      </c>
      <c r="O489" t="s">
        <v>98</v>
      </c>
      <c r="P489" t="str">
        <f>IF(J489=G489+H489-I489,"OK","Check")</f>
        <v>OK</v>
      </c>
      <c r="Q489" t="str">
        <f>IF(AND(J489&lt;=K489,L489=TRUE),"OK",IF(AND(J489&gt;K489,L489=FALSE),"OK","Check"))</f>
        <v>OK</v>
      </c>
      <c r="R489" t="str">
        <f>IF(ABS(N489-J489*M489)&lt;=J489*0.005+0.01,"OK","Check")</f>
        <v>OK</v>
      </c>
      <c r="S489" s="3">
        <f t="shared" si="7"/>
        <v>1</v>
      </c>
    </row>
    <row r="490" spans="1:19">
      <c r="A490" s="1">
        <v>46054</v>
      </c>
      <c r="B490" t="s">
        <v>279</v>
      </c>
      <c r="C490" t="s">
        <v>228</v>
      </c>
      <c r="D490" t="s">
        <v>229</v>
      </c>
      <c r="E490" t="s">
        <v>219</v>
      </c>
      <c r="F490" t="s">
        <v>23</v>
      </c>
      <c r="G490">
        <v>210</v>
      </c>
      <c r="H490">
        <v>677</v>
      </c>
      <c r="I490">
        <v>173</v>
      </c>
      <c r="J490">
        <v>714</v>
      </c>
      <c r="K490">
        <v>215</v>
      </c>
      <c r="L490" t="b">
        <v>0</v>
      </c>
      <c r="M490">
        <v>47.47</v>
      </c>
      <c r="N490">
        <v>33891.589999999997</v>
      </c>
      <c r="O490" t="s">
        <v>44</v>
      </c>
      <c r="P490" t="str">
        <f>IF(J490=G490+H490-I490,"OK","Check")</f>
        <v>OK</v>
      </c>
      <c r="Q490" t="str">
        <f>IF(AND(J490&lt;=K490,L490=TRUE),"OK",IF(AND(J490&gt;K490,L490=FALSE),"OK","Check"))</f>
        <v>OK</v>
      </c>
      <c r="R490" t="str">
        <f>IF(ABS(N490-J490*M490)&lt;=J490*0.005+0.01,"OK","Check")</f>
        <v>OK</v>
      </c>
      <c r="S490" s="3">
        <f t="shared" si="7"/>
        <v>1</v>
      </c>
    </row>
    <row r="491" spans="1:19">
      <c r="A491" s="1">
        <v>46054</v>
      </c>
      <c r="B491" t="s">
        <v>279</v>
      </c>
      <c r="C491" t="s">
        <v>230</v>
      </c>
      <c r="D491" t="s">
        <v>231</v>
      </c>
      <c r="E491" t="s">
        <v>219</v>
      </c>
      <c r="F491" t="s">
        <v>23</v>
      </c>
      <c r="G491">
        <v>316</v>
      </c>
      <c r="H491">
        <v>0</v>
      </c>
      <c r="I491">
        <v>130</v>
      </c>
      <c r="J491">
        <v>186</v>
      </c>
      <c r="K491">
        <v>216</v>
      </c>
      <c r="L491" t="b">
        <v>1</v>
      </c>
      <c r="M491">
        <v>213.8</v>
      </c>
      <c r="N491">
        <v>39765.97</v>
      </c>
      <c r="O491" t="s">
        <v>32</v>
      </c>
      <c r="P491" t="str">
        <f>IF(J491=G491+H491-I491,"OK","Check")</f>
        <v>OK</v>
      </c>
      <c r="Q491" t="str">
        <f>IF(AND(J491&lt;=K491,L491=TRUE),"OK",IF(AND(J491&gt;K491,L491=FALSE),"OK","Check"))</f>
        <v>OK</v>
      </c>
      <c r="R491" t="str">
        <f>IF(ABS(N491-J491*M491)&lt;=J491*0.005+0.01,"OK","Check")</f>
        <v>OK</v>
      </c>
      <c r="S491" s="3">
        <f t="shared" si="7"/>
        <v>1</v>
      </c>
    </row>
    <row r="492" spans="1:19">
      <c r="A492" s="1">
        <v>46054</v>
      </c>
      <c r="B492" t="s">
        <v>279</v>
      </c>
      <c r="C492" t="s">
        <v>257</v>
      </c>
      <c r="D492" t="s">
        <v>258</v>
      </c>
      <c r="E492" t="s">
        <v>219</v>
      </c>
      <c r="F492" t="s">
        <v>23</v>
      </c>
      <c r="G492">
        <v>182</v>
      </c>
      <c r="H492">
        <v>0</v>
      </c>
      <c r="I492">
        <v>117</v>
      </c>
      <c r="J492">
        <v>65</v>
      </c>
      <c r="K492">
        <v>74</v>
      </c>
      <c r="L492" t="b">
        <v>1</v>
      </c>
      <c r="M492">
        <v>694.46</v>
      </c>
      <c r="N492">
        <v>45140.2</v>
      </c>
      <c r="O492" t="s">
        <v>47</v>
      </c>
      <c r="P492" t="str">
        <f>IF(J492=G492+H492-I492,"OK","Check")</f>
        <v>OK</v>
      </c>
      <c r="Q492" t="str">
        <f>IF(AND(J492&lt;=K492,L492=TRUE),"OK",IF(AND(J492&gt;K492,L492=FALSE),"OK","Check"))</f>
        <v>OK</v>
      </c>
      <c r="R492" t="str">
        <f>IF(ABS(N492-J492*M492)&lt;=J492*0.005+0.01,"OK","Check")</f>
        <v>OK</v>
      </c>
      <c r="S492" s="3">
        <f t="shared" si="7"/>
        <v>1</v>
      </c>
    </row>
    <row r="493" spans="1:19">
      <c r="A493" s="1">
        <v>46054</v>
      </c>
      <c r="B493" t="s">
        <v>279</v>
      </c>
      <c r="C493" t="s">
        <v>259</v>
      </c>
      <c r="D493" t="s">
        <v>260</v>
      </c>
      <c r="E493" t="s">
        <v>219</v>
      </c>
      <c r="F493" t="s">
        <v>23</v>
      </c>
      <c r="G493">
        <v>158</v>
      </c>
      <c r="H493">
        <v>0</v>
      </c>
      <c r="I493">
        <v>110</v>
      </c>
      <c r="J493">
        <v>48</v>
      </c>
      <c r="K493">
        <v>97</v>
      </c>
      <c r="L493" t="b">
        <v>1</v>
      </c>
      <c r="M493">
        <v>554.15</v>
      </c>
      <c r="N493">
        <v>26599.09</v>
      </c>
      <c r="O493" t="s">
        <v>60</v>
      </c>
      <c r="P493" t="str">
        <f>IF(J493=G493+H493-I493,"OK","Check")</f>
        <v>OK</v>
      </c>
      <c r="Q493" t="str">
        <f>IF(AND(J493&lt;=K493,L493=TRUE),"OK",IF(AND(J493&gt;K493,L493=FALSE),"OK","Check"))</f>
        <v>OK</v>
      </c>
      <c r="R493" t="str">
        <f>IF(ABS(N493-J493*M493)&lt;=J493*0.005+0.01,"OK","Check")</f>
        <v>OK</v>
      </c>
      <c r="S493" s="3">
        <f t="shared" si="7"/>
        <v>1</v>
      </c>
    </row>
    <row r="494" spans="1:19">
      <c r="A494" s="1">
        <v>46054</v>
      </c>
      <c r="B494" t="s">
        <v>279</v>
      </c>
      <c r="C494" t="s">
        <v>234</v>
      </c>
      <c r="D494" t="s">
        <v>235</v>
      </c>
      <c r="E494" t="s">
        <v>219</v>
      </c>
      <c r="F494" t="s">
        <v>23</v>
      </c>
      <c r="G494">
        <v>179</v>
      </c>
      <c r="H494">
        <v>198</v>
      </c>
      <c r="I494">
        <v>96</v>
      </c>
      <c r="J494">
        <v>281</v>
      </c>
      <c r="K494">
        <v>101</v>
      </c>
      <c r="L494" t="b">
        <v>0</v>
      </c>
      <c r="M494">
        <v>2384.9899999999998</v>
      </c>
      <c r="N494">
        <v>670180.97</v>
      </c>
      <c r="O494" t="s">
        <v>47</v>
      </c>
      <c r="P494" t="str">
        <f>IF(J494=G494+H494-I494,"OK","Check")</f>
        <v>OK</v>
      </c>
      <c r="Q494" t="str">
        <f>IF(AND(J494&lt;=K494,L494=TRUE),"OK",IF(AND(J494&gt;K494,L494=FALSE),"OK","Check"))</f>
        <v>OK</v>
      </c>
      <c r="R494" t="str">
        <f>IF(ABS(N494-J494*M494)&lt;=J494*0.005+0.01,"OK","Check")</f>
        <v>OK</v>
      </c>
      <c r="S494" s="3">
        <f t="shared" si="7"/>
        <v>1</v>
      </c>
    </row>
    <row r="495" spans="1:19">
      <c r="A495" s="1">
        <v>46054</v>
      </c>
      <c r="B495" t="s">
        <v>279</v>
      </c>
      <c r="C495" t="s">
        <v>277</v>
      </c>
      <c r="D495" t="s">
        <v>278</v>
      </c>
      <c r="E495" t="s">
        <v>219</v>
      </c>
      <c r="F495" t="s">
        <v>23</v>
      </c>
      <c r="G495">
        <v>93</v>
      </c>
      <c r="H495">
        <v>270</v>
      </c>
      <c r="I495">
        <v>85</v>
      </c>
      <c r="J495">
        <v>278</v>
      </c>
      <c r="K495">
        <v>109</v>
      </c>
      <c r="L495" t="b">
        <v>0</v>
      </c>
      <c r="M495">
        <v>1269.48</v>
      </c>
      <c r="N495">
        <v>352916.17</v>
      </c>
      <c r="O495" t="s">
        <v>44</v>
      </c>
      <c r="P495" t="str">
        <f>IF(J495=G495+H495-I495,"OK","Check")</f>
        <v>OK</v>
      </c>
      <c r="Q495" t="str">
        <f>IF(AND(J495&lt;=K495,L495=TRUE),"OK",IF(AND(J495&gt;K495,L495=FALSE),"OK","Check"))</f>
        <v>OK</v>
      </c>
      <c r="R495" t="str">
        <f>IF(ABS(N495-J495*M495)&lt;=J495*0.005+0.01,"OK","Check")</f>
        <v>OK</v>
      </c>
      <c r="S495" s="3">
        <f t="shared" si="7"/>
        <v>1</v>
      </c>
    </row>
    <row r="496" spans="1:19">
      <c r="A496" s="1">
        <v>46054</v>
      </c>
      <c r="B496" t="s">
        <v>279</v>
      </c>
      <c r="C496" t="s">
        <v>274</v>
      </c>
      <c r="D496" t="s">
        <v>275</v>
      </c>
      <c r="E496" t="s">
        <v>219</v>
      </c>
      <c r="F496" t="s">
        <v>23</v>
      </c>
      <c r="G496">
        <v>219</v>
      </c>
      <c r="H496">
        <v>455</v>
      </c>
      <c r="I496">
        <v>130</v>
      </c>
      <c r="J496">
        <v>544</v>
      </c>
      <c r="K496">
        <v>197</v>
      </c>
      <c r="L496" t="b">
        <v>0</v>
      </c>
      <c r="M496">
        <v>235.74</v>
      </c>
      <c r="N496">
        <v>128240.75</v>
      </c>
      <c r="O496" t="s">
        <v>60</v>
      </c>
      <c r="P496" t="str">
        <f>IF(J496=G496+H496-I496,"OK","Check")</f>
        <v>OK</v>
      </c>
      <c r="Q496" t="str">
        <f>IF(AND(J496&lt;=K496,L496=TRUE),"OK",IF(AND(J496&gt;K496,L496=FALSE),"OK","Check"))</f>
        <v>OK</v>
      </c>
      <c r="R496" t="str">
        <f>IF(ABS(N496-J496*M496)&lt;=J496*0.005+0.01,"OK","Check")</f>
        <v>OK</v>
      </c>
      <c r="S496" s="3">
        <f t="shared" si="7"/>
        <v>1</v>
      </c>
    </row>
    <row r="497" spans="1:19">
      <c r="A497" s="1">
        <v>46054</v>
      </c>
      <c r="B497" t="s">
        <v>279</v>
      </c>
      <c r="C497" t="s">
        <v>236</v>
      </c>
      <c r="D497" t="s">
        <v>237</v>
      </c>
      <c r="E497" t="s">
        <v>219</v>
      </c>
      <c r="F497" t="s">
        <v>23</v>
      </c>
      <c r="G497">
        <v>307</v>
      </c>
      <c r="H497">
        <v>225</v>
      </c>
      <c r="I497">
        <v>89</v>
      </c>
      <c r="J497">
        <v>443</v>
      </c>
      <c r="K497">
        <v>84</v>
      </c>
      <c r="L497" t="b">
        <v>0</v>
      </c>
      <c r="M497">
        <v>951.75</v>
      </c>
      <c r="N497">
        <v>421624.9</v>
      </c>
      <c r="O497" t="s">
        <v>98</v>
      </c>
      <c r="P497" t="str">
        <f>IF(J497=G497+H497-I497,"OK","Check")</f>
        <v>OK</v>
      </c>
      <c r="Q497" t="str">
        <f>IF(AND(J497&lt;=K497,L497=TRUE),"OK",IF(AND(J497&gt;K497,L497=FALSE),"OK","Check"))</f>
        <v>OK</v>
      </c>
      <c r="R497" t="str">
        <f>IF(ABS(N497-J497*M497)&lt;=J497*0.005+0.01,"OK","Check")</f>
        <v>OK</v>
      </c>
      <c r="S497" s="3">
        <f t="shared" si="7"/>
        <v>1</v>
      </c>
    </row>
    <row r="498" spans="1:19">
      <c r="A498" s="1">
        <v>46054</v>
      </c>
      <c r="B498" t="s">
        <v>279</v>
      </c>
      <c r="C498" t="s">
        <v>263</v>
      </c>
      <c r="D498" t="s">
        <v>264</v>
      </c>
      <c r="E498" t="s">
        <v>219</v>
      </c>
      <c r="F498" t="s">
        <v>23</v>
      </c>
      <c r="G498">
        <v>359</v>
      </c>
      <c r="H498">
        <v>0</v>
      </c>
      <c r="I498">
        <v>187</v>
      </c>
      <c r="J498">
        <v>172</v>
      </c>
      <c r="K498">
        <v>139</v>
      </c>
      <c r="L498" t="b">
        <v>0</v>
      </c>
      <c r="M498">
        <v>32.61</v>
      </c>
      <c r="N498">
        <v>5609.41</v>
      </c>
      <c r="O498" t="s">
        <v>27</v>
      </c>
      <c r="P498" t="str">
        <f>IF(J498=G498+H498-I498,"OK","Check")</f>
        <v>OK</v>
      </c>
      <c r="Q498" t="str">
        <f>IF(AND(J498&lt;=K498,L498=TRUE),"OK",IF(AND(J498&gt;K498,L498=FALSE),"OK","Check"))</f>
        <v>OK</v>
      </c>
      <c r="R498" t="str">
        <f>IF(ABS(N498-J498*M498)&lt;=J498*0.005+0.01,"OK","Check")</f>
        <v>OK</v>
      </c>
      <c r="S498" s="3">
        <f t="shared" si="7"/>
        <v>1</v>
      </c>
    </row>
    <row r="499" spans="1:19">
      <c r="A499" s="1">
        <v>46054</v>
      </c>
      <c r="B499" t="s">
        <v>279</v>
      </c>
      <c r="C499" t="s">
        <v>238</v>
      </c>
      <c r="D499" t="s">
        <v>239</v>
      </c>
      <c r="E499" t="s">
        <v>219</v>
      </c>
      <c r="F499" t="s">
        <v>23</v>
      </c>
      <c r="G499">
        <v>476</v>
      </c>
      <c r="H499">
        <v>0</v>
      </c>
      <c r="I499">
        <v>181</v>
      </c>
      <c r="J499">
        <v>295</v>
      </c>
      <c r="K499">
        <v>204</v>
      </c>
      <c r="L499" t="b">
        <v>0</v>
      </c>
      <c r="M499">
        <v>152.96</v>
      </c>
      <c r="N499">
        <v>45123.95</v>
      </c>
      <c r="O499" t="s">
        <v>32</v>
      </c>
      <c r="P499" t="str">
        <f>IF(J499=G499+H499-I499,"OK","Check")</f>
        <v>OK</v>
      </c>
      <c r="Q499" t="str">
        <f>IF(AND(J499&lt;=K499,L499=TRUE),"OK",IF(AND(J499&gt;K499,L499=FALSE),"OK","Check"))</f>
        <v>OK</v>
      </c>
      <c r="R499" t="str">
        <f>IF(ABS(N499-J499*M499)&lt;=J499*0.005+0.01,"OK","Check")</f>
        <v>OK</v>
      </c>
      <c r="S499" s="3">
        <f t="shared" si="7"/>
        <v>1</v>
      </c>
    </row>
    <row r="500" spans="1:19">
      <c r="A500" s="1">
        <v>46054</v>
      </c>
      <c r="B500" t="s">
        <v>279</v>
      </c>
      <c r="C500" t="s">
        <v>240</v>
      </c>
      <c r="D500" t="s">
        <v>241</v>
      </c>
      <c r="E500" t="s">
        <v>219</v>
      </c>
      <c r="F500" t="s">
        <v>23</v>
      </c>
      <c r="G500">
        <v>121</v>
      </c>
      <c r="H500">
        <v>209</v>
      </c>
      <c r="I500">
        <v>118</v>
      </c>
      <c r="J500">
        <v>212</v>
      </c>
      <c r="K500">
        <v>130</v>
      </c>
      <c r="L500" t="b">
        <v>0</v>
      </c>
      <c r="M500">
        <v>58.76</v>
      </c>
      <c r="N500">
        <v>12456.29</v>
      </c>
      <c r="O500" t="s">
        <v>27</v>
      </c>
      <c r="P500" t="str">
        <f>IF(J500=G500+H500-I500,"OK","Check")</f>
        <v>OK</v>
      </c>
      <c r="Q500" t="str">
        <f>IF(AND(J500&lt;=K500,L500=TRUE),"OK",IF(AND(J500&gt;K500,L500=FALSE),"OK","Check"))</f>
        <v>OK</v>
      </c>
      <c r="R500" t="str">
        <f>IF(ABS(N500-J500*M500)&lt;=J500*0.005+0.01,"OK","Check")</f>
        <v>OK</v>
      </c>
      <c r="S500" s="3">
        <f t="shared" si="7"/>
        <v>1</v>
      </c>
    </row>
    <row r="501" spans="1:19">
      <c r="A501" s="1">
        <v>46054</v>
      </c>
      <c r="B501" t="s">
        <v>279</v>
      </c>
      <c r="C501" t="s">
        <v>242</v>
      </c>
      <c r="D501" t="s">
        <v>243</v>
      </c>
      <c r="E501" t="s">
        <v>219</v>
      </c>
      <c r="F501" t="s">
        <v>23</v>
      </c>
      <c r="G501">
        <v>113</v>
      </c>
      <c r="H501">
        <v>202</v>
      </c>
      <c r="I501">
        <v>66</v>
      </c>
      <c r="J501">
        <v>249</v>
      </c>
      <c r="K501">
        <v>100</v>
      </c>
      <c r="L501" t="b">
        <v>0</v>
      </c>
      <c r="M501">
        <v>284.58</v>
      </c>
      <c r="N501">
        <v>70861.11</v>
      </c>
      <c r="O501" t="s">
        <v>60</v>
      </c>
      <c r="P501" t="str">
        <f>IF(J501=G501+H501-I501,"OK","Check")</f>
        <v>OK</v>
      </c>
      <c r="Q501" t="str">
        <f>IF(AND(J501&lt;=K501,L501=TRUE),"OK",IF(AND(J501&gt;K501,L501=FALSE),"OK","Check"))</f>
        <v>OK</v>
      </c>
      <c r="R501" t="str">
        <f>IF(ABS(N501-J501*M501)&lt;=J501*0.005+0.01,"OK","Check")</f>
        <v>OK</v>
      </c>
      <c r="S501" s="3">
        <f t="shared" si="7"/>
        <v>1</v>
      </c>
    </row>
    <row r="502" spans="1:19">
      <c r="A502" s="1">
        <v>46082</v>
      </c>
      <c r="B502" t="s">
        <v>19</v>
      </c>
      <c r="C502" t="s">
        <v>20</v>
      </c>
      <c r="D502" t="s">
        <v>21</v>
      </c>
      <c r="E502" t="s">
        <v>22</v>
      </c>
      <c r="F502" t="s">
        <v>23</v>
      </c>
      <c r="G502">
        <v>168</v>
      </c>
      <c r="H502">
        <v>289</v>
      </c>
      <c r="I502">
        <v>169</v>
      </c>
      <c r="J502">
        <v>288</v>
      </c>
      <c r="K502">
        <v>123</v>
      </c>
      <c r="L502" t="b">
        <v>0</v>
      </c>
      <c r="M502">
        <v>277.2</v>
      </c>
      <c r="N502">
        <v>79834.149999999994</v>
      </c>
      <c r="O502" t="s">
        <v>24</v>
      </c>
      <c r="P502" t="str">
        <f>IF(J502=G502+H502-I502,"OK","Check")</f>
        <v>OK</v>
      </c>
      <c r="Q502" t="str">
        <f>IF(AND(J502&lt;=K502,L502=TRUE),"OK",IF(AND(J502&gt;K502,L502=FALSE),"OK","Check"))</f>
        <v>OK</v>
      </c>
      <c r="R502" t="str">
        <f>IF(ABS(N502-J502*M502)&lt;=J502*0.005+0.01,"OK","Check")</f>
        <v>OK</v>
      </c>
      <c r="S502" s="3">
        <f t="shared" si="7"/>
        <v>1</v>
      </c>
    </row>
    <row r="503" spans="1:19">
      <c r="A503" s="1">
        <v>46082</v>
      </c>
      <c r="B503" t="s">
        <v>19</v>
      </c>
      <c r="C503" t="s">
        <v>25</v>
      </c>
      <c r="D503" t="s">
        <v>26</v>
      </c>
      <c r="E503" t="s">
        <v>22</v>
      </c>
      <c r="F503" t="s">
        <v>23</v>
      </c>
      <c r="G503">
        <v>47</v>
      </c>
      <c r="H503">
        <v>121</v>
      </c>
      <c r="I503">
        <v>31</v>
      </c>
      <c r="J503">
        <v>137</v>
      </c>
      <c r="K503">
        <v>53</v>
      </c>
      <c r="L503" t="b">
        <v>0</v>
      </c>
      <c r="M503">
        <v>1285.03</v>
      </c>
      <c r="N503">
        <v>176048.76</v>
      </c>
      <c r="O503" t="s">
        <v>27</v>
      </c>
      <c r="P503" t="str">
        <f>IF(J503=G503+H503-I503,"OK","Check")</f>
        <v>OK</v>
      </c>
      <c r="Q503" t="str">
        <f>IF(AND(J503&lt;=K503,L503=TRUE),"OK",IF(AND(J503&gt;K503,L503=FALSE),"OK","Check"))</f>
        <v>OK</v>
      </c>
      <c r="R503" t="str">
        <f>IF(ABS(N503-J503*M503)&lt;=J503*0.005+0.01,"OK","Check")</f>
        <v>OK</v>
      </c>
      <c r="S503" s="3">
        <f t="shared" si="7"/>
        <v>1</v>
      </c>
    </row>
    <row r="504" spans="1:19">
      <c r="A504" s="1">
        <v>46082</v>
      </c>
      <c r="B504" t="s">
        <v>19</v>
      </c>
      <c r="C504" t="s">
        <v>28</v>
      </c>
      <c r="D504" t="s">
        <v>29</v>
      </c>
      <c r="E504" t="s">
        <v>22</v>
      </c>
      <c r="F504" t="s">
        <v>23</v>
      </c>
      <c r="G504">
        <v>672</v>
      </c>
      <c r="H504">
        <v>0</v>
      </c>
      <c r="I504">
        <v>124</v>
      </c>
      <c r="J504">
        <v>548</v>
      </c>
      <c r="K504">
        <v>176</v>
      </c>
      <c r="L504" t="b">
        <v>0</v>
      </c>
      <c r="M504">
        <v>98.88</v>
      </c>
      <c r="N504">
        <v>54184.639999999999</v>
      </c>
      <c r="O504" t="s">
        <v>24</v>
      </c>
      <c r="P504" t="str">
        <f>IF(J504=G504+H504-I504,"OK","Check")</f>
        <v>OK</v>
      </c>
      <c r="Q504" t="str">
        <f>IF(AND(J504&lt;=K504,L504=TRUE),"OK",IF(AND(J504&gt;K504,L504=FALSE),"OK","Check"))</f>
        <v>OK</v>
      </c>
      <c r="R504" t="str">
        <f>IF(ABS(N504-J504*M504)&lt;=J504*0.005+0.01,"OK","Check")</f>
        <v>OK</v>
      </c>
      <c r="S504" s="3">
        <f t="shared" si="7"/>
        <v>1</v>
      </c>
    </row>
    <row r="505" spans="1:19">
      <c r="A505" s="1">
        <v>46082</v>
      </c>
      <c r="B505" t="s">
        <v>19</v>
      </c>
      <c r="C505" t="s">
        <v>30</v>
      </c>
      <c r="D505" t="s">
        <v>31</v>
      </c>
      <c r="E505" t="s">
        <v>22</v>
      </c>
      <c r="F505" t="s">
        <v>23</v>
      </c>
      <c r="G505">
        <v>272</v>
      </c>
      <c r="H505">
        <v>0</v>
      </c>
      <c r="I505">
        <v>27</v>
      </c>
      <c r="J505">
        <v>245</v>
      </c>
      <c r="K505">
        <v>96</v>
      </c>
      <c r="L505" t="b">
        <v>0</v>
      </c>
      <c r="M505">
        <v>414.53</v>
      </c>
      <c r="N505">
        <v>101559.95</v>
      </c>
      <c r="O505" t="s">
        <v>32</v>
      </c>
      <c r="P505" t="str">
        <f>IF(J505=G505+H505-I505,"OK","Check")</f>
        <v>OK</v>
      </c>
      <c r="Q505" t="str">
        <f>IF(AND(J505&lt;=K505,L505=TRUE),"OK",IF(AND(J505&gt;K505,L505=FALSE),"OK","Check"))</f>
        <v>OK</v>
      </c>
      <c r="R505" t="str">
        <f>IF(ABS(N505-J505*M505)&lt;=J505*0.005+0.01,"OK","Check")</f>
        <v>OK</v>
      </c>
      <c r="S505" s="3">
        <f t="shared" si="7"/>
        <v>1</v>
      </c>
    </row>
    <row r="506" spans="1:19">
      <c r="A506" s="1">
        <v>46082</v>
      </c>
      <c r="B506" t="s">
        <v>19</v>
      </c>
      <c r="C506" t="s">
        <v>33</v>
      </c>
      <c r="D506" t="s">
        <v>34</v>
      </c>
      <c r="E506" t="s">
        <v>22</v>
      </c>
      <c r="F506" t="s">
        <v>23</v>
      </c>
      <c r="G506">
        <v>360</v>
      </c>
      <c r="H506">
        <v>0</v>
      </c>
      <c r="I506">
        <v>76</v>
      </c>
      <c r="J506">
        <v>284</v>
      </c>
      <c r="K506">
        <v>136</v>
      </c>
      <c r="L506" t="b">
        <v>0</v>
      </c>
      <c r="M506">
        <v>129.80000000000001</v>
      </c>
      <c r="N506">
        <v>36862.910000000003</v>
      </c>
      <c r="O506" t="s">
        <v>24</v>
      </c>
      <c r="P506" t="str">
        <f>IF(J506=G506+H506-I506,"OK","Check")</f>
        <v>OK</v>
      </c>
      <c r="Q506" t="str">
        <f>IF(AND(J506&lt;=K506,L506=TRUE),"OK",IF(AND(J506&gt;K506,L506=FALSE),"OK","Check"))</f>
        <v>OK</v>
      </c>
      <c r="R506" t="str">
        <f>IF(ABS(N506-J506*M506)&lt;=J506*0.005+0.01,"OK","Check")</f>
        <v>OK</v>
      </c>
      <c r="S506" s="3">
        <f t="shared" si="7"/>
        <v>1</v>
      </c>
    </row>
    <row r="507" spans="1:19">
      <c r="A507" s="1">
        <v>46082</v>
      </c>
      <c r="B507" t="s">
        <v>19</v>
      </c>
      <c r="C507" t="s">
        <v>35</v>
      </c>
      <c r="D507" t="s">
        <v>36</v>
      </c>
      <c r="E507" t="s">
        <v>22</v>
      </c>
      <c r="F507" t="s">
        <v>23</v>
      </c>
      <c r="G507">
        <v>888</v>
      </c>
      <c r="H507">
        <v>402</v>
      </c>
      <c r="I507">
        <v>198</v>
      </c>
      <c r="J507">
        <v>1092</v>
      </c>
      <c r="K507">
        <v>159</v>
      </c>
      <c r="L507" t="b">
        <v>0</v>
      </c>
      <c r="M507">
        <v>528.46</v>
      </c>
      <c r="N507">
        <v>577073.81000000006</v>
      </c>
      <c r="O507" t="s">
        <v>37</v>
      </c>
      <c r="P507" t="str">
        <f>IF(J507=G507+H507-I507,"OK","Check")</f>
        <v>OK</v>
      </c>
      <c r="Q507" t="str">
        <f>IF(AND(J507&lt;=K507,L507=TRUE),"OK",IF(AND(J507&gt;K507,L507=FALSE),"OK","Check"))</f>
        <v>OK</v>
      </c>
      <c r="R507" t="str">
        <f>IF(ABS(N507-J507*M507)&lt;=J507*0.005+0.01,"OK","Check")</f>
        <v>OK</v>
      </c>
      <c r="S507" s="3">
        <f t="shared" si="7"/>
        <v>1</v>
      </c>
    </row>
    <row r="508" spans="1:19">
      <c r="A508" s="1">
        <v>46082</v>
      </c>
      <c r="B508" t="s">
        <v>19</v>
      </c>
      <c r="C508" t="s">
        <v>38</v>
      </c>
      <c r="D508" t="s">
        <v>39</v>
      </c>
      <c r="E508" t="s">
        <v>22</v>
      </c>
      <c r="F508" t="s">
        <v>23</v>
      </c>
      <c r="G508">
        <v>446</v>
      </c>
      <c r="H508">
        <v>0</v>
      </c>
      <c r="I508">
        <v>151</v>
      </c>
      <c r="J508">
        <v>295</v>
      </c>
      <c r="K508">
        <v>135</v>
      </c>
      <c r="L508" t="b">
        <v>0</v>
      </c>
      <c r="M508">
        <v>67.94</v>
      </c>
      <c r="N508">
        <v>20041.54</v>
      </c>
      <c r="O508" t="s">
        <v>24</v>
      </c>
      <c r="P508" t="str">
        <f>IF(J508=G508+H508-I508,"OK","Check")</f>
        <v>OK</v>
      </c>
      <c r="Q508" t="str">
        <f>IF(AND(J508&lt;=K508,L508=TRUE),"OK",IF(AND(J508&gt;K508,L508=FALSE),"OK","Check"))</f>
        <v>OK</v>
      </c>
      <c r="R508" t="str">
        <f>IF(ABS(N508-J508*M508)&lt;=J508*0.005+0.01,"OK","Check")</f>
        <v>OK</v>
      </c>
      <c r="S508" s="3">
        <f t="shared" si="7"/>
        <v>1</v>
      </c>
    </row>
    <row r="509" spans="1:19">
      <c r="A509" s="1">
        <v>46082</v>
      </c>
      <c r="B509" t="s">
        <v>19</v>
      </c>
      <c r="C509" t="s">
        <v>40</v>
      </c>
      <c r="D509" t="s">
        <v>41</v>
      </c>
      <c r="E509" t="s">
        <v>22</v>
      </c>
      <c r="F509" t="s">
        <v>23</v>
      </c>
      <c r="G509">
        <v>35</v>
      </c>
      <c r="H509">
        <v>468</v>
      </c>
      <c r="I509">
        <v>186</v>
      </c>
      <c r="J509">
        <v>317</v>
      </c>
      <c r="K509">
        <v>175</v>
      </c>
      <c r="L509" t="b">
        <v>0</v>
      </c>
      <c r="M509">
        <v>367.48</v>
      </c>
      <c r="N509">
        <v>116491.47</v>
      </c>
      <c r="O509" t="s">
        <v>24</v>
      </c>
      <c r="P509" t="str">
        <f>IF(J509=G509+H509-I509,"OK","Check")</f>
        <v>OK</v>
      </c>
      <c r="Q509" t="str">
        <f>IF(AND(J509&lt;=K509,L509=TRUE),"OK",IF(AND(J509&gt;K509,L509=FALSE),"OK","Check"))</f>
        <v>OK</v>
      </c>
      <c r="R509" t="str">
        <f>IF(ABS(N509-J509*M509)&lt;=J509*0.005+0.01,"OK","Check")</f>
        <v>OK</v>
      </c>
      <c r="S509" s="3">
        <f t="shared" si="7"/>
        <v>1</v>
      </c>
    </row>
    <row r="510" spans="1:19">
      <c r="A510" s="1">
        <v>46082</v>
      </c>
      <c r="B510" t="s">
        <v>19</v>
      </c>
      <c r="C510" t="s">
        <v>42</v>
      </c>
      <c r="D510" t="s">
        <v>43</v>
      </c>
      <c r="E510" t="s">
        <v>22</v>
      </c>
      <c r="F510" t="s">
        <v>23</v>
      </c>
      <c r="G510">
        <v>127</v>
      </c>
      <c r="H510">
        <v>235</v>
      </c>
      <c r="I510">
        <v>124</v>
      </c>
      <c r="J510">
        <v>238</v>
      </c>
      <c r="K510">
        <v>120</v>
      </c>
      <c r="L510" t="b">
        <v>0</v>
      </c>
      <c r="M510">
        <v>153.6</v>
      </c>
      <c r="N510">
        <v>36555.78</v>
      </c>
      <c r="O510" t="s">
        <v>44</v>
      </c>
      <c r="P510" t="str">
        <f>IF(J510=G510+H510-I510,"OK","Check")</f>
        <v>OK</v>
      </c>
      <c r="Q510" t="str">
        <f>IF(AND(J510&lt;=K510,L510=TRUE),"OK",IF(AND(J510&gt;K510,L510=FALSE),"OK","Check"))</f>
        <v>OK</v>
      </c>
      <c r="R510" t="str">
        <f>IF(ABS(N510-J510*M510)&lt;=J510*0.005+0.01,"OK","Check")</f>
        <v>OK</v>
      </c>
      <c r="S510" s="3">
        <f t="shared" si="7"/>
        <v>1</v>
      </c>
    </row>
    <row r="511" spans="1:19">
      <c r="A511" s="1">
        <v>46082</v>
      </c>
      <c r="B511" t="s">
        <v>19</v>
      </c>
      <c r="C511" t="s">
        <v>45</v>
      </c>
      <c r="D511" t="s">
        <v>46</v>
      </c>
      <c r="E511" t="s">
        <v>22</v>
      </c>
      <c r="F511" t="s">
        <v>23</v>
      </c>
      <c r="G511">
        <v>56</v>
      </c>
      <c r="H511">
        <v>51</v>
      </c>
      <c r="I511">
        <v>17</v>
      </c>
      <c r="J511">
        <v>90</v>
      </c>
      <c r="K511">
        <v>25</v>
      </c>
      <c r="L511" t="b">
        <v>0</v>
      </c>
      <c r="M511">
        <v>776.32</v>
      </c>
      <c r="N511">
        <v>69869.2</v>
      </c>
      <c r="O511" t="s">
        <v>47</v>
      </c>
      <c r="P511" t="str">
        <f>IF(J511=G511+H511-I511,"OK","Check")</f>
        <v>OK</v>
      </c>
      <c r="Q511" t="str">
        <f>IF(AND(J511&lt;=K511,L511=TRUE),"OK",IF(AND(J511&gt;K511,L511=FALSE),"OK","Check"))</f>
        <v>OK</v>
      </c>
      <c r="R511" t="str">
        <f>IF(ABS(N511-J511*M511)&lt;=J511*0.005+0.01,"OK","Check")</f>
        <v>OK</v>
      </c>
      <c r="S511" s="3">
        <f t="shared" si="7"/>
        <v>1</v>
      </c>
    </row>
    <row r="512" spans="1:19">
      <c r="A512" s="1">
        <v>46082</v>
      </c>
      <c r="B512" t="s">
        <v>19</v>
      </c>
      <c r="C512" t="s">
        <v>48</v>
      </c>
      <c r="D512" t="s">
        <v>49</v>
      </c>
      <c r="E512" t="s">
        <v>22</v>
      </c>
      <c r="F512" t="s">
        <v>23</v>
      </c>
      <c r="G512">
        <v>406</v>
      </c>
      <c r="H512">
        <v>391</v>
      </c>
      <c r="I512">
        <v>88</v>
      </c>
      <c r="J512">
        <v>709</v>
      </c>
      <c r="K512">
        <v>153</v>
      </c>
      <c r="L512" t="b">
        <v>0</v>
      </c>
      <c r="M512">
        <v>62.04</v>
      </c>
      <c r="N512">
        <v>43983.1</v>
      </c>
      <c r="O512" t="s">
        <v>44</v>
      </c>
      <c r="P512" t="str">
        <f>IF(J512=G512+H512-I512,"OK","Check")</f>
        <v>OK</v>
      </c>
      <c r="Q512" t="str">
        <f>IF(AND(J512&lt;=K512,L512=TRUE),"OK",IF(AND(J512&gt;K512,L512=FALSE),"OK","Check"))</f>
        <v>OK</v>
      </c>
      <c r="R512" t="str">
        <f>IF(ABS(N512-J512*M512)&lt;=J512*0.005+0.01,"OK","Check")</f>
        <v>OK</v>
      </c>
      <c r="S512" s="3">
        <f t="shared" si="7"/>
        <v>1</v>
      </c>
    </row>
    <row r="513" spans="1:19">
      <c r="A513" s="1">
        <v>46082</v>
      </c>
      <c r="B513" t="s">
        <v>19</v>
      </c>
      <c r="C513" t="s">
        <v>50</v>
      </c>
      <c r="D513" t="s">
        <v>51</v>
      </c>
      <c r="E513" t="s">
        <v>22</v>
      </c>
      <c r="F513" t="s">
        <v>23</v>
      </c>
      <c r="G513">
        <v>458</v>
      </c>
      <c r="H513">
        <v>0</v>
      </c>
      <c r="I513">
        <v>119</v>
      </c>
      <c r="J513">
        <v>339</v>
      </c>
      <c r="K513">
        <v>156</v>
      </c>
      <c r="L513" t="b">
        <v>0</v>
      </c>
      <c r="M513">
        <v>261.62</v>
      </c>
      <c r="N513">
        <v>88687.74</v>
      </c>
      <c r="O513" t="s">
        <v>24</v>
      </c>
      <c r="P513" t="str">
        <f>IF(J513=G513+H513-I513,"OK","Check")</f>
        <v>OK</v>
      </c>
      <c r="Q513" t="str">
        <f>IF(AND(J513&lt;=K513,L513=TRUE),"OK",IF(AND(J513&gt;K513,L513=FALSE),"OK","Check"))</f>
        <v>OK</v>
      </c>
      <c r="R513" t="str">
        <f>IF(ABS(N513-J513*M513)&lt;=J513*0.005+0.01,"OK","Check")</f>
        <v>OK</v>
      </c>
      <c r="S513" s="3">
        <f t="shared" si="7"/>
        <v>1</v>
      </c>
    </row>
    <row r="514" spans="1:19">
      <c r="A514" s="1">
        <v>46082</v>
      </c>
      <c r="B514" t="s">
        <v>19</v>
      </c>
      <c r="C514" t="s">
        <v>52</v>
      </c>
      <c r="D514" t="s">
        <v>53</v>
      </c>
      <c r="E514" t="s">
        <v>22</v>
      </c>
      <c r="F514" t="s">
        <v>23</v>
      </c>
      <c r="G514">
        <v>518</v>
      </c>
      <c r="H514">
        <v>0</v>
      </c>
      <c r="I514">
        <v>195</v>
      </c>
      <c r="J514">
        <v>323</v>
      </c>
      <c r="K514">
        <v>159</v>
      </c>
      <c r="L514" t="b">
        <v>0</v>
      </c>
      <c r="M514">
        <v>55.1</v>
      </c>
      <c r="N514">
        <v>17797.22</v>
      </c>
      <c r="O514" t="s">
        <v>47</v>
      </c>
      <c r="P514" t="str">
        <f>IF(J514=G514+H514-I514,"OK","Check")</f>
        <v>OK</v>
      </c>
      <c r="Q514" t="str">
        <f>IF(AND(J514&lt;=K514,L514=TRUE),"OK",IF(AND(J514&gt;K514,L514=FALSE),"OK","Check"))</f>
        <v>OK</v>
      </c>
      <c r="R514" t="str">
        <f>IF(ABS(N514-J514*M514)&lt;=J514*0.005+0.01,"OK","Check")</f>
        <v>OK</v>
      </c>
      <c r="S514" s="3">
        <f t="shared" ref="S514:S577" si="8">COUNTIFS(A:A,A514,B:B,B514,C:C,C514)</f>
        <v>1</v>
      </c>
    </row>
    <row r="515" spans="1:19">
      <c r="A515" s="1">
        <v>46082</v>
      </c>
      <c r="B515" t="s">
        <v>19</v>
      </c>
      <c r="C515" t="s">
        <v>54</v>
      </c>
      <c r="D515" t="s">
        <v>55</v>
      </c>
      <c r="E515" t="s">
        <v>22</v>
      </c>
      <c r="F515" t="s">
        <v>23</v>
      </c>
      <c r="G515">
        <v>165</v>
      </c>
      <c r="H515">
        <v>0</v>
      </c>
      <c r="I515">
        <v>104</v>
      </c>
      <c r="J515">
        <v>61</v>
      </c>
      <c r="K515">
        <v>135</v>
      </c>
      <c r="L515" t="b">
        <v>1</v>
      </c>
      <c r="M515">
        <v>246.72</v>
      </c>
      <c r="N515">
        <v>15050.1</v>
      </c>
      <c r="O515" t="s">
        <v>44</v>
      </c>
      <c r="P515" t="str">
        <f>IF(J515=G515+H515-I515,"OK","Check")</f>
        <v>OK</v>
      </c>
      <c r="Q515" t="str">
        <f>IF(AND(J515&lt;=K515,L515=TRUE),"OK",IF(AND(J515&gt;K515,L515=FALSE),"OK","Check"))</f>
        <v>OK</v>
      </c>
      <c r="R515" t="str">
        <f>IF(ABS(N515-J515*M515)&lt;=J515*0.005+0.01,"OK","Check")</f>
        <v>OK</v>
      </c>
      <c r="S515" s="3">
        <f t="shared" si="8"/>
        <v>1</v>
      </c>
    </row>
    <row r="516" spans="1:19">
      <c r="A516" s="1">
        <v>46082</v>
      </c>
      <c r="B516" t="s">
        <v>19</v>
      </c>
      <c r="C516" t="s">
        <v>56</v>
      </c>
      <c r="D516" t="s">
        <v>57</v>
      </c>
      <c r="E516" t="s">
        <v>22</v>
      </c>
      <c r="F516" t="s">
        <v>23</v>
      </c>
      <c r="G516">
        <v>47</v>
      </c>
      <c r="H516">
        <v>367</v>
      </c>
      <c r="I516">
        <v>167</v>
      </c>
      <c r="J516">
        <v>247</v>
      </c>
      <c r="K516">
        <v>157</v>
      </c>
      <c r="L516" t="b">
        <v>0</v>
      </c>
      <c r="M516">
        <v>417.36</v>
      </c>
      <c r="N516">
        <v>103089</v>
      </c>
      <c r="O516" t="s">
        <v>24</v>
      </c>
      <c r="P516" t="str">
        <f>IF(J516=G516+H516-I516,"OK","Check")</f>
        <v>OK</v>
      </c>
      <c r="Q516" t="str">
        <f>IF(AND(J516&lt;=K516,L516=TRUE),"OK",IF(AND(J516&gt;K516,L516=FALSE),"OK","Check"))</f>
        <v>OK</v>
      </c>
      <c r="R516" t="str">
        <f>IF(ABS(N516-J516*M516)&lt;=J516*0.005+0.01,"OK","Check")</f>
        <v>OK</v>
      </c>
      <c r="S516" s="3">
        <f t="shared" si="8"/>
        <v>1</v>
      </c>
    </row>
    <row r="517" spans="1:19">
      <c r="A517" s="1">
        <v>46082</v>
      </c>
      <c r="B517" t="s">
        <v>19</v>
      </c>
      <c r="C517" t="s">
        <v>58</v>
      </c>
      <c r="D517" t="s">
        <v>59</v>
      </c>
      <c r="E517" t="s">
        <v>22</v>
      </c>
      <c r="F517" t="s">
        <v>23</v>
      </c>
      <c r="G517">
        <v>74</v>
      </c>
      <c r="H517">
        <v>0</v>
      </c>
      <c r="I517">
        <v>64</v>
      </c>
      <c r="J517">
        <v>10</v>
      </c>
      <c r="K517">
        <v>48</v>
      </c>
      <c r="L517" t="b">
        <v>1</v>
      </c>
      <c r="M517">
        <v>2191.87</v>
      </c>
      <c r="N517">
        <v>21918.67</v>
      </c>
      <c r="O517" t="s">
        <v>60</v>
      </c>
      <c r="P517" t="str">
        <f>IF(J517=G517+H517-I517,"OK","Check")</f>
        <v>OK</v>
      </c>
      <c r="Q517" t="str">
        <f>IF(AND(J517&lt;=K517,L517=TRUE),"OK",IF(AND(J517&gt;K517,L517=FALSE),"OK","Check"))</f>
        <v>OK</v>
      </c>
      <c r="R517" t="str">
        <f>IF(ABS(N517-J517*M517)&lt;=J517*0.005+0.01,"OK","Check")</f>
        <v>OK</v>
      </c>
      <c r="S517" s="3">
        <f t="shared" si="8"/>
        <v>1</v>
      </c>
    </row>
    <row r="518" spans="1:19">
      <c r="A518" s="1">
        <v>46082</v>
      </c>
      <c r="B518" t="s">
        <v>19</v>
      </c>
      <c r="C518" t="s">
        <v>61</v>
      </c>
      <c r="D518" t="s">
        <v>62</v>
      </c>
      <c r="E518" t="s">
        <v>22</v>
      </c>
      <c r="F518" t="s">
        <v>23</v>
      </c>
      <c r="G518">
        <v>53</v>
      </c>
      <c r="H518">
        <v>179</v>
      </c>
      <c r="I518">
        <v>44</v>
      </c>
      <c r="J518">
        <v>188</v>
      </c>
      <c r="K518">
        <v>50</v>
      </c>
      <c r="L518" t="b">
        <v>0</v>
      </c>
      <c r="M518">
        <v>26.4</v>
      </c>
      <c r="N518">
        <v>4964.03</v>
      </c>
      <c r="O518" t="s">
        <v>44</v>
      </c>
      <c r="P518" t="str">
        <f>IF(J518=G518+H518-I518,"OK","Check")</f>
        <v>OK</v>
      </c>
      <c r="Q518" t="str">
        <f>IF(AND(J518&lt;=K518,L518=TRUE),"OK",IF(AND(J518&gt;K518,L518=FALSE),"OK","Check"))</f>
        <v>OK</v>
      </c>
      <c r="R518" t="str">
        <f>IF(ABS(N518-J518*M518)&lt;=J518*0.005+0.01,"OK","Check")</f>
        <v>OK</v>
      </c>
      <c r="S518" s="3">
        <f t="shared" si="8"/>
        <v>1</v>
      </c>
    </row>
    <row r="519" spans="1:19">
      <c r="A519" s="1">
        <v>46082</v>
      </c>
      <c r="B519" t="s">
        <v>19</v>
      </c>
      <c r="C519" t="s">
        <v>63</v>
      </c>
      <c r="D519" t="s">
        <v>64</v>
      </c>
      <c r="E519" t="s">
        <v>22</v>
      </c>
      <c r="F519" t="s">
        <v>23</v>
      </c>
      <c r="G519">
        <v>105</v>
      </c>
      <c r="H519">
        <v>677</v>
      </c>
      <c r="I519">
        <v>144</v>
      </c>
      <c r="J519">
        <v>638</v>
      </c>
      <c r="K519">
        <v>251</v>
      </c>
      <c r="L519" t="b">
        <v>0</v>
      </c>
      <c r="M519">
        <v>106.44</v>
      </c>
      <c r="N519">
        <v>67909.03</v>
      </c>
      <c r="O519" t="s">
        <v>47</v>
      </c>
      <c r="P519" t="str">
        <f>IF(J519=G519+H519-I519,"OK","Check")</f>
        <v>OK</v>
      </c>
      <c r="Q519" t="str">
        <f>IF(AND(J519&lt;=K519,L519=TRUE),"OK",IF(AND(J519&gt;K519,L519=FALSE),"OK","Check"))</f>
        <v>OK</v>
      </c>
      <c r="R519" t="str">
        <f>IF(ABS(N519-J519*M519)&lt;=J519*0.005+0.01,"OK","Check")</f>
        <v>OK</v>
      </c>
      <c r="S519" s="3">
        <f t="shared" si="8"/>
        <v>1</v>
      </c>
    </row>
    <row r="520" spans="1:19">
      <c r="A520" s="1">
        <v>46082</v>
      </c>
      <c r="B520" t="s">
        <v>19</v>
      </c>
      <c r="C520" t="s">
        <v>65</v>
      </c>
      <c r="D520" t="s">
        <v>66</v>
      </c>
      <c r="E520" t="s">
        <v>22</v>
      </c>
      <c r="F520" t="s">
        <v>23</v>
      </c>
      <c r="G520">
        <v>184</v>
      </c>
      <c r="H520">
        <v>149</v>
      </c>
      <c r="I520">
        <v>43</v>
      </c>
      <c r="J520">
        <v>290</v>
      </c>
      <c r="K520">
        <v>52</v>
      </c>
      <c r="L520" t="b">
        <v>0</v>
      </c>
      <c r="M520">
        <v>73.069999999999993</v>
      </c>
      <c r="N520">
        <v>21191.39</v>
      </c>
      <c r="O520" t="s">
        <v>44</v>
      </c>
      <c r="P520" t="str">
        <f>IF(J520=G520+H520-I520,"OK","Check")</f>
        <v>OK</v>
      </c>
      <c r="Q520" t="str">
        <f>IF(AND(J520&lt;=K520,L520=TRUE),"OK",IF(AND(J520&gt;K520,L520=FALSE),"OK","Check"))</f>
        <v>OK</v>
      </c>
      <c r="R520" t="str">
        <f>IF(ABS(N520-J520*M520)&lt;=J520*0.005+0.01,"OK","Check")</f>
        <v>OK</v>
      </c>
      <c r="S520" s="3">
        <f t="shared" si="8"/>
        <v>1</v>
      </c>
    </row>
    <row r="521" spans="1:19">
      <c r="A521" s="1">
        <v>46082</v>
      </c>
      <c r="B521" t="s">
        <v>19</v>
      </c>
      <c r="C521" t="s">
        <v>67</v>
      </c>
      <c r="D521" t="s">
        <v>68</v>
      </c>
      <c r="E521" t="s">
        <v>22</v>
      </c>
      <c r="F521" t="s">
        <v>23</v>
      </c>
      <c r="G521">
        <v>264</v>
      </c>
      <c r="H521">
        <v>0</v>
      </c>
      <c r="I521">
        <v>99</v>
      </c>
      <c r="J521">
        <v>165</v>
      </c>
      <c r="K521">
        <v>123</v>
      </c>
      <c r="L521" t="b">
        <v>0</v>
      </c>
      <c r="M521">
        <v>376.1</v>
      </c>
      <c r="N521">
        <v>62055.75</v>
      </c>
      <c r="O521" t="s">
        <v>27</v>
      </c>
      <c r="P521" t="str">
        <f>IF(J521=G521+H521-I521,"OK","Check")</f>
        <v>OK</v>
      </c>
      <c r="Q521" t="str">
        <f>IF(AND(J521&lt;=K521,L521=TRUE),"OK",IF(AND(J521&gt;K521,L521=FALSE),"OK","Check"))</f>
        <v>OK</v>
      </c>
      <c r="R521" t="str">
        <f>IF(ABS(N521-J521*M521)&lt;=J521*0.005+0.01,"OK","Check")</f>
        <v>OK</v>
      </c>
      <c r="S521" s="3">
        <f t="shared" si="8"/>
        <v>1</v>
      </c>
    </row>
    <row r="522" spans="1:19">
      <c r="A522" s="1">
        <v>46082</v>
      </c>
      <c r="B522" t="s">
        <v>19</v>
      </c>
      <c r="C522" t="s">
        <v>69</v>
      </c>
      <c r="D522" t="s">
        <v>70</v>
      </c>
      <c r="E522" t="s">
        <v>71</v>
      </c>
      <c r="F522" t="s">
        <v>23</v>
      </c>
      <c r="G522">
        <v>828</v>
      </c>
      <c r="H522">
        <v>0</v>
      </c>
      <c r="I522">
        <v>245</v>
      </c>
      <c r="J522">
        <v>583</v>
      </c>
      <c r="K522">
        <v>140</v>
      </c>
      <c r="L522" t="b">
        <v>0</v>
      </c>
      <c r="M522">
        <v>95.6</v>
      </c>
      <c r="N522">
        <v>55737.03</v>
      </c>
      <c r="O522" t="s">
        <v>27</v>
      </c>
      <c r="P522" t="str">
        <f>IF(J522=G522+H522-I522,"OK","Check")</f>
        <v>OK</v>
      </c>
      <c r="Q522" t="str">
        <f>IF(AND(J522&lt;=K522,L522=TRUE),"OK",IF(AND(J522&gt;K522,L522=FALSE),"OK","Check"))</f>
        <v>OK</v>
      </c>
      <c r="R522" t="str">
        <f>IF(ABS(N522-J522*M522)&lt;=J522*0.005+0.01,"OK","Check")</f>
        <v>OK</v>
      </c>
      <c r="S522" s="3">
        <f t="shared" si="8"/>
        <v>1</v>
      </c>
    </row>
    <row r="523" spans="1:19">
      <c r="A523" s="1">
        <v>46082</v>
      </c>
      <c r="B523" t="s">
        <v>19</v>
      </c>
      <c r="C523" t="s">
        <v>72</v>
      </c>
      <c r="D523" t="s">
        <v>73</v>
      </c>
      <c r="E523" t="s">
        <v>71</v>
      </c>
      <c r="F523" t="s">
        <v>23</v>
      </c>
      <c r="G523">
        <v>201</v>
      </c>
      <c r="H523">
        <v>452</v>
      </c>
      <c r="I523">
        <v>183</v>
      </c>
      <c r="J523">
        <v>470</v>
      </c>
      <c r="K523">
        <v>233</v>
      </c>
      <c r="L523" t="b">
        <v>0</v>
      </c>
      <c r="M523">
        <v>436.74</v>
      </c>
      <c r="N523">
        <v>205268.99</v>
      </c>
      <c r="O523" t="s">
        <v>60</v>
      </c>
      <c r="P523" t="str">
        <f>IF(J523=G523+H523-I523,"OK","Check")</f>
        <v>OK</v>
      </c>
      <c r="Q523" t="str">
        <f>IF(AND(J523&lt;=K523,L523=TRUE),"OK",IF(AND(J523&gt;K523,L523=FALSE),"OK","Check"))</f>
        <v>OK</v>
      </c>
      <c r="R523" t="str">
        <f>IF(ABS(N523-J523*M523)&lt;=J523*0.005+0.01,"OK","Check")</f>
        <v>OK</v>
      </c>
      <c r="S523" s="3">
        <f t="shared" si="8"/>
        <v>1</v>
      </c>
    </row>
    <row r="524" spans="1:19">
      <c r="A524" s="1">
        <v>46082</v>
      </c>
      <c r="B524" t="s">
        <v>19</v>
      </c>
      <c r="C524" t="s">
        <v>74</v>
      </c>
      <c r="D524" t="s">
        <v>75</v>
      </c>
      <c r="E524" t="s">
        <v>71</v>
      </c>
      <c r="F524" t="s">
        <v>23</v>
      </c>
      <c r="G524">
        <v>95</v>
      </c>
      <c r="H524">
        <v>168</v>
      </c>
      <c r="I524">
        <v>36</v>
      </c>
      <c r="J524">
        <v>227</v>
      </c>
      <c r="K524">
        <v>44</v>
      </c>
      <c r="L524" t="b">
        <v>0</v>
      </c>
      <c r="M524">
        <v>239.68</v>
      </c>
      <c r="N524">
        <v>54407.98</v>
      </c>
      <c r="O524" t="s">
        <v>37</v>
      </c>
      <c r="P524" t="str">
        <f>IF(J524=G524+H524-I524,"OK","Check")</f>
        <v>OK</v>
      </c>
      <c r="Q524" t="str">
        <f>IF(AND(J524&lt;=K524,L524=TRUE),"OK",IF(AND(J524&gt;K524,L524=FALSE),"OK","Check"))</f>
        <v>OK</v>
      </c>
      <c r="R524" t="str">
        <f>IF(ABS(N524-J524*M524)&lt;=J524*0.005+0.01,"OK","Check")</f>
        <v>OK</v>
      </c>
      <c r="S524" s="3">
        <f t="shared" si="8"/>
        <v>1</v>
      </c>
    </row>
    <row r="525" spans="1:19">
      <c r="A525" s="1">
        <v>46082</v>
      </c>
      <c r="B525" t="s">
        <v>19</v>
      </c>
      <c r="C525" t="s">
        <v>76</v>
      </c>
      <c r="D525" t="s">
        <v>77</v>
      </c>
      <c r="E525" t="s">
        <v>71</v>
      </c>
      <c r="F525" t="s">
        <v>23</v>
      </c>
      <c r="G525">
        <v>403</v>
      </c>
      <c r="H525">
        <v>0</v>
      </c>
      <c r="I525">
        <v>191</v>
      </c>
      <c r="J525">
        <v>212</v>
      </c>
      <c r="K525">
        <v>198</v>
      </c>
      <c r="L525" t="b">
        <v>0</v>
      </c>
      <c r="M525">
        <v>1133.4000000000001</v>
      </c>
      <c r="N525">
        <v>240281.53</v>
      </c>
      <c r="O525" t="s">
        <v>37</v>
      </c>
      <c r="P525" t="str">
        <f>IF(J525=G525+H525-I525,"OK","Check")</f>
        <v>OK</v>
      </c>
      <c r="Q525" t="str">
        <f>IF(AND(J525&lt;=K525,L525=TRUE),"OK",IF(AND(J525&gt;K525,L525=FALSE),"OK","Check"))</f>
        <v>OK</v>
      </c>
      <c r="R525" t="str">
        <f>IF(ABS(N525-J525*M525)&lt;=J525*0.005+0.01,"OK","Check")</f>
        <v>OK</v>
      </c>
      <c r="S525" s="3">
        <f t="shared" si="8"/>
        <v>1</v>
      </c>
    </row>
    <row r="526" spans="1:19">
      <c r="A526" s="1">
        <v>46082</v>
      </c>
      <c r="B526" t="s">
        <v>19</v>
      </c>
      <c r="C526" t="s">
        <v>78</v>
      </c>
      <c r="D526" t="s">
        <v>79</v>
      </c>
      <c r="E526" t="s">
        <v>71</v>
      </c>
      <c r="F526" t="s">
        <v>23</v>
      </c>
      <c r="G526">
        <v>39</v>
      </c>
      <c r="H526">
        <v>0</v>
      </c>
      <c r="I526">
        <v>35</v>
      </c>
      <c r="J526">
        <v>4</v>
      </c>
      <c r="K526">
        <v>23</v>
      </c>
      <c r="L526" t="b">
        <v>1</v>
      </c>
      <c r="M526">
        <v>367.29</v>
      </c>
      <c r="N526">
        <v>1469.15</v>
      </c>
      <c r="O526" t="s">
        <v>47</v>
      </c>
      <c r="P526" t="str">
        <f>IF(J526=G526+H526-I526,"OK","Check")</f>
        <v>OK</v>
      </c>
      <c r="Q526" t="str">
        <f>IF(AND(J526&lt;=K526,L526=TRUE),"OK",IF(AND(J526&gt;K526,L526=FALSE),"OK","Check"))</f>
        <v>OK</v>
      </c>
      <c r="R526" t="str">
        <f>IF(ABS(N526-J526*M526)&lt;=J526*0.005+0.01,"OK","Check")</f>
        <v>OK</v>
      </c>
      <c r="S526" s="3">
        <f t="shared" si="8"/>
        <v>1</v>
      </c>
    </row>
    <row r="527" spans="1:19">
      <c r="A527" s="1">
        <v>46082</v>
      </c>
      <c r="B527" t="s">
        <v>19</v>
      </c>
      <c r="C527" t="s">
        <v>80</v>
      </c>
      <c r="D527" t="s">
        <v>81</v>
      </c>
      <c r="E527" t="s">
        <v>71</v>
      </c>
      <c r="F527" t="s">
        <v>23</v>
      </c>
      <c r="G527">
        <v>338</v>
      </c>
      <c r="H527">
        <v>0</v>
      </c>
      <c r="I527">
        <v>206</v>
      </c>
      <c r="J527">
        <v>132</v>
      </c>
      <c r="K527">
        <v>193</v>
      </c>
      <c r="L527" t="b">
        <v>1</v>
      </c>
      <c r="M527">
        <v>1800.2</v>
      </c>
      <c r="N527">
        <v>237626.78</v>
      </c>
      <c r="O527" t="s">
        <v>32</v>
      </c>
      <c r="P527" t="str">
        <f>IF(J527=G527+H527-I527,"OK","Check")</f>
        <v>OK</v>
      </c>
      <c r="Q527" t="str">
        <f>IF(AND(J527&lt;=K527,L527=TRUE),"OK",IF(AND(J527&gt;K527,L527=FALSE),"OK","Check"))</f>
        <v>OK</v>
      </c>
      <c r="R527" t="str">
        <f>IF(ABS(N527-J527*M527)&lt;=J527*0.005+0.01,"OK","Check")</f>
        <v>OK</v>
      </c>
      <c r="S527" s="3">
        <f t="shared" si="8"/>
        <v>1</v>
      </c>
    </row>
    <row r="528" spans="1:19">
      <c r="A528" s="1">
        <v>46082</v>
      </c>
      <c r="B528" t="s">
        <v>19</v>
      </c>
      <c r="C528" t="s">
        <v>82</v>
      </c>
      <c r="D528" t="s">
        <v>83</v>
      </c>
      <c r="E528" t="s">
        <v>71</v>
      </c>
      <c r="F528" t="s">
        <v>23</v>
      </c>
      <c r="G528">
        <v>708</v>
      </c>
      <c r="H528">
        <v>0</v>
      </c>
      <c r="I528">
        <v>142</v>
      </c>
      <c r="J528">
        <v>566</v>
      </c>
      <c r="K528">
        <v>169</v>
      </c>
      <c r="L528" t="b">
        <v>0</v>
      </c>
      <c r="M528">
        <v>1838.5</v>
      </c>
      <c r="N528">
        <v>1040592.24</v>
      </c>
      <c r="O528" t="s">
        <v>37</v>
      </c>
      <c r="P528" t="str">
        <f>IF(J528=G528+H528-I528,"OK","Check")</f>
        <v>OK</v>
      </c>
      <c r="Q528" t="str">
        <f>IF(AND(J528&lt;=K528,L528=TRUE),"OK",IF(AND(J528&gt;K528,L528=FALSE),"OK","Check"))</f>
        <v>OK</v>
      </c>
      <c r="R528" t="str">
        <f>IF(ABS(N528-J528*M528)&lt;=J528*0.005+0.01,"OK","Check")</f>
        <v>OK</v>
      </c>
      <c r="S528" s="3">
        <f t="shared" si="8"/>
        <v>1</v>
      </c>
    </row>
    <row r="529" spans="1:19">
      <c r="A529" s="1">
        <v>46082</v>
      </c>
      <c r="B529" t="s">
        <v>19</v>
      </c>
      <c r="C529" t="s">
        <v>84</v>
      </c>
      <c r="D529" t="s">
        <v>85</v>
      </c>
      <c r="E529" t="s">
        <v>71</v>
      </c>
      <c r="F529" t="s">
        <v>23</v>
      </c>
      <c r="G529">
        <v>224</v>
      </c>
      <c r="H529">
        <v>0</v>
      </c>
      <c r="I529">
        <v>94</v>
      </c>
      <c r="J529">
        <v>130</v>
      </c>
      <c r="K529">
        <v>148</v>
      </c>
      <c r="L529" t="b">
        <v>1</v>
      </c>
      <c r="M529">
        <v>8198.7000000000007</v>
      </c>
      <c r="N529">
        <v>1065831</v>
      </c>
      <c r="O529" t="s">
        <v>47</v>
      </c>
      <c r="P529" t="str">
        <f>IF(J529=G529+H529-I529,"OK","Check")</f>
        <v>OK</v>
      </c>
      <c r="Q529" t="str">
        <f>IF(AND(J529&lt;=K529,L529=TRUE),"OK",IF(AND(J529&gt;K529,L529=FALSE),"OK","Check"))</f>
        <v>OK</v>
      </c>
      <c r="R529" t="str">
        <f>IF(ABS(N529-J529*M529)&lt;=J529*0.005+0.01,"OK","Check")</f>
        <v>OK</v>
      </c>
      <c r="S529" s="3">
        <f t="shared" si="8"/>
        <v>1</v>
      </c>
    </row>
    <row r="530" spans="1:19">
      <c r="A530" s="1">
        <v>46082</v>
      </c>
      <c r="B530" t="s">
        <v>19</v>
      </c>
      <c r="C530" t="s">
        <v>86</v>
      </c>
      <c r="D530" t="s">
        <v>87</v>
      </c>
      <c r="E530" t="s">
        <v>71</v>
      </c>
      <c r="F530" t="s">
        <v>23</v>
      </c>
      <c r="G530">
        <v>245</v>
      </c>
      <c r="H530">
        <v>0</v>
      </c>
      <c r="I530">
        <v>94</v>
      </c>
      <c r="J530">
        <v>151</v>
      </c>
      <c r="K530">
        <v>174</v>
      </c>
      <c r="L530" t="b">
        <v>1</v>
      </c>
      <c r="M530">
        <v>49.4</v>
      </c>
      <c r="N530">
        <v>7459.63</v>
      </c>
      <c r="O530" t="s">
        <v>60</v>
      </c>
      <c r="P530" t="str">
        <f>IF(J530=G530+H530-I530,"OK","Check")</f>
        <v>OK</v>
      </c>
      <c r="Q530" t="str">
        <f>IF(AND(J530&lt;=K530,L530=TRUE),"OK",IF(AND(J530&gt;K530,L530=FALSE),"OK","Check"))</f>
        <v>OK</v>
      </c>
      <c r="R530" t="str">
        <f>IF(ABS(N530-J530*M530)&lt;=J530*0.005+0.01,"OK","Check")</f>
        <v>OK</v>
      </c>
      <c r="S530" s="3">
        <f t="shared" si="8"/>
        <v>1</v>
      </c>
    </row>
    <row r="531" spans="1:19">
      <c r="A531" s="1">
        <v>46082</v>
      </c>
      <c r="B531" t="s">
        <v>19</v>
      </c>
      <c r="C531" t="s">
        <v>88</v>
      </c>
      <c r="D531" t="s">
        <v>89</v>
      </c>
      <c r="E531" t="s">
        <v>71</v>
      </c>
      <c r="F531" t="s">
        <v>23</v>
      </c>
      <c r="G531">
        <v>79</v>
      </c>
      <c r="H531">
        <v>0</v>
      </c>
      <c r="I531">
        <v>61</v>
      </c>
      <c r="J531">
        <v>18</v>
      </c>
      <c r="K531">
        <v>54</v>
      </c>
      <c r="L531" t="b">
        <v>1</v>
      </c>
      <c r="M531">
        <v>194.38</v>
      </c>
      <c r="N531">
        <v>3498.8</v>
      </c>
      <c r="O531" t="s">
        <v>32</v>
      </c>
      <c r="P531" t="str">
        <f>IF(J531=G531+H531-I531,"OK","Check")</f>
        <v>OK</v>
      </c>
      <c r="Q531" t="str">
        <f>IF(AND(J531&lt;=K531,L531=TRUE),"OK",IF(AND(J531&gt;K531,L531=FALSE),"OK","Check"))</f>
        <v>OK</v>
      </c>
      <c r="R531" t="str">
        <f>IF(ABS(N531-J531*M531)&lt;=J531*0.005+0.01,"OK","Check")</f>
        <v>OK</v>
      </c>
      <c r="S531" s="3">
        <f t="shared" si="8"/>
        <v>1</v>
      </c>
    </row>
    <row r="532" spans="1:19">
      <c r="A532" s="1">
        <v>46082</v>
      </c>
      <c r="B532" t="s">
        <v>19</v>
      </c>
      <c r="C532" t="s">
        <v>90</v>
      </c>
      <c r="D532" t="s">
        <v>91</v>
      </c>
      <c r="E532" t="s">
        <v>71</v>
      </c>
      <c r="F532" t="s">
        <v>23</v>
      </c>
      <c r="G532">
        <v>112</v>
      </c>
      <c r="H532">
        <v>0</v>
      </c>
      <c r="I532">
        <v>33</v>
      </c>
      <c r="J532">
        <v>79</v>
      </c>
      <c r="K532">
        <v>43</v>
      </c>
      <c r="L532" t="b">
        <v>0</v>
      </c>
      <c r="M532">
        <v>1650.26</v>
      </c>
      <c r="N532">
        <v>130370.57</v>
      </c>
      <c r="O532" t="s">
        <v>32</v>
      </c>
      <c r="P532" t="str">
        <f>IF(J532=G532+H532-I532,"OK","Check")</f>
        <v>OK</v>
      </c>
      <c r="Q532" t="str">
        <f>IF(AND(J532&lt;=K532,L532=TRUE),"OK",IF(AND(J532&gt;K532,L532=FALSE),"OK","Check"))</f>
        <v>OK</v>
      </c>
      <c r="R532" t="str">
        <f>IF(ABS(N532-J532*M532)&lt;=J532*0.005+0.01,"OK","Check")</f>
        <v>OK</v>
      </c>
      <c r="S532" s="3">
        <f t="shared" si="8"/>
        <v>1</v>
      </c>
    </row>
    <row r="533" spans="1:19">
      <c r="A533" s="1">
        <v>46082</v>
      </c>
      <c r="B533" t="s">
        <v>19</v>
      </c>
      <c r="C533" t="s">
        <v>92</v>
      </c>
      <c r="D533" t="s">
        <v>93</v>
      </c>
      <c r="E533" t="s">
        <v>71</v>
      </c>
      <c r="F533" t="s">
        <v>23</v>
      </c>
      <c r="G533">
        <v>407</v>
      </c>
      <c r="H533">
        <v>0</v>
      </c>
      <c r="I533">
        <v>184</v>
      </c>
      <c r="J533">
        <v>223</v>
      </c>
      <c r="K533">
        <v>137</v>
      </c>
      <c r="L533" t="b">
        <v>0</v>
      </c>
      <c r="M533">
        <v>272.17</v>
      </c>
      <c r="N533">
        <v>60694.67</v>
      </c>
      <c r="O533" t="s">
        <v>24</v>
      </c>
      <c r="P533" t="str">
        <f>IF(J533=G533+H533-I533,"OK","Check")</f>
        <v>OK</v>
      </c>
      <c r="Q533" t="str">
        <f>IF(AND(J533&lt;=K533,L533=TRUE),"OK",IF(AND(J533&gt;K533,L533=FALSE),"OK","Check"))</f>
        <v>OK</v>
      </c>
      <c r="R533" t="str">
        <f>IF(ABS(N533-J533*M533)&lt;=J533*0.005+0.01,"OK","Check")</f>
        <v>OK</v>
      </c>
      <c r="S533" s="3">
        <f t="shared" si="8"/>
        <v>1</v>
      </c>
    </row>
    <row r="534" spans="1:19">
      <c r="A534" s="1">
        <v>46082</v>
      </c>
      <c r="B534" t="s">
        <v>19</v>
      </c>
      <c r="C534" t="s">
        <v>94</v>
      </c>
      <c r="D534" t="s">
        <v>95</v>
      </c>
      <c r="E534" t="s">
        <v>71</v>
      </c>
      <c r="F534" t="s">
        <v>23</v>
      </c>
      <c r="G534">
        <v>245</v>
      </c>
      <c r="H534">
        <v>0</v>
      </c>
      <c r="I534">
        <v>161</v>
      </c>
      <c r="J534">
        <v>84</v>
      </c>
      <c r="K534">
        <v>177</v>
      </c>
      <c r="L534" t="b">
        <v>1</v>
      </c>
      <c r="M534">
        <v>1308.95</v>
      </c>
      <c r="N534">
        <v>109951.53</v>
      </c>
      <c r="O534" t="s">
        <v>32</v>
      </c>
      <c r="P534" t="str">
        <f>IF(J534=G534+H534-I534,"OK","Check")</f>
        <v>OK</v>
      </c>
      <c r="Q534" t="str">
        <f>IF(AND(J534&lt;=K534,L534=TRUE),"OK",IF(AND(J534&gt;K534,L534=FALSE),"OK","Check"))</f>
        <v>OK</v>
      </c>
      <c r="R534" t="str">
        <f>IF(ABS(N534-J534*M534)&lt;=J534*0.005+0.01,"OK","Check")</f>
        <v>OK</v>
      </c>
      <c r="S534" s="3">
        <f t="shared" si="8"/>
        <v>1</v>
      </c>
    </row>
    <row r="535" spans="1:19">
      <c r="A535" s="1">
        <v>46082</v>
      </c>
      <c r="B535" t="s">
        <v>19</v>
      </c>
      <c r="C535" t="s">
        <v>96</v>
      </c>
      <c r="D535" t="s">
        <v>97</v>
      </c>
      <c r="E535" t="s">
        <v>71</v>
      </c>
      <c r="F535" t="s">
        <v>23</v>
      </c>
      <c r="G535">
        <v>257</v>
      </c>
      <c r="H535">
        <v>415</v>
      </c>
      <c r="I535">
        <v>196</v>
      </c>
      <c r="J535">
        <v>476</v>
      </c>
      <c r="K535">
        <v>218</v>
      </c>
      <c r="L535" t="b">
        <v>0</v>
      </c>
      <c r="M535">
        <v>761.8</v>
      </c>
      <c r="N535">
        <v>362618.67</v>
      </c>
      <c r="O535" t="s">
        <v>98</v>
      </c>
      <c r="P535" t="str">
        <f>IF(J535=G535+H535-I535,"OK","Check")</f>
        <v>OK</v>
      </c>
      <c r="Q535" t="str">
        <f>IF(AND(J535&lt;=K535,L535=TRUE),"OK",IF(AND(J535&gt;K535,L535=FALSE),"OK","Check"))</f>
        <v>OK</v>
      </c>
      <c r="R535" t="str">
        <f>IF(ABS(N535-J535*M535)&lt;=J535*0.005+0.01,"OK","Check")</f>
        <v>OK</v>
      </c>
      <c r="S535" s="3">
        <f t="shared" si="8"/>
        <v>1</v>
      </c>
    </row>
    <row r="536" spans="1:19">
      <c r="A536" s="1">
        <v>46082</v>
      </c>
      <c r="B536" t="s">
        <v>19</v>
      </c>
      <c r="C536" t="s">
        <v>99</v>
      </c>
      <c r="D536" t="s">
        <v>100</v>
      </c>
      <c r="E536" t="s">
        <v>71</v>
      </c>
      <c r="F536" t="s">
        <v>23</v>
      </c>
      <c r="G536">
        <v>137</v>
      </c>
      <c r="H536">
        <v>262</v>
      </c>
      <c r="I536">
        <v>141</v>
      </c>
      <c r="J536">
        <v>258</v>
      </c>
      <c r="K536">
        <v>120</v>
      </c>
      <c r="L536" t="b">
        <v>0</v>
      </c>
      <c r="M536">
        <v>3522.85</v>
      </c>
      <c r="N536">
        <v>908895.15</v>
      </c>
      <c r="O536" t="s">
        <v>47</v>
      </c>
      <c r="P536" t="str">
        <f>IF(J536=G536+H536-I536,"OK","Check")</f>
        <v>OK</v>
      </c>
      <c r="Q536" t="str">
        <f>IF(AND(J536&lt;=K536,L536=TRUE),"OK",IF(AND(J536&gt;K536,L536=FALSE),"OK","Check"))</f>
        <v>OK</v>
      </c>
      <c r="R536" t="str">
        <f>IF(ABS(N536-J536*M536)&lt;=J536*0.005+0.01,"OK","Check")</f>
        <v>OK</v>
      </c>
      <c r="S536" s="3">
        <f t="shared" si="8"/>
        <v>1</v>
      </c>
    </row>
    <row r="537" spans="1:19">
      <c r="A537" s="1">
        <v>46082</v>
      </c>
      <c r="B537" t="s">
        <v>19</v>
      </c>
      <c r="C537" t="s">
        <v>101</v>
      </c>
      <c r="D537" t="s">
        <v>102</v>
      </c>
      <c r="E537" t="s">
        <v>71</v>
      </c>
      <c r="F537" t="s">
        <v>23</v>
      </c>
      <c r="G537">
        <v>87</v>
      </c>
      <c r="H537">
        <v>591</v>
      </c>
      <c r="I537">
        <v>276</v>
      </c>
      <c r="J537">
        <v>402</v>
      </c>
      <c r="K537">
        <v>156</v>
      </c>
      <c r="L537" t="b">
        <v>0</v>
      </c>
      <c r="M537">
        <v>58.23</v>
      </c>
      <c r="N537">
        <v>23409.83</v>
      </c>
      <c r="O537" t="s">
        <v>32</v>
      </c>
      <c r="P537" t="str">
        <f>IF(J537=G537+H537-I537,"OK","Check")</f>
        <v>OK</v>
      </c>
      <c r="Q537" t="str">
        <f>IF(AND(J537&lt;=K537,L537=TRUE),"OK",IF(AND(J537&gt;K537,L537=FALSE),"OK","Check"))</f>
        <v>OK</v>
      </c>
      <c r="R537" t="str">
        <f>IF(ABS(N537-J537*M537)&lt;=J537*0.005+0.01,"OK","Check")</f>
        <v>OK</v>
      </c>
      <c r="S537" s="3">
        <f t="shared" si="8"/>
        <v>1</v>
      </c>
    </row>
    <row r="538" spans="1:19">
      <c r="A538" s="1">
        <v>46082</v>
      </c>
      <c r="B538" t="s">
        <v>19</v>
      </c>
      <c r="C538" t="s">
        <v>103</v>
      </c>
      <c r="D538" t="s">
        <v>104</v>
      </c>
      <c r="E538" t="s">
        <v>71</v>
      </c>
      <c r="F538" t="s">
        <v>23</v>
      </c>
      <c r="G538">
        <v>86</v>
      </c>
      <c r="H538">
        <v>463</v>
      </c>
      <c r="I538">
        <v>250</v>
      </c>
      <c r="J538">
        <v>299</v>
      </c>
      <c r="K538">
        <v>201</v>
      </c>
      <c r="L538" t="b">
        <v>0</v>
      </c>
      <c r="M538">
        <v>485.44</v>
      </c>
      <c r="N538">
        <v>145146.79999999999</v>
      </c>
      <c r="O538" t="s">
        <v>98</v>
      </c>
      <c r="P538" t="str">
        <f>IF(J538=G538+H538-I538,"OK","Check")</f>
        <v>OK</v>
      </c>
      <c r="Q538" t="str">
        <f>IF(AND(J538&lt;=K538,L538=TRUE),"OK",IF(AND(J538&gt;K538,L538=FALSE),"OK","Check"))</f>
        <v>OK</v>
      </c>
      <c r="R538" t="str">
        <f>IF(ABS(N538-J538*M538)&lt;=J538*0.005+0.01,"OK","Check")</f>
        <v>OK</v>
      </c>
      <c r="S538" s="3">
        <f t="shared" si="8"/>
        <v>1</v>
      </c>
    </row>
    <row r="539" spans="1:19">
      <c r="A539" s="1">
        <v>46082</v>
      </c>
      <c r="B539" t="s">
        <v>19</v>
      </c>
      <c r="C539" t="s">
        <v>105</v>
      </c>
      <c r="D539" t="s">
        <v>106</v>
      </c>
      <c r="E539" t="s">
        <v>71</v>
      </c>
      <c r="F539" t="s">
        <v>23</v>
      </c>
      <c r="G539">
        <v>277</v>
      </c>
      <c r="H539">
        <v>0</v>
      </c>
      <c r="I539">
        <v>154</v>
      </c>
      <c r="J539">
        <v>123</v>
      </c>
      <c r="K539">
        <v>201</v>
      </c>
      <c r="L539" t="b">
        <v>1</v>
      </c>
      <c r="M539">
        <v>2417.67</v>
      </c>
      <c r="N539">
        <v>297373.65000000002</v>
      </c>
      <c r="O539" t="s">
        <v>32</v>
      </c>
      <c r="P539" t="str">
        <f>IF(J539=G539+H539-I539,"OK","Check")</f>
        <v>OK</v>
      </c>
      <c r="Q539" t="str">
        <f>IF(AND(J539&lt;=K539,L539=TRUE),"OK",IF(AND(J539&gt;K539,L539=FALSE),"OK","Check"))</f>
        <v>OK</v>
      </c>
      <c r="R539" t="str">
        <f>IF(ABS(N539-J539*M539)&lt;=J539*0.005+0.01,"OK","Check")</f>
        <v>OK</v>
      </c>
      <c r="S539" s="3">
        <f t="shared" si="8"/>
        <v>1</v>
      </c>
    </row>
    <row r="540" spans="1:19">
      <c r="A540" s="1">
        <v>46082</v>
      </c>
      <c r="B540" t="s">
        <v>19</v>
      </c>
      <c r="C540" t="s">
        <v>107</v>
      </c>
      <c r="D540" t="s">
        <v>108</v>
      </c>
      <c r="E540" t="s">
        <v>109</v>
      </c>
      <c r="F540" t="s">
        <v>110</v>
      </c>
      <c r="G540">
        <v>0</v>
      </c>
      <c r="H540">
        <v>284</v>
      </c>
      <c r="I540">
        <v>81</v>
      </c>
      <c r="J540">
        <v>203</v>
      </c>
      <c r="K540">
        <v>99</v>
      </c>
      <c r="L540" t="b">
        <v>0</v>
      </c>
      <c r="M540">
        <v>94.01</v>
      </c>
      <c r="N540">
        <v>19084.919999999998</v>
      </c>
      <c r="O540" t="s">
        <v>24</v>
      </c>
      <c r="P540" t="str">
        <f>IF(J540=G540+H540-I540,"OK","Check")</f>
        <v>OK</v>
      </c>
      <c r="Q540" t="str">
        <f>IF(AND(J540&lt;=K540,L540=TRUE),"OK",IF(AND(J540&gt;K540,L540=FALSE),"OK","Check"))</f>
        <v>OK</v>
      </c>
      <c r="R540" t="str">
        <f>IF(ABS(N540-J540*M540)&lt;=J540*0.005+0.01,"OK","Check")</f>
        <v>OK</v>
      </c>
      <c r="S540" s="3">
        <f t="shared" si="8"/>
        <v>1</v>
      </c>
    </row>
    <row r="541" spans="1:19">
      <c r="A541" s="1">
        <v>46082</v>
      </c>
      <c r="B541" t="s">
        <v>19</v>
      </c>
      <c r="C541" t="s">
        <v>111</v>
      </c>
      <c r="D541" t="s">
        <v>112</v>
      </c>
      <c r="E541" t="s">
        <v>109</v>
      </c>
      <c r="F541" t="s">
        <v>110</v>
      </c>
      <c r="G541">
        <v>256</v>
      </c>
      <c r="H541">
        <v>0</v>
      </c>
      <c r="I541">
        <v>71</v>
      </c>
      <c r="J541">
        <v>185</v>
      </c>
      <c r="K541">
        <v>79</v>
      </c>
      <c r="L541" t="b">
        <v>0</v>
      </c>
      <c r="M541">
        <v>480.67</v>
      </c>
      <c r="N541">
        <v>88924.76</v>
      </c>
      <c r="O541" t="s">
        <v>98</v>
      </c>
      <c r="P541" t="str">
        <f>IF(J541=G541+H541-I541,"OK","Check")</f>
        <v>OK</v>
      </c>
      <c r="Q541" t="str">
        <f>IF(AND(J541&lt;=K541,L541=TRUE),"OK",IF(AND(J541&gt;K541,L541=FALSE),"OK","Check"))</f>
        <v>OK</v>
      </c>
      <c r="R541" t="str">
        <f>IF(ABS(N541-J541*M541)&lt;=J541*0.005+0.01,"OK","Check")</f>
        <v>OK</v>
      </c>
      <c r="S541" s="3">
        <f t="shared" si="8"/>
        <v>1</v>
      </c>
    </row>
    <row r="542" spans="1:19">
      <c r="A542" s="1">
        <v>46082</v>
      </c>
      <c r="B542" t="s">
        <v>19</v>
      </c>
      <c r="C542" t="s">
        <v>113</v>
      </c>
      <c r="D542" t="s">
        <v>114</v>
      </c>
      <c r="E542" t="s">
        <v>109</v>
      </c>
      <c r="F542" t="s">
        <v>110</v>
      </c>
      <c r="G542">
        <v>888</v>
      </c>
      <c r="H542">
        <v>0</v>
      </c>
      <c r="I542">
        <v>121</v>
      </c>
      <c r="J542">
        <v>767</v>
      </c>
      <c r="K542">
        <v>224</v>
      </c>
      <c r="L542" t="b">
        <v>0</v>
      </c>
      <c r="M542">
        <v>155.04</v>
      </c>
      <c r="N542">
        <v>118912.27</v>
      </c>
      <c r="O542" t="s">
        <v>27</v>
      </c>
      <c r="P542" t="str">
        <f>IF(J542=G542+H542-I542,"OK","Check")</f>
        <v>OK</v>
      </c>
      <c r="Q542" t="str">
        <f>IF(AND(J542&lt;=K542,L542=TRUE),"OK",IF(AND(J542&gt;K542,L542=FALSE),"OK","Check"))</f>
        <v>OK</v>
      </c>
      <c r="R542" t="str">
        <f>IF(ABS(N542-J542*M542)&lt;=J542*0.005+0.01,"OK","Check")</f>
        <v>OK</v>
      </c>
      <c r="S542" s="3">
        <f t="shared" si="8"/>
        <v>1</v>
      </c>
    </row>
    <row r="543" spans="1:19">
      <c r="A543" s="1">
        <v>46082</v>
      </c>
      <c r="B543" t="s">
        <v>19</v>
      </c>
      <c r="C543" t="s">
        <v>115</v>
      </c>
      <c r="D543" t="s">
        <v>116</v>
      </c>
      <c r="E543" t="s">
        <v>109</v>
      </c>
      <c r="F543" t="s">
        <v>110</v>
      </c>
      <c r="G543">
        <v>367</v>
      </c>
      <c r="H543">
        <v>0</v>
      </c>
      <c r="I543">
        <v>160</v>
      </c>
      <c r="J543">
        <v>207</v>
      </c>
      <c r="K543">
        <v>151</v>
      </c>
      <c r="L543" t="b">
        <v>0</v>
      </c>
      <c r="M543">
        <v>679.08</v>
      </c>
      <c r="N543">
        <v>140569.56</v>
      </c>
      <c r="O543" t="s">
        <v>44</v>
      </c>
      <c r="P543" t="str">
        <f>IF(J543=G543+H543-I543,"OK","Check")</f>
        <v>OK</v>
      </c>
      <c r="Q543" t="str">
        <f>IF(AND(J543&lt;=K543,L543=TRUE),"OK",IF(AND(J543&gt;K543,L543=FALSE),"OK","Check"))</f>
        <v>OK</v>
      </c>
      <c r="R543" t="str">
        <f>IF(ABS(N543-J543*M543)&lt;=J543*0.005+0.01,"OK","Check")</f>
        <v>OK</v>
      </c>
      <c r="S543" s="3">
        <f t="shared" si="8"/>
        <v>1</v>
      </c>
    </row>
    <row r="544" spans="1:19">
      <c r="A544" s="1">
        <v>46082</v>
      </c>
      <c r="B544" t="s">
        <v>19</v>
      </c>
      <c r="C544" t="s">
        <v>117</v>
      </c>
      <c r="D544" t="s">
        <v>118</v>
      </c>
      <c r="E544" t="s">
        <v>109</v>
      </c>
      <c r="F544" t="s">
        <v>110</v>
      </c>
      <c r="G544">
        <v>525</v>
      </c>
      <c r="H544">
        <v>0</v>
      </c>
      <c r="I544">
        <v>131</v>
      </c>
      <c r="J544">
        <v>394</v>
      </c>
      <c r="K544">
        <v>139</v>
      </c>
      <c r="L544" t="b">
        <v>0</v>
      </c>
      <c r="M544">
        <v>41.45</v>
      </c>
      <c r="N544">
        <v>16330.77</v>
      </c>
      <c r="O544" t="s">
        <v>32</v>
      </c>
      <c r="P544" t="str">
        <f>IF(J544=G544+H544-I544,"OK","Check")</f>
        <v>OK</v>
      </c>
      <c r="Q544" t="str">
        <f>IF(AND(J544&lt;=K544,L544=TRUE),"OK",IF(AND(J544&gt;K544,L544=FALSE),"OK","Check"))</f>
        <v>OK</v>
      </c>
      <c r="R544" t="str">
        <f>IF(ABS(N544-J544*M544)&lt;=J544*0.005+0.01,"OK","Check")</f>
        <v>OK</v>
      </c>
      <c r="S544" s="3">
        <f t="shared" si="8"/>
        <v>1</v>
      </c>
    </row>
    <row r="545" spans="1:19">
      <c r="A545" s="1">
        <v>46082</v>
      </c>
      <c r="B545" t="s">
        <v>19</v>
      </c>
      <c r="C545" t="s">
        <v>119</v>
      </c>
      <c r="D545" t="s">
        <v>120</v>
      </c>
      <c r="E545" t="s">
        <v>109</v>
      </c>
      <c r="F545" t="s">
        <v>110</v>
      </c>
      <c r="G545">
        <v>600</v>
      </c>
      <c r="H545">
        <v>445</v>
      </c>
      <c r="I545">
        <v>124</v>
      </c>
      <c r="J545">
        <v>921</v>
      </c>
      <c r="K545">
        <v>167</v>
      </c>
      <c r="L545" t="b">
        <v>0</v>
      </c>
      <c r="M545">
        <v>186.4</v>
      </c>
      <c r="N545">
        <v>171673.39</v>
      </c>
      <c r="O545" t="s">
        <v>32</v>
      </c>
      <c r="P545" t="str">
        <f>IF(J545=G545+H545-I545,"OK","Check")</f>
        <v>OK</v>
      </c>
      <c r="Q545" t="str">
        <f>IF(AND(J545&lt;=K545,L545=TRUE),"OK",IF(AND(J545&gt;K545,L545=FALSE),"OK","Check"))</f>
        <v>OK</v>
      </c>
      <c r="R545" t="str">
        <f>IF(ABS(N545-J545*M545)&lt;=J545*0.005+0.01,"OK","Check")</f>
        <v>OK</v>
      </c>
      <c r="S545" s="3">
        <f t="shared" si="8"/>
        <v>1</v>
      </c>
    </row>
    <row r="546" spans="1:19">
      <c r="A546" s="1">
        <v>46082</v>
      </c>
      <c r="B546" t="s">
        <v>19</v>
      </c>
      <c r="C546" t="s">
        <v>121</v>
      </c>
      <c r="D546" t="s">
        <v>122</v>
      </c>
      <c r="E546" t="s">
        <v>109</v>
      </c>
      <c r="F546" t="s">
        <v>110</v>
      </c>
      <c r="G546">
        <v>125</v>
      </c>
      <c r="H546">
        <v>0</v>
      </c>
      <c r="I546">
        <v>58</v>
      </c>
      <c r="J546">
        <v>67</v>
      </c>
      <c r="K546">
        <v>89</v>
      </c>
      <c r="L546" t="b">
        <v>1</v>
      </c>
      <c r="M546">
        <v>41.17</v>
      </c>
      <c r="N546">
        <v>2758.64</v>
      </c>
      <c r="O546" t="s">
        <v>47</v>
      </c>
      <c r="P546" t="str">
        <f>IF(J546=G546+H546-I546,"OK","Check")</f>
        <v>OK</v>
      </c>
      <c r="Q546" t="str">
        <f>IF(AND(J546&lt;=K546,L546=TRUE),"OK",IF(AND(J546&gt;K546,L546=FALSE),"OK","Check"))</f>
        <v>OK</v>
      </c>
      <c r="R546" t="str">
        <f>IF(ABS(N546-J546*M546)&lt;=J546*0.005+0.01,"OK","Check")</f>
        <v>OK</v>
      </c>
      <c r="S546" s="3">
        <f t="shared" si="8"/>
        <v>1</v>
      </c>
    </row>
    <row r="547" spans="1:19">
      <c r="A547" s="1">
        <v>46082</v>
      </c>
      <c r="B547" t="s">
        <v>19</v>
      </c>
      <c r="C547" t="s">
        <v>123</v>
      </c>
      <c r="D547" t="s">
        <v>124</v>
      </c>
      <c r="E547" t="s">
        <v>109</v>
      </c>
      <c r="F547" t="s">
        <v>110</v>
      </c>
      <c r="G547">
        <v>40</v>
      </c>
      <c r="H547">
        <v>261</v>
      </c>
      <c r="I547">
        <v>68</v>
      </c>
      <c r="J547">
        <v>233</v>
      </c>
      <c r="K547">
        <v>106</v>
      </c>
      <c r="L547" t="b">
        <v>0</v>
      </c>
      <c r="M547">
        <v>191.63</v>
      </c>
      <c r="N547">
        <v>44649.07</v>
      </c>
      <c r="O547" t="s">
        <v>24</v>
      </c>
      <c r="P547" t="str">
        <f>IF(J547=G547+H547-I547,"OK","Check")</f>
        <v>OK</v>
      </c>
      <c r="Q547" t="str">
        <f>IF(AND(J547&lt;=K547,L547=TRUE),"OK",IF(AND(J547&gt;K547,L547=FALSE),"OK","Check"))</f>
        <v>OK</v>
      </c>
      <c r="R547" t="str">
        <f>IF(ABS(N547-J547*M547)&lt;=J547*0.005+0.01,"OK","Check")</f>
        <v>OK</v>
      </c>
      <c r="S547" s="3">
        <f t="shared" si="8"/>
        <v>1</v>
      </c>
    </row>
    <row r="548" spans="1:19">
      <c r="A548" s="1">
        <v>46082</v>
      </c>
      <c r="B548" t="s">
        <v>19</v>
      </c>
      <c r="C548" t="s">
        <v>125</v>
      </c>
      <c r="D548" t="s">
        <v>126</v>
      </c>
      <c r="E548" t="s">
        <v>109</v>
      </c>
      <c r="F548" t="s">
        <v>110</v>
      </c>
      <c r="G548">
        <v>168</v>
      </c>
      <c r="H548">
        <v>547</v>
      </c>
      <c r="I548">
        <v>107</v>
      </c>
      <c r="J548">
        <v>608</v>
      </c>
      <c r="K548">
        <v>215</v>
      </c>
      <c r="L548" t="b">
        <v>0</v>
      </c>
      <c r="M548">
        <v>130.49</v>
      </c>
      <c r="N548">
        <v>79340.320000000007</v>
      </c>
      <c r="O548" t="s">
        <v>47</v>
      </c>
      <c r="P548" t="str">
        <f>IF(J548=G548+H548-I548,"OK","Check")</f>
        <v>OK</v>
      </c>
      <c r="Q548" t="str">
        <f>IF(AND(J548&lt;=K548,L548=TRUE),"OK",IF(AND(J548&gt;K548,L548=FALSE),"OK","Check"))</f>
        <v>OK</v>
      </c>
      <c r="R548" t="str">
        <f>IF(ABS(N548-J548*M548)&lt;=J548*0.005+0.01,"OK","Check")</f>
        <v>OK</v>
      </c>
      <c r="S548" s="3">
        <f t="shared" si="8"/>
        <v>1</v>
      </c>
    </row>
    <row r="549" spans="1:19">
      <c r="A549" s="1">
        <v>46082</v>
      </c>
      <c r="B549" t="s">
        <v>19</v>
      </c>
      <c r="C549" t="s">
        <v>127</v>
      </c>
      <c r="D549" t="s">
        <v>128</v>
      </c>
      <c r="E549" t="s">
        <v>109</v>
      </c>
      <c r="F549" t="s">
        <v>110</v>
      </c>
      <c r="G549">
        <v>86</v>
      </c>
      <c r="H549">
        <v>208</v>
      </c>
      <c r="I549">
        <v>83</v>
      </c>
      <c r="J549">
        <v>211</v>
      </c>
      <c r="K549">
        <v>120</v>
      </c>
      <c r="L549" t="b">
        <v>0</v>
      </c>
      <c r="M549">
        <v>628.20000000000005</v>
      </c>
      <c r="N549">
        <v>132549.38</v>
      </c>
      <c r="O549" t="s">
        <v>44</v>
      </c>
      <c r="P549" t="str">
        <f>IF(J549=G549+H549-I549,"OK","Check")</f>
        <v>OK</v>
      </c>
      <c r="Q549" t="str">
        <f>IF(AND(J549&lt;=K549,L549=TRUE),"OK",IF(AND(J549&gt;K549,L549=FALSE),"OK","Check"))</f>
        <v>OK</v>
      </c>
      <c r="R549" t="str">
        <f>IF(ABS(N549-J549*M549)&lt;=J549*0.005+0.01,"OK","Check")</f>
        <v>OK</v>
      </c>
      <c r="S549" s="3">
        <f t="shared" si="8"/>
        <v>1</v>
      </c>
    </row>
    <row r="550" spans="1:19">
      <c r="A550" s="1">
        <v>46082</v>
      </c>
      <c r="B550" t="s">
        <v>19</v>
      </c>
      <c r="C550" t="s">
        <v>129</v>
      </c>
      <c r="D550" t="s">
        <v>130</v>
      </c>
      <c r="E550" t="s">
        <v>109</v>
      </c>
      <c r="F550" t="s">
        <v>110</v>
      </c>
      <c r="G550">
        <v>190</v>
      </c>
      <c r="H550">
        <v>641</v>
      </c>
      <c r="I550">
        <v>237</v>
      </c>
      <c r="J550">
        <v>594</v>
      </c>
      <c r="K550">
        <v>274</v>
      </c>
      <c r="L550" t="b">
        <v>0</v>
      </c>
      <c r="M550">
        <v>415.2</v>
      </c>
      <c r="N550">
        <v>246628.31</v>
      </c>
      <c r="O550" t="s">
        <v>32</v>
      </c>
      <c r="P550" t="str">
        <f>IF(J550=G550+H550-I550,"OK","Check")</f>
        <v>OK</v>
      </c>
      <c r="Q550" t="str">
        <f>IF(AND(J550&lt;=K550,L550=TRUE),"OK",IF(AND(J550&gt;K550,L550=FALSE),"OK","Check"))</f>
        <v>OK</v>
      </c>
      <c r="R550" t="str">
        <f>IF(ABS(N550-J550*M550)&lt;=J550*0.005+0.01,"OK","Check")</f>
        <v>OK</v>
      </c>
      <c r="S550" s="3">
        <f t="shared" si="8"/>
        <v>1</v>
      </c>
    </row>
    <row r="551" spans="1:19">
      <c r="A551" s="1">
        <v>46082</v>
      </c>
      <c r="B551" t="s">
        <v>19</v>
      </c>
      <c r="C551" t="s">
        <v>131</v>
      </c>
      <c r="D551" t="s">
        <v>132</v>
      </c>
      <c r="E551" t="s">
        <v>109</v>
      </c>
      <c r="F551" t="s">
        <v>110</v>
      </c>
      <c r="G551">
        <v>75</v>
      </c>
      <c r="H551">
        <v>0</v>
      </c>
      <c r="I551">
        <v>59</v>
      </c>
      <c r="J551">
        <v>16</v>
      </c>
      <c r="K551">
        <v>56</v>
      </c>
      <c r="L551" t="b">
        <v>1</v>
      </c>
      <c r="M551">
        <v>1984.72</v>
      </c>
      <c r="N551">
        <v>31755.52</v>
      </c>
      <c r="O551" t="s">
        <v>24</v>
      </c>
      <c r="P551" t="str">
        <f>IF(J551=G551+H551-I551,"OK","Check")</f>
        <v>OK</v>
      </c>
      <c r="Q551" t="str">
        <f>IF(AND(J551&lt;=K551,L551=TRUE),"OK",IF(AND(J551&gt;K551,L551=FALSE),"OK","Check"))</f>
        <v>OK</v>
      </c>
      <c r="R551" t="str">
        <f>IF(ABS(N551-J551*M551)&lt;=J551*0.005+0.01,"OK","Check")</f>
        <v>OK</v>
      </c>
      <c r="S551" s="3">
        <f t="shared" si="8"/>
        <v>1</v>
      </c>
    </row>
    <row r="552" spans="1:19">
      <c r="A552" s="1">
        <v>46082</v>
      </c>
      <c r="B552" t="s">
        <v>19</v>
      </c>
      <c r="C552" t="s">
        <v>133</v>
      </c>
      <c r="D552" t="s">
        <v>134</v>
      </c>
      <c r="E552" t="s">
        <v>109</v>
      </c>
      <c r="F552" t="s">
        <v>110</v>
      </c>
      <c r="G552">
        <v>82</v>
      </c>
      <c r="H552">
        <v>488</v>
      </c>
      <c r="I552">
        <v>180</v>
      </c>
      <c r="J552">
        <v>390</v>
      </c>
      <c r="K552">
        <v>160</v>
      </c>
      <c r="L552" t="b">
        <v>0</v>
      </c>
      <c r="M552">
        <v>23.9</v>
      </c>
      <c r="N552">
        <v>9321.59</v>
      </c>
      <c r="O552" t="s">
        <v>98</v>
      </c>
      <c r="P552" t="str">
        <f>IF(J552=G552+H552-I552,"OK","Check")</f>
        <v>OK</v>
      </c>
      <c r="Q552" t="str">
        <f>IF(AND(J552&lt;=K552,L552=TRUE),"OK",IF(AND(J552&gt;K552,L552=FALSE),"OK","Check"))</f>
        <v>OK</v>
      </c>
      <c r="R552" t="str">
        <f>IF(ABS(N552-J552*M552)&lt;=J552*0.005+0.01,"OK","Check")</f>
        <v>OK</v>
      </c>
      <c r="S552" s="3">
        <f t="shared" si="8"/>
        <v>1</v>
      </c>
    </row>
    <row r="553" spans="1:19">
      <c r="A553" s="1">
        <v>46082</v>
      </c>
      <c r="B553" t="s">
        <v>19</v>
      </c>
      <c r="C553" t="s">
        <v>135</v>
      </c>
      <c r="D553" t="s">
        <v>136</v>
      </c>
      <c r="E553" t="s">
        <v>109</v>
      </c>
      <c r="F553" t="s">
        <v>110</v>
      </c>
      <c r="G553">
        <v>315</v>
      </c>
      <c r="H553">
        <v>0</v>
      </c>
      <c r="I553">
        <v>96</v>
      </c>
      <c r="J553">
        <v>219</v>
      </c>
      <c r="K553">
        <v>135</v>
      </c>
      <c r="L553" t="b">
        <v>0</v>
      </c>
      <c r="M553">
        <v>111.15</v>
      </c>
      <c r="N553">
        <v>24342.240000000002</v>
      </c>
      <c r="O553" t="s">
        <v>32</v>
      </c>
      <c r="P553" t="str">
        <f>IF(J553=G553+H553-I553,"OK","Check")</f>
        <v>OK</v>
      </c>
      <c r="Q553" t="str">
        <f>IF(AND(J553&lt;=K553,L553=TRUE),"OK",IF(AND(J553&gt;K553,L553=FALSE),"OK","Check"))</f>
        <v>OK</v>
      </c>
      <c r="R553" t="str">
        <f>IF(ABS(N553-J553*M553)&lt;=J553*0.005+0.01,"OK","Check")</f>
        <v>OK</v>
      </c>
      <c r="S553" s="3">
        <f t="shared" si="8"/>
        <v>1</v>
      </c>
    </row>
    <row r="554" spans="1:19">
      <c r="A554" s="1">
        <v>46082</v>
      </c>
      <c r="B554" t="s">
        <v>19</v>
      </c>
      <c r="C554" t="s">
        <v>137</v>
      </c>
      <c r="D554" t="s">
        <v>138</v>
      </c>
      <c r="E554" t="s">
        <v>109</v>
      </c>
      <c r="F554" t="s">
        <v>110</v>
      </c>
      <c r="G554">
        <v>65</v>
      </c>
      <c r="H554">
        <v>340</v>
      </c>
      <c r="I554">
        <v>134</v>
      </c>
      <c r="J554">
        <v>271</v>
      </c>
      <c r="K554">
        <v>135</v>
      </c>
      <c r="L554" t="b">
        <v>0</v>
      </c>
      <c r="M554">
        <v>60.62</v>
      </c>
      <c r="N554">
        <v>16426.900000000001</v>
      </c>
      <c r="O554" t="s">
        <v>27</v>
      </c>
      <c r="P554" t="str">
        <f>IF(J554=G554+H554-I554,"OK","Check")</f>
        <v>OK</v>
      </c>
      <c r="Q554" t="str">
        <f>IF(AND(J554&lt;=K554,L554=TRUE),"OK",IF(AND(J554&gt;K554,L554=FALSE),"OK","Check"))</f>
        <v>OK</v>
      </c>
      <c r="R554" t="str">
        <f>IF(ABS(N554-J554*M554)&lt;=J554*0.005+0.01,"OK","Check")</f>
        <v>OK</v>
      </c>
      <c r="S554" s="3">
        <f t="shared" si="8"/>
        <v>1</v>
      </c>
    </row>
    <row r="555" spans="1:19">
      <c r="A555" s="1">
        <v>46082</v>
      </c>
      <c r="B555" t="s">
        <v>19</v>
      </c>
      <c r="C555" t="s">
        <v>139</v>
      </c>
      <c r="D555" t="s">
        <v>140</v>
      </c>
      <c r="E555" t="s">
        <v>109</v>
      </c>
      <c r="F555" t="s">
        <v>110</v>
      </c>
      <c r="G555">
        <v>218</v>
      </c>
      <c r="H555">
        <v>0</v>
      </c>
      <c r="I555">
        <v>174</v>
      </c>
      <c r="J555">
        <v>44</v>
      </c>
      <c r="K555">
        <v>110</v>
      </c>
      <c r="L555" t="b">
        <v>1</v>
      </c>
      <c r="M555">
        <v>300.82</v>
      </c>
      <c r="N555">
        <v>13235.87</v>
      </c>
      <c r="O555" t="s">
        <v>32</v>
      </c>
      <c r="P555" t="str">
        <f>IF(J555=G555+H555-I555,"OK","Check")</f>
        <v>OK</v>
      </c>
      <c r="Q555" t="str">
        <f>IF(AND(J555&lt;=K555,L555=TRUE),"OK",IF(AND(J555&gt;K555,L555=FALSE),"OK","Check"))</f>
        <v>OK</v>
      </c>
      <c r="R555" t="str">
        <f>IF(ABS(N555-J555*M555)&lt;=J555*0.005+0.01,"OK","Check")</f>
        <v>OK</v>
      </c>
      <c r="S555" s="3">
        <f t="shared" si="8"/>
        <v>1</v>
      </c>
    </row>
    <row r="556" spans="1:19">
      <c r="A556" s="1">
        <v>46082</v>
      </c>
      <c r="B556" t="s">
        <v>19</v>
      </c>
      <c r="C556" t="s">
        <v>141</v>
      </c>
      <c r="D556" t="s">
        <v>142</v>
      </c>
      <c r="E556" t="s">
        <v>109</v>
      </c>
      <c r="F556" t="s">
        <v>110</v>
      </c>
      <c r="G556">
        <v>204</v>
      </c>
      <c r="H556">
        <v>0</v>
      </c>
      <c r="I556">
        <v>48</v>
      </c>
      <c r="J556">
        <v>156</v>
      </c>
      <c r="K556">
        <v>96</v>
      </c>
      <c r="L556" t="b">
        <v>0</v>
      </c>
      <c r="M556">
        <v>90.61</v>
      </c>
      <c r="N556">
        <v>14135.09</v>
      </c>
      <c r="O556" t="s">
        <v>37</v>
      </c>
      <c r="P556" t="str">
        <f>IF(J556=G556+H556-I556,"OK","Check")</f>
        <v>OK</v>
      </c>
      <c r="Q556" t="str">
        <f>IF(AND(J556&lt;=K556,L556=TRUE),"OK",IF(AND(J556&gt;K556,L556=FALSE),"OK","Check"))</f>
        <v>OK</v>
      </c>
      <c r="R556" t="str">
        <f>IF(ABS(N556-J556*M556)&lt;=J556*0.005+0.01,"OK","Check")</f>
        <v>OK</v>
      </c>
      <c r="S556" s="3">
        <f t="shared" si="8"/>
        <v>1</v>
      </c>
    </row>
    <row r="557" spans="1:19">
      <c r="A557" s="1">
        <v>46082</v>
      </c>
      <c r="B557" t="s">
        <v>19</v>
      </c>
      <c r="C557" t="s">
        <v>143</v>
      </c>
      <c r="D557" t="s">
        <v>144</v>
      </c>
      <c r="E557" t="s">
        <v>109</v>
      </c>
      <c r="F557" t="s">
        <v>110</v>
      </c>
      <c r="G557">
        <v>120</v>
      </c>
      <c r="H557">
        <v>368</v>
      </c>
      <c r="I557">
        <v>107</v>
      </c>
      <c r="J557">
        <v>381</v>
      </c>
      <c r="K557">
        <v>187</v>
      </c>
      <c r="L557" t="b">
        <v>0</v>
      </c>
      <c r="M557">
        <v>445.81</v>
      </c>
      <c r="N557">
        <v>169853.78</v>
      </c>
      <c r="O557" t="s">
        <v>24</v>
      </c>
      <c r="P557" t="str">
        <f>IF(J557=G557+H557-I557,"OK","Check")</f>
        <v>OK</v>
      </c>
      <c r="Q557" t="str">
        <f>IF(AND(J557&lt;=K557,L557=TRUE),"OK",IF(AND(J557&gt;K557,L557=FALSE),"OK","Check"))</f>
        <v>OK</v>
      </c>
      <c r="R557" t="str">
        <f>IF(ABS(N557-J557*M557)&lt;=J557*0.005+0.01,"OK","Check")</f>
        <v>OK</v>
      </c>
      <c r="S557" s="3">
        <f t="shared" si="8"/>
        <v>1</v>
      </c>
    </row>
    <row r="558" spans="1:19">
      <c r="A558" s="1">
        <v>46082</v>
      </c>
      <c r="B558" t="s">
        <v>19</v>
      </c>
      <c r="C558" t="s">
        <v>145</v>
      </c>
      <c r="D558" t="s">
        <v>146</v>
      </c>
      <c r="E558" t="s">
        <v>109</v>
      </c>
      <c r="F558" t="s">
        <v>110</v>
      </c>
      <c r="G558">
        <v>165</v>
      </c>
      <c r="H558">
        <v>667</v>
      </c>
      <c r="I558">
        <v>148</v>
      </c>
      <c r="J558">
        <v>684</v>
      </c>
      <c r="K558">
        <v>209</v>
      </c>
      <c r="L558" t="b">
        <v>0</v>
      </c>
      <c r="M558">
        <v>63.67</v>
      </c>
      <c r="N558">
        <v>43552.58</v>
      </c>
      <c r="O558" t="s">
        <v>37</v>
      </c>
      <c r="P558" t="str">
        <f>IF(J558=G558+H558-I558,"OK","Check")</f>
        <v>OK</v>
      </c>
      <c r="Q558" t="str">
        <f>IF(AND(J558&lt;=K558,L558=TRUE),"OK",IF(AND(J558&gt;K558,L558=FALSE),"OK","Check"))</f>
        <v>OK</v>
      </c>
      <c r="R558" t="str">
        <f>IF(ABS(N558-J558*M558)&lt;=J558*0.005+0.01,"OK","Check")</f>
        <v>OK</v>
      </c>
      <c r="S558" s="3">
        <f t="shared" si="8"/>
        <v>1</v>
      </c>
    </row>
    <row r="559" spans="1:19">
      <c r="A559" s="1">
        <v>46082</v>
      </c>
      <c r="B559" t="s">
        <v>19</v>
      </c>
      <c r="C559" t="s">
        <v>147</v>
      </c>
      <c r="D559" t="s">
        <v>148</v>
      </c>
      <c r="E559" t="s">
        <v>109</v>
      </c>
      <c r="F559" t="s">
        <v>110</v>
      </c>
      <c r="G559">
        <v>942</v>
      </c>
      <c r="H559">
        <v>459</v>
      </c>
      <c r="I559">
        <v>100</v>
      </c>
      <c r="J559">
        <v>1301</v>
      </c>
      <c r="K559">
        <v>235</v>
      </c>
      <c r="L559" t="b">
        <v>0</v>
      </c>
      <c r="M559">
        <v>321.67</v>
      </c>
      <c r="N559">
        <v>418487.03999999998</v>
      </c>
      <c r="O559" t="s">
        <v>98</v>
      </c>
      <c r="P559" t="str">
        <f>IF(J559=G559+H559-I559,"OK","Check")</f>
        <v>OK</v>
      </c>
      <c r="Q559" t="str">
        <f>IF(AND(J559&lt;=K559,L559=TRUE),"OK",IF(AND(J559&gt;K559,L559=FALSE),"OK","Check"))</f>
        <v>OK</v>
      </c>
      <c r="R559" t="str">
        <f>IF(ABS(N559-J559*M559)&lt;=J559*0.005+0.01,"OK","Check")</f>
        <v>OK</v>
      </c>
      <c r="S559" s="3">
        <f t="shared" si="8"/>
        <v>1</v>
      </c>
    </row>
    <row r="560" spans="1:19">
      <c r="A560" s="1">
        <v>46082</v>
      </c>
      <c r="B560" t="s">
        <v>19</v>
      </c>
      <c r="C560" t="s">
        <v>149</v>
      </c>
      <c r="D560" t="s">
        <v>150</v>
      </c>
      <c r="E560" t="s">
        <v>151</v>
      </c>
      <c r="F560" t="s">
        <v>23</v>
      </c>
      <c r="G560">
        <v>40</v>
      </c>
      <c r="H560">
        <v>150</v>
      </c>
      <c r="I560">
        <v>87</v>
      </c>
      <c r="J560">
        <v>103</v>
      </c>
      <c r="K560">
        <v>96</v>
      </c>
      <c r="L560" t="b">
        <v>0</v>
      </c>
      <c r="M560">
        <v>285.81</v>
      </c>
      <c r="N560">
        <v>29437.99</v>
      </c>
      <c r="O560" t="s">
        <v>32</v>
      </c>
      <c r="P560" t="str">
        <f>IF(J560=G560+H560-I560,"OK","Check")</f>
        <v>OK</v>
      </c>
      <c r="Q560" t="str">
        <f>IF(AND(J560&lt;=K560,L560=TRUE),"OK",IF(AND(J560&gt;K560,L560=FALSE),"OK","Check"))</f>
        <v>OK</v>
      </c>
      <c r="R560" t="str">
        <f>IF(ABS(N560-J560*M560)&lt;=J560*0.005+0.01,"OK","Check")</f>
        <v>OK</v>
      </c>
      <c r="S560" s="3">
        <f t="shared" si="8"/>
        <v>1</v>
      </c>
    </row>
    <row r="561" spans="1:19">
      <c r="A561" s="1">
        <v>46082</v>
      </c>
      <c r="B561" t="s">
        <v>19</v>
      </c>
      <c r="C561" t="s">
        <v>152</v>
      </c>
      <c r="D561" t="s">
        <v>153</v>
      </c>
      <c r="E561" t="s">
        <v>151</v>
      </c>
      <c r="F561" t="s">
        <v>23</v>
      </c>
      <c r="G561">
        <v>357</v>
      </c>
      <c r="H561">
        <v>0</v>
      </c>
      <c r="I561">
        <v>93</v>
      </c>
      <c r="J561">
        <v>264</v>
      </c>
      <c r="K561">
        <v>163</v>
      </c>
      <c r="L561" t="b">
        <v>0</v>
      </c>
      <c r="M561">
        <v>1156.8699999999999</v>
      </c>
      <c r="N561">
        <v>305413.18</v>
      </c>
      <c r="O561" t="s">
        <v>98</v>
      </c>
      <c r="P561" t="str">
        <f>IF(J561=G561+H561-I561,"OK","Check")</f>
        <v>OK</v>
      </c>
      <c r="Q561" t="str">
        <f>IF(AND(J561&lt;=K561,L561=TRUE),"OK",IF(AND(J561&gt;K561,L561=FALSE),"OK","Check"))</f>
        <v>OK</v>
      </c>
      <c r="R561" t="str">
        <f>IF(ABS(N561-J561*M561)&lt;=J561*0.005+0.01,"OK","Check")</f>
        <v>OK</v>
      </c>
      <c r="S561" s="3">
        <f t="shared" si="8"/>
        <v>1</v>
      </c>
    </row>
    <row r="562" spans="1:19">
      <c r="A562" s="1">
        <v>46082</v>
      </c>
      <c r="B562" t="s">
        <v>19</v>
      </c>
      <c r="C562" t="s">
        <v>154</v>
      </c>
      <c r="D562" t="s">
        <v>155</v>
      </c>
      <c r="E562" t="s">
        <v>151</v>
      </c>
      <c r="F562" t="s">
        <v>23</v>
      </c>
      <c r="G562">
        <v>134</v>
      </c>
      <c r="H562">
        <v>287</v>
      </c>
      <c r="I562">
        <v>133</v>
      </c>
      <c r="J562">
        <v>288</v>
      </c>
      <c r="K562">
        <v>202</v>
      </c>
      <c r="L562" t="b">
        <v>0</v>
      </c>
      <c r="M562">
        <v>299.39999999999998</v>
      </c>
      <c r="N562">
        <v>86227.66</v>
      </c>
      <c r="O562" t="s">
        <v>60</v>
      </c>
      <c r="P562" t="str">
        <f>IF(J562=G562+H562-I562,"OK","Check")</f>
        <v>OK</v>
      </c>
      <c r="Q562" t="str">
        <f>IF(AND(J562&lt;=K562,L562=TRUE),"OK",IF(AND(J562&gt;K562,L562=FALSE),"OK","Check"))</f>
        <v>OK</v>
      </c>
      <c r="R562" t="str">
        <f>IF(ABS(N562-J562*M562)&lt;=J562*0.005+0.01,"OK","Check")</f>
        <v>OK</v>
      </c>
      <c r="S562" s="3">
        <f t="shared" si="8"/>
        <v>1</v>
      </c>
    </row>
    <row r="563" spans="1:19">
      <c r="A563" s="1">
        <v>46082</v>
      </c>
      <c r="B563" t="s">
        <v>19</v>
      </c>
      <c r="C563" t="s">
        <v>156</v>
      </c>
      <c r="D563" t="s">
        <v>157</v>
      </c>
      <c r="E563" t="s">
        <v>151</v>
      </c>
      <c r="F563" t="s">
        <v>23</v>
      </c>
      <c r="G563">
        <v>153</v>
      </c>
      <c r="H563">
        <v>417</v>
      </c>
      <c r="I563">
        <v>143</v>
      </c>
      <c r="J563">
        <v>427</v>
      </c>
      <c r="K563">
        <v>130</v>
      </c>
      <c r="L563" t="b">
        <v>0</v>
      </c>
      <c r="M563">
        <v>1493.55</v>
      </c>
      <c r="N563">
        <v>637746.92000000004</v>
      </c>
      <c r="O563" t="s">
        <v>32</v>
      </c>
      <c r="P563" t="str">
        <f>IF(J563=G563+H563-I563,"OK","Check")</f>
        <v>OK</v>
      </c>
      <c r="Q563" t="str">
        <f>IF(AND(J563&lt;=K563,L563=TRUE),"OK",IF(AND(J563&gt;K563,L563=FALSE),"OK","Check"))</f>
        <v>OK</v>
      </c>
      <c r="R563" t="str">
        <f>IF(ABS(N563-J563*M563)&lt;=J563*0.005+0.01,"OK","Check")</f>
        <v>OK</v>
      </c>
      <c r="S563" s="3">
        <f t="shared" si="8"/>
        <v>1</v>
      </c>
    </row>
    <row r="564" spans="1:19">
      <c r="A564" s="1">
        <v>46082</v>
      </c>
      <c r="B564" t="s">
        <v>19</v>
      </c>
      <c r="C564" t="s">
        <v>158</v>
      </c>
      <c r="D564" t="s">
        <v>159</v>
      </c>
      <c r="E564" t="s">
        <v>151</v>
      </c>
      <c r="F564" t="s">
        <v>23</v>
      </c>
      <c r="G564">
        <v>422</v>
      </c>
      <c r="H564">
        <v>0</v>
      </c>
      <c r="I564">
        <v>100</v>
      </c>
      <c r="J564">
        <v>322</v>
      </c>
      <c r="K564">
        <v>111</v>
      </c>
      <c r="L564" t="b">
        <v>0</v>
      </c>
      <c r="M564">
        <v>47.29</v>
      </c>
      <c r="N564">
        <v>15228.87</v>
      </c>
      <c r="O564" t="s">
        <v>37</v>
      </c>
      <c r="P564" t="str">
        <f>IF(J564=G564+H564-I564,"OK","Check")</f>
        <v>OK</v>
      </c>
      <c r="Q564" t="str">
        <f>IF(AND(J564&lt;=K564,L564=TRUE),"OK",IF(AND(J564&gt;K564,L564=FALSE),"OK","Check"))</f>
        <v>OK</v>
      </c>
      <c r="R564" t="str">
        <f>IF(ABS(N564-J564*M564)&lt;=J564*0.005+0.01,"OK","Check")</f>
        <v>OK</v>
      </c>
      <c r="S564" s="3">
        <f t="shared" si="8"/>
        <v>1</v>
      </c>
    </row>
    <row r="565" spans="1:19">
      <c r="A565" s="1">
        <v>46082</v>
      </c>
      <c r="B565" t="s">
        <v>19</v>
      </c>
      <c r="C565" t="s">
        <v>160</v>
      </c>
      <c r="D565" t="s">
        <v>161</v>
      </c>
      <c r="E565" t="s">
        <v>151</v>
      </c>
      <c r="F565" t="s">
        <v>23</v>
      </c>
      <c r="G565">
        <v>219</v>
      </c>
      <c r="H565">
        <v>0</v>
      </c>
      <c r="I565">
        <v>177</v>
      </c>
      <c r="J565">
        <v>42</v>
      </c>
      <c r="K565">
        <v>127</v>
      </c>
      <c r="L565" t="b">
        <v>1</v>
      </c>
      <c r="M565">
        <v>189.28</v>
      </c>
      <c r="N565">
        <v>7949.77</v>
      </c>
      <c r="O565" t="s">
        <v>24</v>
      </c>
      <c r="P565" t="str">
        <f>IF(J565=G565+H565-I565,"OK","Check")</f>
        <v>OK</v>
      </c>
      <c r="Q565" t="str">
        <f>IF(AND(J565&lt;=K565,L565=TRUE),"OK",IF(AND(J565&gt;K565,L565=FALSE),"OK","Check"))</f>
        <v>OK</v>
      </c>
      <c r="R565" t="str">
        <f>IF(ABS(N565-J565*M565)&lt;=J565*0.005+0.01,"OK","Check")</f>
        <v>OK</v>
      </c>
      <c r="S565" s="3">
        <f t="shared" si="8"/>
        <v>1</v>
      </c>
    </row>
    <row r="566" spans="1:19">
      <c r="A566" s="1">
        <v>46082</v>
      </c>
      <c r="B566" t="s">
        <v>19</v>
      </c>
      <c r="C566" t="s">
        <v>162</v>
      </c>
      <c r="D566" t="s">
        <v>163</v>
      </c>
      <c r="E566" t="s">
        <v>151</v>
      </c>
      <c r="F566" t="s">
        <v>23</v>
      </c>
      <c r="G566">
        <v>351</v>
      </c>
      <c r="H566">
        <v>0</v>
      </c>
      <c r="I566">
        <v>191</v>
      </c>
      <c r="J566">
        <v>160</v>
      </c>
      <c r="K566">
        <v>216</v>
      </c>
      <c r="L566" t="b">
        <v>1</v>
      </c>
      <c r="M566">
        <v>205.42</v>
      </c>
      <c r="N566">
        <v>32867.9</v>
      </c>
      <c r="O566" t="s">
        <v>37</v>
      </c>
      <c r="P566" t="str">
        <f>IF(J566=G566+H566-I566,"OK","Check")</f>
        <v>OK</v>
      </c>
      <c r="Q566" t="str">
        <f>IF(AND(J566&lt;=K566,L566=TRUE),"OK",IF(AND(J566&gt;K566,L566=FALSE),"OK","Check"))</f>
        <v>OK</v>
      </c>
      <c r="R566" t="str">
        <f>IF(ABS(N566-J566*M566)&lt;=J566*0.005+0.01,"OK","Check")</f>
        <v>OK</v>
      </c>
      <c r="S566" s="3">
        <f t="shared" si="8"/>
        <v>1</v>
      </c>
    </row>
    <row r="567" spans="1:19">
      <c r="A567" s="1">
        <v>46082</v>
      </c>
      <c r="B567" t="s">
        <v>19</v>
      </c>
      <c r="C567" t="s">
        <v>164</v>
      </c>
      <c r="D567" t="s">
        <v>165</v>
      </c>
      <c r="E567" t="s">
        <v>151</v>
      </c>
      <c r="F567" t="s">
        <v>23</v>
      </c>
      <c r="G567">
        <v>555</v>
      </c>
      <c r="H567">
        <v>0</v>
      </c>
      <c r="I567">
        <v>125</v>
      </c>
      <c r="J567">
        <v>430</v>
      </c>
      <c r="K567">
        <v>207</v>
      </c>
      <c r="L567" t="b">
        <v>0</v>
      </c>
      <c r="M567">
        <v>974.59</v>
      </c>
      <c r="N567">
        <v>419075.26</v>
      </c>
      <c r="O567" t="s">
        <v>98</v>
      </c>
      <c r="P567" t="str">
        <f>IF(J567=G567+H567-I567,"OK","Check")</f>
        <v>OK</v>
      </c>
      <c r="Q567" t="str">
        <f>IF(AND(J567&lt;=K567,L567=TRUE),"OK",IF(AND(J567&gt;K567,L567=FALSE),"OK","Check"))</f>
        <v>OK</v>
      </c>
      <c r="R567" t="str">
        <f>IF(ABS(N567-J567*M567)&lt;=J567*0.005+0.01,"OK","Check")</f>
        <v>OK</v>
      </c>
      <c r="S567" s="3">
        <f t="shared" si="8"/>
        <v>1</v>
      </c>
    </row>
    <row r="568" spans="1:19">
      <c r="A568" s="1">
        <v>46082</v>
      </c>
      <c r="B568" t="s">
        <v>19</v>
      </c>
      <c r="C568" t="s">
        <v>166</v>
      </c>
      <c r="D568" t="s">
        <v>167</v>
      </c>
      <c r="E568" t="s">
        <v>151</v>
      </c>
      <c r="F568" t="s">
        <v>23</v>
      </c>
      <c r="G568">
        <v>104</v>
      </c>
      <c r="H568">
        <v>0</v>
      </c>
      <c r="I568">
        <v>8</v>
      </c>
      <c r="J568">
        <v>96</v>
      </c>
      <c r="K568">
        <v>26</v>
      </c>
      <c r="L568" t="b">
        <v>0</v>
      </c>
      <c r="M568">
        <v>150.78</v>
      </c>
      <c r="N568">
        <v>14474.76</v>
      </c>
      <c r="O568" t="s">
        <v>44</v>
      </c>
      <c r="P568" t="str">
        <f>IF(J568=G568+H568-I568,"OK","Check")</f>
        <v>OK</v>
      </c>
      <c r="Q568" t="str">
        <f>IF(AND(J568&lt;=K568,L568=TRUE),"OK",IF(AND(J568&gt;K568,L568=FALSE),"OK","Check"))</f>
        <v>OK</v>
      </c>
      <c r="R568" t="str">
        <f>IF(ABS(N568-J568*M568)&lt;=J568*0.005+0.01,"OK","Check")</f>
        <v>OK</v>
      </c>
      <c r="S568" s="3">
        <f t="shared" si="8"/>
        <v>1</v>
      </c>
    </row>
    <row r="569" spans="1:19">
      <c r="A569" s="1">
        <v>46082</v>
      </c>
      <c r="B569" t="s">
        <v>19</v>
      </c>
      <c r="C569" t="s">
        <v>168</v>
      </c>
      <c r="D569" t="s">
        <v>169</v>
      </c>
      <c r="E569" t="s">
        <v>151</v>
      </c>
      <c r="F569" t="s">
        <v>23</v>
      </c>
      <c r="G569">
        <v>155</v>
      </c>
      <c r="H569">
        <v>439</v>
      </c>
      <c r="I569">
        <v>237</v>
      </c>
      <c r="J569">
        <v>357</v>
      </c>
      <c r="K569">
        <v>215</v>
      </c>
      <c r="L569" t="b">
        <v>0</v>
      </c>
      <c r="M569">
        <v>646.84</v>
      </c>
      <c r="N569">
        <v>230920.65</v>
      </c>
      <c r="O569" t="s">
        <v>27</v>
      </c>
      <c r="P569" t="str">
        <f>IF(J569=G569+H569-I569,"OK","Check")</f>
        <v>OK</v>
      </c>
      <c r="Q569" t="str">
        <f>IF(AND(J569&lt;=K569,L569=TRUE),"OK",IF(AND(J569&gt;K569,L569=FALSE),"OK","Check"))</f>
        <v>OK</v>
      </c>
      <c r="R569" t="str">
        <f>IF(ABS(N569-J569*M569)&lt;=J569*0.005+0.01,"OK","Check")</f>
        <v>OK</v>
      </c>
      <c r="S569" s="3">
        <f t="shared" si="8"/>
        <v>1</v>
      </c>
    </row>
    <row r="570" spans="1:19">
      <c r="A570" s="1">
        <v>46082</v>
      </c>
      <c r="B570" t="s">
        <v>19</v>
      </c>
      <c r="C570" t="s">
        <v>170</v>
      </c>
      <c r="D570" t="s">
        <v>171</v>
      </c>
      <c r="E570" t="s">
        <v>151</v>
      </c>
      <c r="F570" t="s">
        <v>23</v>
      </c>
      <c r="G570">
        <v>234</v>
      </c>
      <c r="H570">
        <v>0</v>
      </c>
      <c r="I570">
        <v>128</v>
      </c>
      <c r="J570">
        <v>106</v>
      </c>
      <c r="K570">
        <v>177</v>
      </c>
      <c r="L570" t="b">
        <v>1</v>
      </c>
      <c r="M570">
        <v>2793.93</v>
      </c>
      <c r="N570">
        <v>296156.69</v>
      </c>
      <c r="O570" t="s">
        <v>47</v>
      </c>
      <c r="P570" t="str">
        <f>IF(J570=G570+H570-I570,"OK","Check")</f>
        <v>OK</v>
      </c>
      <c r="Q570" t="str">
        <f>IF(AND(J570&lt;=K570,L570=TRUE),"OK",IF(AND(J570&gt;K570,L570=FALSE),"OK","Check"))</f>
        <v>OK</v>
      </c>
      <c r="R570" t="str">
        <f>IF(ABS(N570-J570*M570)&lt;=J570*0.005+0.01,"OK","Check")</f>
        <v>OK</v>
      </c>
      <c r="S570" s="3">
        <f t="shared" si="8"/>
        <v>1</v>
      </c>
    </row>
    <row r="571" spans="1:19">
      <c r="A571" s="1">
        <v>46082</v>
      </c>
      <c r="B571" t="s">
        <v>19</v>
      </c>
      <c r="C571" t="s">
        <v>172</v>
      </c>
      <c r="D571" t="s">
        <v>173</v>
      </c>
      <c r="E571" t="s">
        <v>151</v>
      </c>
      <c r="F571" t="s">
        <v>23</v>
      </c>
      <c r="G571">
        <v>385</v>
      </c>
      <c r="H571">
        <v>0</v>
      </c>
      <c r="I571">
        <v>84</v>
      </c>
      <c r="J571">
        <v>301</v>
      </c>
      <c r="K571">
        <v>164</v>
      </c>
      <c r="L571" t="b">
        <v>0</v>
      </c>
      <c r="M571">
        <v>498.95</v>
      </c>
      <c r="N571">
        <v>150182.87</v>
      </c>
      <c r="O571" t="s">
        <v>24</v>
      </c>
      <c r="P571" t="str">
        <f>IF(J571=G571+H571-I571,"OK","Check")</f>
        <v>OK</v>
      </c>
      <c r="Q571" t="str">
        <f>IF(AND(J571&lt;=K571,L571=TRUE),"OK",IF(AND(J571&gt;K571,L571=FALSE),"OK","Check"))</f>
        <v>OK</v>
      </c>
      <c r="R571" t="str">
        <f>IF(ABS(N571-J571*M571)&lt;=J571*0.005+0.01,"OK","Check")</f>
        <v>OK</v>
      </c>
      <c r="S571" s="3">
        <f t="shared" si="8"/>
        <v>1</v>
      </c>
    </row>
    <row r="572" spans="1:19">
      <c r="A572" s="1">
        <v>46082</v>
      </c>
      <c r="B572" t="s">
        <v>19</v>
      </c>
      <c r="C572" t="s">
        <v>174</v>
      </c>
      <c r="D572" t="s">
        <v>175</v>
      </c>
      <c r="E572" t="s">
        <v>151</v>
      </c>
      <c r="F572" t="s">
        <v>23</v>
      </c>
      <c r="G572">
        <v>243</v>
      </c>
      <c r="H572">
        <v>373</v>
      </c>
      <c r="I572">
        <v>83</v>
      </c>
      <c r="J572">
        <v>533</v>
      </c>
      <c r="K572">
        <v>206</v>
      </c>
      <c r="L572" t="b">
        <v>0</v>
      </c>
      <c r="M572">
        <v>2371.1</v>
      </c>
      <c r="N572">
        <v>1263795.8799999999</v>
      </c>
      <c r="O572" t="s">
        <v>27</v>
      </c>
      <c r="P572" t="str">
        <f>IF(J572=G572+H572-I572,"OK","Check")</f>
        <v>OK</v>
      </c>
      <c r="Q572" t="str">
        <f>IF(AND(J572&lt;=K572,L572=TRUE),"OK",IF(AND(J572&gt;K572,L572=FALSE),"OK","Check"))</f>
        <v>OK</v>
      </c>
      <c r="R572" t="str">
        <f>IF(ABS(N572-J572*M572)&lt;=J572*0.005+0.01,"OK","Check")</f>
        <v>OK</v>
      </c>
      <c r="S572" s="3">
        <f t="shared" si="8"/>
        <v>1</v>
      </c>
    </row>
    <row r="573" spans="1:19">
      <c r="A573" s="1">
        <v>46082</v>
      </c>
      <c r="B573" t="s">
        <v>19</v>
      </c>
      <c r="C573" t="s">
        <v>176</v>
      </c>
      <c r="D573" t="s">
        <v>177</v>
      </c>
      <c r="E573" t="s">
        <v>151</v>
      </c>
      <c r="F573" t="s">
        <v>23</v>
      </c>
      <c r="G573">
        <v>164</v>
      </c>
      <c r="H573">
        <v>0</v>
      </c>
      <c r="I573">
        <v>82</v>
      </c>
      <c r="J573">
        <v>82</v>
      </c>
      <c r="K573">
        <v>94</v>
      </c>
      <c r="L573" t="b">
        <v>1</v>
      </c>
      <c r="M573">
        <v>74.040000000000006</v>
      </c>
      <c r="N573">
        <v>6071.56</v>
      </c>
      <c r="O573" t="s">
        <v>27</v>
      </c>
      <c r="P573" t="str">
        <f>IF(J573=G573+H573-I573,"OK","Check")</f>
        <v>OK</v>
      </c>
      <c r="Q573" t="str">
        <f>IF(AND(J573&lt;=K573,L573=TRUE),"OK",IF(AND(J573&gt;K573,L573=FALSE),"OK","Check"))</f>
        <v>OK</v>
      </c>
      <c r="R573" t="str">
        <f>IF(ABS(N573-J573*M573)&lt;=J573*0.005+0.01,"OK","Check")</f>
        <v>OK</v>
      </c>
      <c r="S573" s="3">
        <f t="shared" si="8"/>
        <v>1</v>
      </c>
    </row>
    <row r="574" spans="1:19">
      <c r="A574" s="1">
        <v>46082</v>
      </c>
      <c r="B574" t="s">
        <v>19</v>
      </c>
      <c r="C574" t="s">
        <v>178</v>
      </c>
      <c r="D574" t="s">
        <v>179</v>
      </c>
      <c r="E574" t="s">
        <v>151</v>
      </c>
      <c r="F574" t="s">
        <v>23</v>
      </c>
      <c r="G574">
        <v>149</v>
      </c>
      <c r="H574">
        <v>475</v>
      </c>
      <c r="I574">
        <v>282</v>
      </c>
      <c r="J574">
        <v>342</v>
      </c>
      <c r="K574">
        <v>159</v>
      </c>
      <c r="L574" t="b">
        <v>0</v>
      </c>
      <c r="M574">
        <v>331.27</v>
      </c>
      <c r="N574">
        <v>113294.38</v>
      </c>
      <c r="O574" t="s">
        <v>32</v>
      </c>
      <c r="P574" t="str">
        <f>IF(J574=G574+H574-I574,"OK","Check")</f>
        <v>OK</v>
      </c>
      <c r="Q574" t="str">
        <f>IF(AND(J574&lt;=K574,L574=TRUE),"OK",IF(AND(J574&gt;K574,L574=FALSE),"OK","Check"))</f>
        <v>OK</v>
      </c>
      <c r="R574" t="str">
        <f>IF(ABS(N574-J574*M574)&lt;=J574*0.005+0.01,"OK","Check")</f>
        <v>OK</v>
      </c>
      <c r="S574" s="3">
        <f t="shared" si="8"/>
        <v>1</v>
      </c>
    </row>
    <row r="575" spans="1:19">
      <c r="A575" s="1">
        <v>46082</v>
      </c>
      <c r="B575" t="s">
        <v>19</v>
      </c>
      <c r="C575" t="s">
        <v>180</v>
      </c>
      <c r="D575" t="s">
        <v>181</v>
      </c>
      <c r="E575" t="s">
        <v>151</v>
      </c>
      <c r="F575" t="s">
        <v>23</v>
      </c>
      <c r="G575">
        <v>334</v>
      </c>
      <c r="H575">
        <v>512</v>
      </c>
      <c r="I575">
        <v>203</v>
      </c>
      <c r="J575">
        <v>643</v>
      </c>
      <c r="K575">
        <v>305</v>
      </c>
      <c r="L575" t="b">
        <v>0</v>
      </c>
      <c r="M575">
        <v>54.45</v>
      </c>
      <c r="N575">
        <v>35008.959999999999</v>
      </c>
      <c r="O575" t="s">
        <v>44</v>
      </c>
      <c r="P575" t="str">
        <f>IF(J575=G575+H575-I575,"OK","Check")</f>
        <v>OK</v>
      </c>
      <c r="Q575" t="str">
        <f>IF(AND(J575&lt;=K575,L575=TRUE),"OK",IF(AND(J575&gt;K575,L575=FALSE),"OK","Check"))</f>
        <v>OK</v>
      </c>
      <c r="R575" t="str">
        <f>IF(ABS(N575-J575*M575)&lt;=J575*0.005+0.01,"OK","Check")</f>
        <v>OK</v>
      </c>
      <c r="S575" s="3">
        <f t="shared" si="8"/>
        <v>1</v>
      </c>
    </row>
    <row r="576" spans="1:19">
      <c r="A576" s="1">
        <v>46082</v>
      </c>
      <c r="B576" t="s">
        <v>19</v>
      </c>
      <c r="C576" t="s">
        <v>182</v>
      </c>
      <c r="D576" t="s">
        <v>183</v>
      </c>
      <c r="E576" t="s">
        <v>151</v>
      </c>
      <c r="F576" t="s">
        <v>23</v>
      </c>
      <c r="G576">
        <v>146</v>
      </c>
      <c r="H576">
        <v>119</v>
      </c>
      <c r="I576">
        <v>44</v>
      </c>
      <c r="J576">
        <v>221</v>
      </c>
      <c r="K576">
        <v>43</v>
      </c>
      <c r="L576" t="b">
        <v>0</v>
      </c>
      <c r="M576">
        <v>252.24</v>
      </c>
      <c r="N576">
        <v>55745.49</v>
      </c>
      <c r="O576" t="s">
        <v>32</v>
      </c>
      <c r="P576" t="str">
        <f>IF(J576=G576+H576-I576,"OK","Check")</f>
        <v>OK</v>
      </c>
      <c r="Q576" t="str">
        <f>IF(AND(J576&lt;=K576,L576=TRUE),"OK",IF(AND(J576&gt;K576,L576=FALSE),"OK","Check"))</f>
        <v>OK</v>
      </c>
      <c r="R576" t="str">
        <f>IF(ABS(N576-J576*M576)&lt;=J576*0.005+0.01,"OK","Check")</f>
        <v>OK</v>
      </c>
      <c r="S576" s="3">
        <f t="shared" si="8"/>
        <v>1</v>
      </c>
    </row>
    <row r="577" spans="1:19">
      <c r="A577" s="1">
        <v>46082</v>
      </c>
      <c r="B577" t="s">
        <v>19</v>
      </c>
      <c r="C577" t="s">
        <v>184</v>
      </c>
      <c r="D577" t="s">
        <v>185</v>
      </c>
      <c r="E577" t="s">
        <v>151</v>
      </c>
      <c r="F577" t="s">
        <v>23</v>
      </c>
      <c r="G577">
        <v>406</v>
      </c>
      <c r="H577">
        <v>0</v>
      </c>
      <c r="I577">
        <v>142</v>
      </c>
      <c r="J577">
        <v>264</v>
      </c>
      <c r="K577">
        <v>225</v>
      </c>
      <c r="L577" t="b">
        <v>0</v>
      </c>
      <c r="M577">
        <v>418.31</v>
      </c>
      <c r="N577">
        <v>110434.6</v>
      </c>
      <c r="O577" t="s">
        <v>60</v>
      </c>
      <c r="P577" t="str">
        <f>IF(J577=G577+H577-I577,"OK","Check")</f>
        <v>OK</v>
      </c>
      <c r="Q577" t="str">
        <f>IF(AND(J577&lt;=K577,L577=TRUE),"OK",IF(AND(J577&gt;K577,L577=FALSE),"OK","Check"))</f>
        <v>OK</v>
      </c>
      <c r="R577" t="str">
        <f>IF(ABS(N577-J577*M577)&lt;=J577*0.005+0.01,"OK","Check")</f>
        <v>OK</v>
      </c>
      <c r="S577" s="3">
        <f t="shared" si="8"/>
        <v>1</v>
      </c>
    </row>
    <row r="578" spans="1:19">
      <c r="A578" s="1">
        <v>46082</v>
      </c>
      <c r="B578" t="s">
        <v>19</v>
      </c>
      <c r="C578" t="s">
        <v>186</v>
      </c>
      <c r="D578" t="s">
        <v>187</v>
      </c>
      <c r="E578" t="s">
        <v>188</v>
      </c>
      <c r="F578" t="s">
        <v>23</v>
      </c>
      <c r="G578">
        <v>10</v>
      </c>
      <c r="H578">
        <v>176</v>
      </c>
      <c r="I578">
        <v>93</v>
      </c>
      <c r="J578">
        <v>93</v>
      </c>
      <c r="K578">
        <v>79</v>
      </c>
      <c r="L578" t="b">
        <v>0</v>
      </c>
      <c r="M578">
        <v>121.26</v>
      </c>
      <c r="N578">
        <v>11277.5</v>
      </c>
      <c r="O578" t="s">
        <v>24</v>
      </c>
      <c r="P578" t="str">
        <f>IF(J578=G578+H578-I578,"OK","Check")</f>
        <v>OK</v>
      </c>
      <c r="Q578" t="str">
        <f>IF(AND(J578&lt;=K578,L578=TRUE),"OK",IF(AND(J578&gt;K578,L578=FALSE),"OK","Check"))</f>
        <v>OK</v>
      </c>
      <c r="R578" t="str">
        <f>IF(ABS(N578-J578*M578)&lt;=J578*0.005+0.01,"OK","Check")</f>
        <v>OK</v>
      </c>
      <c r="S578" s="3">
        <f t="shared" ref="S578:S641" si="9">COUNTIFS(A:A,A578,B:B,B578,C:C,C578)</f>
        <v>1</v>
      </c>
    </row>
    <row r="579" spans="1:19">
      <c r="A579" s="1">
        <v>46082</v>
      </c>
      <c r="B579" t="s">
        <v>19</v>
      </c>
      <c r="C579" t="s">
        <v>189</v>
      </c>
      <c r="D579" t="s">
        <v>190</v>
      </c>
      <c r="E579" t="s">
        <v>188</v>
      </c>
      <c r="F579" t="s">
        <v>23</v>
      </c>
      <c r="G579">
        <v>393</v>
      </c>
      <c r="H579">
        <v>0</v>
      </c>
      <c r="I579">
        <v>132</v>
      </c>
      <c r="J579">
        <v>261</v>
      </c>
      <c r="K579">
        <v>177</v>
      </c>
      <c r="L579" t="b">
        <v>0</v>
      </c>
      <c r="M579">
        <v>509.63</v>
      </c>
      <c r="N579">
        <v>133012.4</v>
      </c>
      <c r="O579" t="s">
        <v>98</v>
      </c>
      <c r="P579" t="str">
        <f>IF(J579=G579+H579-I579,"OK","Check")</f>
        <v>OK</v>
      </c>
      <c r="Q579" t="str">
        <f>IF(AND(J579&lt;=K579,L579=TRUE),"OK",IF(AND(J579&gt;K579,L579=FALSE),"OK","Check"))</f>
        <v>OK</v>
      </c>
      <c r="R579" t="str">
        <f>IF(ABS(N579-J579*M579)&lt;=J579*0.005+0.01,"OK","Check")</f>
        <v>OK</v>
      </c>
      <c r="S579" s="3">
        <f t="shared" si="9"/>
        <v>1</v>
      </c>
    </row>
    <row r="580" spans="1:19">
      <c r="A580" s="1">
        <v>46082</v>
      </c>
      <c r="B580" t="s">
        <v>19</v>
      </c>
      <c r="C580" t="s">
        <v>191</v>
      </c>
      <c r="D580" t="s">
        <v>192</v>
      </c>
      <c r="E580" t="s">
        <v>188</v>
      </c>
      <c r="F580" t="s">
        <v>23</v>
      </c>
      <c r="G580">
        <v>81</v>
      </c>
      <c r="H580">
        <v>434</v>
      </c>
      <c r="I580">
        <v>189</v>
      </c>
      <c r="J580">
        <v>326</v>
      </c>
      <c r="K580">
        <v>238</v>
      </c>
      <c r="L580" t="b">
        <v>0</v>
      </c>
      <c r="M580">
        <v>103.34</v>
      </c>
      <c r="N580">
        <v>33689.760000000002</v>
      </c>
      <c r="O580" t="s">
        <v>98</v>
      </c>
      <c r="P580" t="str">
        <f>IF(J580=G580+H580-I580,"OK","Check")</f>
        <v>OK</v>
      </c>
      <c r="Q580" t="str">
        <f>IF(AND(J580&lt;=K580,L580=TRUE),"OK",IF(AND(J580&gt;K580,L580=FALSE),"OK","Check"))</f>
        <v>OK</v>
      </c>
      <c r="R580" t="str">
        <f>IF(ABS(N580-J580*M580)&lt;=J580*0.005+0.01,"OK","Check")</f>
        <v>OK</v>
      </c>
      <c r="S580" s="3">
        <f t="shared" si="9"/>
        <v>1</v>
      </c>
    </row>
    <row r="581" spans="1:19">
      <c r="A581" s="1">
        <v>46082</v>
      </c>
      <c r="B581" t="s">
        <v>19</v>
      </c>
      <c r="C581" t="s">
        <v>193</v>
      </c>
      <c r="D581" t="s">
        <v>194</v>
      </c>
      <c r="E581" t="s">
        <v>188</v>
      </c>
      <c r="F581" t="s">
        <v>23</v>
      </c>
      <c r="G581">
        <v>22</v>
      </c>
      <c r="H581">
        <v>106</v>
      </c>
      <c r="I581">
        <v>33</v>
      </c>
      <c r="J581">
        <v>95</v>
      </c>
      <c r="K581">
        <v>49</v>
      </c>
      <c r="L581" t="b">
        <v>0</v>
      </c>
      <c r="M581">
        <v>419.35</v>
      </c>
      <c r="N581">
        <v>39837.919999999998</v>
      </c>
      <c r="O581" t="s">
        <v>27</v>
      </c>
      <c r="P581" t="str">
        <f>IF(J581=G581+H581-I581,"OK","Check")</f>
        <v>OK</v>
      </c>
      <c r="Q581" t="str">
        <f>IF(AND(J581&lt;=K581,L581=TRUE),"OK",IF(AND(J581&gt;K581,L581=FALSE),"OK","Check"))</f>
        <v>OK</v>
      </c>
      <c r="R581" t="str">
        <f>IF(ABS(N581-J581*M581)&lt;=J581*0.005+0.01,"OK","Check")</f>
        <v>OK</v>
      </c>
      <c r="S581" s="3">
        <f t="shared" si="9"/>
        <v>1</v>
      </c>
    </row>
    <row r="582" spans="1:19">
      <c r="A582" s="1">
        <v>46082</v>
      </c>
      <c r="B582" t="s">
        <v>19</v>
      </c>
      <c r="C582" t="s">
        <v>195</v>
      </c>
      <c r="D582" t="s">
        <v>196</v>
      </c>
      <c r="E582" t="s">
        <v>188</v>
      </c>
      <c r="F582" t="s">
        <v>23</v>
      </c>
      <c r="G582">
        <v>38</v>
      </c>
      <c r="H582">
        <v>0</v>
      </c>
      <c r="I582">
        <v>17</v>
      </c>
      <c r="J582">
        <v>21</v>
      </c>
      <c r="K582">
        <v>23</v>
      </c>
      <c r="L582" t="b">
        <v>1</v>
      </c>
      <c r="M582">
        <v>72.61</v>
      </c>
      <c r="N582">
        <v>1524.77</v>
      </c>
      <c r="O582" t="s">
        <v>47</v>
      </c>
      <c r="P582" t="str">
        <f>IF(J582=G582+H582-I582,"OK","Check")</f>
        <v>OK</v>
      </c>
      <c r="Q582" t="str">
        <f>IF(AND(J582&lt;=K582,L582=TRUE),"OK",IF(AND(J582&gt;K582,L582=FALSE),"OK","Check"))</f>
        <v>OK</v>
      </c>
      <c r="R582" t="str">
        <f>IF(ABS(N582-J582*M582)&lt;=J582*0.005+0.01,"OK","Check")</f>
        <v>OK</v>
      </c>
      <c r="S582" s="3">
        <f t="shared" si="9"/>
        <v>1</v>
      </c>
    </row>
    <row r="583" spans="1:19">
      <c r="A583" s="1">
        <v>46082</v>
      </c>
      <c r="B583" t="s">
        <v>19</v>
      </c>
      <c r="C583" t="s">
        <v>197</v>
      </c>
      <c r="D583" t="s">
        <v>198</v>
      </c>
      <c r="E583" t="s">
        <v>188</v>
      </c>
      <c r="F583" t="s">
        <v>23</v>
      </c>
      <c r="G583">
        <v>181</v>
      </c>
      <c r="H583">
        <v>0</v>
      </c>
      <c r="I583">
        <v>21</v>
      </c>
      <c r="J583">
        <v>160</v>
      </c>
      <c r="K583">
        <v>52</v>
      </c>
      <c r="L583" t="b">
        <v>0</v>
      </c>
      <c r="M583">
        <v>113.25</v>
      </c>
      <c r="N583">
        <v>18119.41</v>
      </c>
      <c r="O583" t="s">
        <v>98</v>
      </c>
      <c r="P583" t="str">
        <f>IF(J583=G583+H583-I583,"OK","Check")</f>
        <v>OK</v>
      </c>
      <c r="Q583" t="str">
        <f>IF(AND(J583&lt;=K583,L583=TRUE),"OK",IF(AND(J583&gt;K583,L583=FALSE),"OK","Check"))</f>
        <v>OK</v>
      </c>
      <c r="R583" t="str">
        <f>IF(ABS(N583-J583*M583)&lt;=J583*0.005+0.01,"OK","Check")</f>
        <v>OK</v>
      </c>
      <c r="S583" s="3">
        <f t="shared" si="9"/>
        <v>1</v>
      </c>
    </row>
    <row r="584" spans="1:19">
      <c r="A584" s="1">
        <v>46082</v>
      </c>
      <c r="B584" t="s">
        <v>19</v>
      </c>
      <c r="C584" t="s">
        <v>199</v>
      </c>
      <c r="D584" t="s">
        <v>200</v>
      </c>
      <c r="E584" t="s">
        <v>188</v>
      </c>
      <c r="F584" t="s">
        <v>23</v>
      </c>
      <c r="G584">
        <v>581</v>
      </c>
      <c r="H584">
        <v>0</v>
      </c>
      <c r="I584">
        <v>159</v>
      </c>
      <c r="J584">
        <v>422</v>
      </c>
      <c r="K584">
        <v>160</v>
      </c>
      <c r="L584" t="b">
        <v>0</v>
      </c>
      <c r="M584">
        <v>545.13</v>
      </c>
      <c r="N584">
        <v>230044.7</v>
      </c>
      <c r="O584" t="s">
        <v>98</v>
      </c>
      <c r="P584" t="str">
        <f>IF(J584=G584+H584-I584,"OK","Check")</f>
        <v>OK</v>
      </c>
      <c r="Q584" t="str">
        <f>IF(AND(J584&lt;=K584,L584=TRUE),"OK",IF(AND(J584&gt;K584,L584=FALSE),"OK","Check"))</f>
        <v>OK</v>
      </c>
      <c r="R584" t="str">
        <f>IF(ABS(N584-J584*M584)&lt;=J584*0.005+0.01,"OK","Check")</f>
        <v>OK</v>
      </c>
      <c r="S584" s="3">
        <f t="shared" si="9"/>
        <v>1</v>
      </c>
    </row>
    <row r="585" spans="1:19">
      <c r="A585" s="1">
        <v>46082</v>
      </c>
      <c r="B585" t="s">
        <v>19</v>
      </c>
      <c r="C585" t="s">
        <v>201</v>
      </c>
      <c r="D585" t="s">
        <v>202</v>
      </c>
      <c r="E585" t="s">
        <v>188</v>
      </c>
      <c r="F585" t="s">
        <v>23</v>
      </c>
      <c r="G585">
        <v>39</v>
      </c>
      <c r="H585">
        <v>126</v>
      </c>
      <c r="I585">
        <v>42</v>
      </c>
      <c r="J585">
        <v>123</v>
      </c>
      <c r="K585">
        <v>59</v>
      </c>
      <c r="L585" t="b">
        <v>0</v>
      </c>
      <c r="M585">
        <v>902.86</v>
      </c>
      <c r="N585">
        <v>111052.34</v>
      </c>
      <c r="O585" t="s">
        <v>47</v>
      </c>
      <c r="P585" t="str">
        <f>IF(J585=G585+H585-I585,"OK","Check")</f>
        <v>OK</v>
      </c>
      <c r="Q585" t="str">
        <f>IF(AND(J585&lt;=K585,L585=TRUE),"OK",IF(AND(J585&gt;K585,L585=FALSE),"OK","Check"))</f>
        <v>OK</v>
      </c>
      <c r="R585" t="str">
        <f>IF(ABS(N585-J585*M585)&lt;=J585*0.005+0.01,"OK","Check")</f>
        <v>OK</v>
      </c>
      <c r="S585" s="3">
        <f t="shared" si="9"/>
        <v>1</v>
      </c>
    </row>
    <row r="586" spans="1:19">
      <c r="A586" s="1">
        <v>46082</v>
      </c>
      <c r="B586" t="s">
        <v>19</v>
      </c>
      <c r="C586" t="s">
        <v>203</v>
      </c>
      <c r="D586" t="s">
        <v>204</v>
      </c>
      <c r="E586" t="s">
        <v>188</v>
      </c>
      <c r="F586" t="s">
        <v>23</v>
      </c>
      <c r="G586">
        <v>250</v>
      </c>
      <c r="H586">
        <v>0</v>
      </c>
      <c r="I586">
        <v>112</v>
      </c>
      <c r="J586">
        <v>138</v>
      </c>
      <c r="K586">
        <v>159</v>
      </c>
      <c r="L586" t="b">
        <v>1</v>
      </c>
      <c r="M586">
        <v>4236.42</v>
      </c>
      <c r="N586">
        <v>584626.01</v>
      </c>
      <c r="O586" t="s">
        <v>47</v>
      </c>
      <c r="P586" t="str">
        <f>IF(J586=G586+H586-I586,"OK","Check")</f>
        <v>OK</v>
      </c>
      <c r="Q586" t="str">
        <f>IF(AND(J586&lt;=K586,L586=TRUE),"OK",IF(AND(J586&gt;K586,L586=FALSE),"OK","Check"))</f>
        <v>OK</v>
      </c>
      <c r="R586" t="str">
        <f>IF(ABS(N586-J586*M586)&lt;=J586*0.005+0.01,"OK","Check")</f>
        <v>OK</v>
      </c>
      <c r="S586" s="3">
        <f t="shared" si="9"/>
        <v>1</v>
      </c>
    </row>
    <row r="587" spans="1:19">
      <c r="A587" s="1">
        <v>46082</v>
      </c>
      <c r="B587" t="s">
        <v>19</v>
      </c>
      <c r="C587" t="s">
        <v>205</v>
      </c>
      <c r="D587" t="s">
        <v>206</v>
      </c>
      <c r="E587" t="s">
        <v>188</v>
      </c>
      <c r="F587" t="s">
        <v>23</v>
      </c>
      <c r="G587">
        <v>115</v>
      </c>
      <c r="H587">
        <v>491</v>
      </c>
      <c r="I587">
        <v>186</v>
      </c>
      <c r="J587">
        <v>420</v>
      </c>
      <c r="K587">
        <v>271</v>
      </c>
      <c r="L587" t="b">
        <v>0</v>
      </c>
      <c r="M587">
        <v>86.25</v>
      </c>
      <c r="N587">
        <v>36226.629999999997</v>
      </c>
      <c r="O587" t="s">
        <v>98</v>
      </c>
      <c r="P587" t="str">
        <f>IF(J587=G587+H587-I587,"OK","Check")</f>
        <v>OK</v>
      </c>
      <c r="Q587" t="str">
        <f>IF(AND(J587&lt;=K587,L587=TRUE),"OK",IF(AND(J587&gt;K587,L587=FALSE),"OK","Check"))</f>
        <v>OK</v>
      </c>
      <c r="R587" t="str">
        <f>IF(ABS(N587-J587*M587)&lt;=J587*0.005+0.01,"OK","Check")</f>
        <v>OK</v>
      </c>
      <c r="S587" s="3">
        <f t="shared" si="9"/>
        <v>1</v>
      </c>
    </row>
    <row r="588" spans="1:19">
      <c r="A588" s="1">
        <v>46082</v>
      </c>
      <c r="B588" t="s">
        <v>19</v>
      </c>
      <c r="C588" t="s">
        <v>207</v>
      </c>
      <c r="D588" t="s">
        <v>208</v>
      </c>
      <c r="E588" t="s">
        <v>188</v>
      </c>
      <c r="F588" t="s">
        <v>23</v>
      </c>
      <c r="G588">
        <v>520</v>
      </c>
      <c r="H588">
        <v>436</v>
      </c>
      <c r="I588">
        <v>162</v>
      </c>
      <c r="J588">
        <v>794</v>
      </c>
      <c r="K588">
        <v>205</v>
      </c>
      <c r="L588" t="b">
        <v>0</v>
      </c>
      <c r="M588">
        <v>76.64</v>
      </c>
      <c r="N588">
        <v>60848.46</v>
      </c>
      <c r="O588" t="s">
        <v>47</v>
      </c>
      <c r="P588" t="str">
        <f>IF(J588=G588+H588-I588,"OK","Check")</f>
        <v>OK</v>
      </c>
      <c r="Q588" t="str">
        <f>IF(AND(J588&lt;=K588,L588=TRUE),"OK",IF(AND(J588&gt;K588,L588=FALSE),"OK","Check"))</f>
        <v>OK</v>
      </c>
      <c r="R588" t="str">
        <f>IF(ABS(N588-J588*M588)&lt;=J588*0.005+0.01,"OK","Check")</f>
        <v>OK</v>
      </c>
      <c r="S588" s="3">
        <f t="shared" si="9"/>
        <v>1</v>
      </c>
    </row>
    <row r="589" spans="1:19">
      <c r="A589" s="1">
        <v>46082</v>
      </c>
      <c r="B589" t="s">
        <v>19</v>
      </c>
      <c r="C589" t="s">
        <v>209</v>
      </c>
      <c r="D589" t="s">
        <v>210</v>
      </c>
      <c r="E589" t="s">
        <v>188</v>
      </c>
      <c r="F589" t="s">
        <v>23</v>
      </c>
      <c r="G589">
        <v>404</v>
      </c>
      <c r="H589">
        <v>0</v>
      </c>
      <c r="I589">
        <v>129</v>
      </c>
      <c r="J589">
        <v>275</v>
      </c>
      <c r="K589">
        <v>167</v>
      </c>
      <c r="L589" t="b">
        <v>0</v>
      </c>
      <c r="M589">
        <v>366.36</v>
      </c>
      <c r="N589">
        <v>100748.56</v>
      </c>
      <c r="O589" t="s">
        <v>37</v>
      </c>
      <c r="P589" t="str">
        <f>IF(J589=G589+H589-I589,"OK","Check")</f>
        <v>OK</v>
      </c>
      <c r="Q589" t="str">
        <f>IF(AND(J589&lt;=K589,L589=TRUE),"OK",IF(AND(J589&gt;K589,L589=FALSE),"OK","Check"))</f>
        <v>OK</v>
      </c>
      <c r="R589" t="str">
        <f>IF(ABS(N589-J589*M589)&lt;=J589*0.005+0.01,"OK","Check")</f>
        <v>OK</v>
      </c>
      <c r="S589" s="3">
        <f t="shared" si="9"/>
        <v>1</v>
      </c>
    </row>
    <row r="590" spans="1:19">
      <c r="A590" s="1">
        <v>46082</v>
      </c>
      <c r="B590" t="s">
        <v>19</v>
      </c>
      <c r="C590" t="s">
        <v>211</v>
      </c>
      <c r="D590" t="s">
        <v>212</v>
      </c>
      <c r="E590" t="s">
        <v>188</v>
      </c>
      <c r="F590" t="s">
        <v>23</v>
      </c>
      <c r="G590">
        <v>162</v>
      </c>
      <c r="H590">
        <v>327</v>
      </c>
      <c r="I590">
        <v>163</v>
      </c>
      <c r="J590">
        <v>326</v>
      </c>
      <c r="K590">
        <v>145</v>
      </c>
      <c r="L590" t="b">
        <v>0</v>
      </c>
      <c r="M590">
        <v>466.58</v>
      </c>
      <c r="N590">
        <v>152103.70000000001</v>
      </c>
      <c r="O590" t="s">
        <v>60</v>
      </c>
      <c r="P590" t="str">
        <f>IF(J590=G590+H590-I590,"OK","Check")</f>
        <v>OK</v>
      </c>
      <c r="Q590" t="str">
        <f>IF(AND(J590&lt;=K590,L590=TRUE),"OK",IF(AND(J590&gt;K590,L590=FALSE),"OK","Check"))</f>
        <v>OK</v>
      </c>
      <c r="R590" t="str">
        <f>IF(ABS(N590-J590*M590)&lt;=J590*0.005+0.01,"OK","Check")</f>
        <v>OK</v>
      </c>
      <c r="S590" s="3">
        <f t="shared" si="9"/>
        <v>1</v>
      </c>
    </row>
    <row r="591" spans="1:19">
      <c r="A591" s="1">
        <v>46082</v>
      </c>
      <c r="B591" t="s">
        <v>19</v>
      </c>
      <c r="C591" t="s">
        <v>213</v>
      </c>
      <c r="D591" t="s">
        <v>214</v>
      </c>
      <c r="E591" t="s">
        <v>188</v>
      </c>
      <c r="F591" t="s">
        <v>23</v>
      </c>
      <c r="G591">
        <v>237</v>
      </c>
      <c r="H591">
        <v>379</v>
      </c>
      <c r="I591">
        <v>190</v>
      </c>
      <c r="J591">
        <v>426</v>
      </c>
      <c r="K591">
        <v>200</v>
      </c>
      <c r="L591" t="b">
        <v>0</v>
      </c>
      <c r="M591">
        <v>363.76</v>
      </c>
      <c r="N591">
        <v>154961.63</v>
      </c>
      <c r="O591" t="s">
        <v>44</v>
      </c>
      <c r="P591" t="str">
        <f>IF(J591=G591+H591-I591,"OK","Check")</f>
        <v>OK</v>
      </c>
      <c r="Q591" t="str">
        <f>IF(AND(J591&lt;=K591,L591=TRUE),"OK",IF(AND(J591&gt;K591,L591=FALSE),"OK","Check"))</f>
        <v>OK</v>
      </c>
      <c r="R591" t="str">
        <f>IF(ABS(N591-J591*M591)&lt;=J591*0.005+0.01,"OK","Check")</f>
        <v>OK</v>
      </c>
      <c r="S591" s="3">
        <f t="shared" si="9"/>
        <v>1</v>
      </c>
    </row>
    <row r="592" spans="1:19">
      <c r="A592" s="1">
        <v>46082</v>
      </c>
      <c r="B592" t="s">
        <v>19</v>
      </c>
      <c r="C592" t="s">
        <v>215</v>
      </c>
      <c r="D592" t="s">
        <v>216</v>
      </c>
      <c r="E592" t="s">
        <v>188</v>
      </c>
      <c r="F592" t="s">
        <v>23</v>
      </c>
      <c r="G592">
        <v>175</v>
      </c>
      <c r="H592">
        <v>502</v>
      </c>
      <c r="I592">
        <v>81</v>
      </c>
      <c r="J592">
        <v>596</v>
      </c>
      <c r="K592">
        <v>205</v>
      </c>
      <c r="L592" t="b">
        <v>0</v>
      </c>
      <c r="M592">
        <v>1520.18</v>
      </c>
      <c r="N592">
        <v>906027.71</v>
      </c>
      <c r="O592" t="s">
        <v>27</v>
      </c>
      <c r="P592" t="str">
        <f>IF(J592=G592+H592-I592,"OK","Check")</f>
        <v>OK</v>
      </c>
      <c r="Q592" t="str">
        <f>IF(AND(J592&lt;=K592,L592=TRUE),"OK",IF(AND(J592&gt;K592,L592=FALSE),"OK","Check"))</f>
        <v>OK</v>
      </c>
      <c r="R592" t="str">
        <f>IF(ABS(N592-J592*M592)&lt;=J592*0.005+0.01,"OK","Check")</f>
        <v>OK</v>
      </c>
      <c r="S592" s="3">
        <f t="shared" si="9"/>
        <v>1</v>
      </c>
    </row>
    <row r="593" spans="1:19">
      <c r="A593" s="1">
        <v>46082</v>
      </c>
      <c r="B593" t="s">
        <v>19</v>
      </c>
      <c r="C593" t="s">
        <v>217</v>
      </c>
      <c r="D593" t="s">
        <v>218</v>
      </c>
      <c r="E593" t="s">
        <v>219</v>
      </c>
      <c r="F593" t="s">
        <v>23</v>
      </c>
      <c r="G593">
        <v>442</v>
      </c>
      <c r="H593">
        <v>0</v>
      </c>
      <c r="I593">
        <v>115</v>
      </c>
      <c r="J593">
        <v>327</v>
      </c>
      <c r="K593">
        <v>127</v>
      </c>
      <c r="L593" t="b">
        <v>0</v>
      </c>
      <c r="M593">
        <v>16.57</v>
      </c>
      <c r="N593">
        <v>5419.44</v>
      </c>
      <c r="O593" t="s">
        <v>37</v>
      </c>
      <c r="P593" t="str">
        <f>IF(J593=G593+H593-I593,"OK","Check")</f>
        <v>OK</v>
      </c>
      <c r="Q593" t="str">
        <f>IF(AND(J593&lt;=K593,L593=TRUE),"OK",IF(AND(J593&gt;K593,L593=FALSE),"OK","Check"))</f>
        <v>OK</v>
      </c>
      <c r="R593" t="str">
        <f>IF(ABS(N593-J593*M593)&lt;=J593*0.005+0.01,"OK","Check")</f>
        <v>OK</v>
      </c>
      <c r="S593" s="3">
        <f t="shared" si="9"/>
        <v>1</v>
      </c>
    </row>
    <row r="594" spans="1:19">
      <c r="A594" s="1">
        <v>46082</v>
      </c>
      <c r="B594" t="s">
        <v>19</v>
      </c>
      <c r="C594" t="s">
        <v>220</v>
      </c>
      <c r="D594" t="s">
        <v>221</v>
      </c>
      <c r="E594" t="s">
        <v>219</v>
      </c>
      <c r="F594" t="s">
        <v>23</v>
      </c>
      <c r="G594">
        <v>231</v>
      </c>
      <c r="H594">
        <v>238</v>
      </c>
      <c r="I594">
        <v>94</v>
      </c>
      <c r="J594">
        <v>375</v>
      </c>
      <c r="K594">
        <v>99</v>
      </c>
      <c r="L594" t="b">
        <v>0</v>
      </c>
      <c r="M594">
        <v>76.760000000000005</v>
      </c>
      <c r="N594">
        <v>28786.76</v>
      </c>
      <c r="O594" t="s">
        <v>60</v>
      </c>
      <c r="P594" t="str">
        <f>IF(J594=G594+H594-I594,"OK","Check")</f>
        <v>OK</v>
      </c>
      <c r="Q594" t="str">
        <f>IF(AND(J594&lt;=K594,L594=TRUE),"OK",IF(AND(J594&gt;K594,L594=FALSE),"OK","Check"))</f>
        <v>OK</v>
      </c>
      <c r="R594" t="str">
        <f>IF(ABS(N594-J594*M594)&lt;=J594*0.005+0.01,"OK","Check")</f>
        <v>OK</v>
      </c>
      <c r="S594" s="3">
        <f t="shared" si="9"/>
        <v>1</v>
      </c>
    </row>
    <row r="595" spans="1:19">
      <c r="A595" s="1">
        <v>46082</v>
      </c>
      <c r="B595" t="s">
        <v>19</v>
      </c>
      <c r="C595" t="s">
        <v>222</v>
      </c>
      <c r="D595" t="s">
        <v>223</v>
      </c>
      <c r="E595" t="s">
        <v>219</v>
      </c>
      <c r="F595" t="s">
        <v>23</v>
      </c>
      <c r="G595">
        <v>112</v>
      </c>
      <c r="H595">
        <v>409</v>
      </c>
      <c r="I595">
        <v>140</v>
      </c>
      <c r="J595">
        <v>381</v>
      </c>
      <c r="K595">
        <v>185</v>
      </c>
      <c r="L595" t="b">
        <v>0</v>
      </c>
      <c r="M595">
        <v>45.55</v>
      </c>
      <c r="N595">
        <v>17353.86</v>
      </c>
      <c r="O595" t="s">
        <v>37</v>
      </c>
      <c r="P595" t="str">
        <f>IF(J595=G595+H595-I595,"OK","Check")</f>
        <v>OK</v>
      </c>
      <c r="Q595" t="str">
        <f>IF(AND(J595&lt;=K595,L595=TRUE),"OK",IF(AND(J595&gt;K595,L595=FALSE),"OK","Check"))</f>
        <v>OK</v>
      </c>
      <c r="R595" t="str">
        <f>IF(ABS(N595-J595*M595)&lt;=J595*0.005+0.01,"OK","Check")</f>
        <v>OK</v>
      </c>
      <c r="S595" s="3">
        <f t="shared" si="9"/>
        <v>1</v>
      </c>
    </row>
    <row r="596" spans="1:19">
      <c r="A596" s="1">
        <v>46082</v>
      </c>
      <c r="B596" t="s">
        <v>19</v>
      </c>
      <c r="C596" t="s">
        <v>224</v>
      </c>
      <c r="D596" t="s">
        <v>225</v>
      </c>
      <c r="E596" t="s">
        <v>219</v>
      </c>
      <c r="F596" t="s">
        <v>23</v>
      </c>
      <c r="G596">
        <v>263</v>
      </c>
      <c r="H596">
        <v>0</v>
      </c>
      <c r="I596">
        <v>242</v>
      </c>
      <c r="J596">
        <v>21</v>
      </c>
      <c r="K596">
        <v>181</v>
      </c>
      <c r="L596" t="b">
        <v>1</v>
      </c>
      <c r="M596">
        <v>193.96</v>
      </c>
      <c r="N596">
        <v>4073.07</v>
      </c>
      <c r="O596" t="s">
        <v>44</v>
      </c>
      <c r="P596" t="str">
        <f>IF(J596=G596+H596-I596,"OK","Check")</f>
        <v>OK</v>
      </c>
      <c r="Q596" t="str">
        <f>IF(AND(J596&lt;=K596,L596=TRUE),"OK",IF(AND(J596&gt;K596,L596=FALSE),"OK","Check"))</f>
        <v>OK</v>
      </c>
      <c r="R596" t="str">
        <f>IF(ABS(N596-J596*M596)&lt;=J596*0.005+0.01,"OK","Check")</f>
        <v>OK</v>
      </c>
      <c r="S596" s="3">
        <f t="shared" si="9"/>
        <v>1</v>
      </c>
    </row>
    <row r="597" spans="1:19">
      <c r="A597" s="1">
        <v>46082</v>
      </c>
      <c r="B597" t="s">
        <v>19</v>
      </c>
      <c r="C597" t="s">
        <v>226</v>
      </c>
      <c r="D597" t="s">
        <v>227</v>
      </c>
      <c r="E597" t="s">
        <v>219</v>
      </c>
      <c r="F597" t="s">
        <v>23</v>
      </c>
      <c r="G597">
        <v>159</v>
      </c>
      <c r="H597">
        <v>569</v>
      </c>
      <c r="I597">
        <v>233</v>
      </c>
      <c r="J597">
        <v>495</v>
      </c>
      <c r="K597">
        <v>238</v>
      </c>
      <c r="L597" t="b">
        <v>0</v>
      </c>
      <c r="M597">
        <v>354.1</v>
      </c>
      <c r="N597">
        <v>175278.72</v>
      </c>
      <c r="O597" t="s">
        <v>60</v>
      </c>
      <c r="P597" t="str">
        <f>IF(J597=G597+H597-I597,"OK","Check")</f>
        <v>OK</v>
      </c>
      <c r="Q597" t="str">
        <f>IF(AND(J597&lt;=K597,L597=TRUE),"OK",IF(AND(J597&gt;K597,L597=FALSE),"OK","Check"))</f>
        <v>OK</v>
      </c>
      <c r="R597" t="str">
        <f>IF(ABS(N597-J597*M597)&lt;=J597*0.005+0.01,"OK","Check")</f>
        <v>OK</v>
      </c>
      <c r="S597" s="3">
        <f t="shared" si="9"/>
        <v>1</v>
      </c>
    </row>
    <row r="598" spans="1:19">
      <c r="A598" s="1">
        <v>46082</v>
      </c>
      <c r="B598" t="s">
        <v>19</v>
      </c>
      <c r="C598" t="s">
        <v>228</v>
      </c>
      <c r="D598" t="s">
        <v>229</v>
      </c>
      <c r="E598" t="s">
        <v>219</v>
      </c>
      <c r="F598" t="s">
        <v>23</v>
      </c>
      <c r="G598">
        <v>400</v>
      </c>
      <c r="H598">
        <v>0</v>
      </c>
      <c r="I598">
        <v>270</v>
      </c>
      <c r="J598">
        <v>130</v>
      </c>
      <c r="K598">
        <v>190</v>
      </c>
      <c r="L598" t="b">
        <v>1</v>
      </c>
      <c r="M598">
        <v>48.56</v>
      </c>
      <c r="N598">
        <v>6312.34</v>
      </c>
      <c r="O598" t="s">
        <v>44</v>
      </c>
      <c r="P598" t="str">
        <f>IF(J598=G598+H598-I598,"OK","Check")</f>
        <v>OK</v>
      </c>
      <c r="Q598" t="str">
        <f>IF(AND(J598&lt;=K598,L598=TRUE),"OK",IF(AND(J598&gt;K598,L598=FALSE),"OK","Check"))</f>
        <v>OK</v>
      </c>
      <c r="R598" t="str">
        <f>IF(ABS(N598-J598*M598)&lt;=J598*0.005+0.01,"OK","Check")</f>
        <v>OK</v>
      </c>
      <c r="S598" s="3">
        <f t="shared" si="9"/>
        <v>1</v>
      </c>
    </row>
    <row r="599" spans="1:19">
      <c r="A599" s="1">
        <v>46082</v>
      </c>
      <c r="B599" t="s">
        <v>19</v>
      </c>
      <c r="C599" t="s">
        <v>230</v>
      </c>
      <c r="D599" t="s">
        <v>231</v>
      </c>
      <c r="E599" t="s">
        <v>219</v>
      </c>
      <c r="F599" t="s">
        <v>23</v>
      </c>
      <c r="G599">
        <v>354</v>
      </c>
      <c r="H599">
        <v>0</v>
      </c>
      <c r="I599">
        <v>172</v>
      </c>
      <c r="J599">
        <v>182</v>
      </c>
      <c r="K599">
        <v>242</v>
      </c>
      <c r="L599" t="b">
        <v>1</v>
      </c>
      <c r="M599">
        <v>222.02</v>
      </c>
      <c r="N599">
        <v>40406.75</v>
      </c>
      <c r="O599" t="s">
        <v>32</v>
      </c>
      <c r="P599" t="str">
        <f>IF(J599=G599+H599-I599,"OK","Check")</f>
        <v>OK</v>
      </c>
      <c r="Q599" t="str">
        <f>IF(AND(J599&lt;=K599,L599=TRUE),"OK",IF(AND(J599&gt;K599,L599=FALSE),"OK","Check"))</f>
        <v>OK</v>
      </c>
      <c r="R599" t="str">
        <f>IF(ABS(N599-J599*M599)&lt;=J599*0.005+0.01,"OK","Check")</f>
        <v>OK</v>
      </c>
      <c r="S599" s="3">
        <f t="shared" si="9"/>
        <v>1</v>
      </c>
    </row>
    <row r="600" spans="1:19">
      <c r="A600" s="1">
        <v>46082</v>
      </c>
      <c r="B600" t="s">
        <v>19</v>
      </c>
      <c r="C600" t="s">
        <v>232</v>
      </c>
      <c r="D600" t="s">
        <v>233</v>
      </c>
      <c r="E600" t="s">
        <v>219</v>
      </c>
      <c r="F600" t="s">
        <v>23</v>
      </c>
      <c r="G600">
        <v>260</v>
      </c>
      <c r="H600">
        <v>0</v>
      </c>
      <c r="I600">
        <v>81</v>
      </c>
      <c r="J600">
        <v>179</v>
      </c>
      <c r="K600">
        <v>121</v>
      </c>
      <c r="L600" t="b">
        <v>0</v>
      </c>
      <c r="M600">
        <v>161.79</v>
      </c>
      <c r="N600">
        <v>28959.88</v>
      </c>
      <c r="O600" t="s">
        <v>32</v>
      </c>
      <c r="P600" t="str">
        <f>IF(J600=G600+H600-I600,"OK","Check")</f>
        <v>OK</v>
      </c>
      <c r="Q600" t="str">
        <f>IF(AND(J600&lt;=K600,L600=TRUE),"OK",IF(AND(J600&gt;K600,L600=FALSE),"OK","Check"))</f>
        <v>OK</v>
      </c>
      <c r="R600" t="str">
        <f>IF(ABS(N600-J600*M600)&lt;=J600*0.005+0.01,"OK","Check")</f>
        <v>OK</v>
      </c>
      <c r="S600" s="3">
        <f t="shared" si="9"/>
        <v>1</v>
      </c>
    </row>
    <row r="601" spans="1:19">
      <c r="A601" s="1">
        <v>46082</v>
      </c>
      <c r="B601" t="s">
        <v>19</v>
      </c>
      <c r="C601" t="s">
        <v>234</v>
      </c>
      <c r="D601" t="s">
        <v>235</v>
      </c>
      <c r="E601" t="s">
        <v>219</v>
      </c>
      <c r="F601" t="s">
        <v>23</v>
      </c>
      <c r="G601">
        <v>134</v>
      </c>
      <c r="H601">
        <v>318</v>
      </c>
      <c r="I601">
        <v>86</v>
      </c>
      <c r="J601">
        <v>366</v>
      </c>
      <c r="K601">
        <v>137</v>
      </c>
      <c r="L601" t="b">
        <v>0</v>
      </c>
      <c r="M601">
        <v>2458.6</v>
      </c>
      <c r="N601">
        <v>899847.75</v>
      </c>
      <c r="O601" t="s">
        <v>47</v>
      </c>
      <c r="P601" t="str">
        <f>IF(J601=G601+H601-I601,"OK","Check")</f>
        <v>OK</v>
      </c>
      <c r="Q601" t="str">
        <f>IF(AND(J601&lt;=K601,L601=TRUE),"OK",IF(AND(J601&gt;K601,L601=FALSE),"OK","Check"))</f>
        <v>OK</v>
      </c>
      <c r="R601" t="str">
        <f>IF(ABS(N601-J601*M601)&lt;=J601*0.005+0.01,"OK","Check")</f>
        <v>OK</v>
      </c>
      <c r="S601" s="3">
        <f t="shared" si="9"/>
        <v>1</v>
      </c>
    </row>
    <row r="602" spans="1:19">
      <c r="A602" s="1">
        <v>46082</v>
      </c>
      <c r="B602" t="s">
        <v>19</v>
      </c>
      <c r="C602" t="s">
        <v>236</v>
      </c>
      <c r="D602" t="s">
        <v>237</v>
      </c>
      <c r="E602" t="s">
        <v>219</v>
      </c>
      <c r="F602" t="s">
        <v>23</v>
      </c>
      <c r="G602">
        <v>489</v>
      </c>
      <c r="H602">
        <v>0</v>
      </c>
      <c r="I602">
        <v>148</v>
      </c>
      <c r="J602">
        <v>341</v>
      </c>
      <c r="K602">
        <v>267</v>
      </c>
      <c r="L602" t="b">
        <v>0</v>
      </c>
      <c r="M602">
        <v>964.21</v>
      </c>
      <c r="N602">
        <v>328796.53000000003</v>
      </c>
      <c r="O602" t="s">
        <v>98</v>
      </c>
      <c r="P602" t="str">
        <f>IF(J602=G602+H602-I602,"OK","Check")</f>
        <v>OK</v>
      </c>
      <c r="Q602" t="str">
        <f>IF(AND(J602&lt;=K602,L602=TRUE),"OK",IF(AND(J602&gt;K602,L602=FALSE),"OK","Check"))</f>
        <v>OK</v>
      </c>
      <c r="R602" t="str">
        <f>IF(ABS(N602-J602*M602)&lt;=J602*0.005+0.01,"OK","Check")</f>
        <v>OK</v>
      </c>
      <c r="S602" s="3">
        <f t="shared" si="9"/>
        <v>1</v>
      </c>
    </row>
    <row r="603" spans="1:19">
      <c r="A603" s="1">
        <v>46082</v>
      </c>
      <c r="B603" t="s">
        <v>19</v>
      </c>
      <c r="C603" t="s">
        <v>238</v>
      </c>
      <c r="D603" t="s">
        <v>239</v>
      </c>
      <c r="E603" t="s">
        <v>219</v>
      </c>
      <c r="F603" t="s">
        <v>23</v>
      </c>
      <c r="G603">
        <v>17</v>
      </c>
      <c r="H603">
        <v>46</v>
      </c>
      <c r="I603">
        <v>19</v>
      </c>
      <c r="J603">
        <v>44</v>
      </c>
      <c r="K603">
        <v>28</v>
      </c>
      <c r="L603" t="b">
        <v>0</v>
      </c>
      <c r="M603">
        <v>176.46</v>
      </c>
      <c r="N603">
        <v>7764.37</v>
      </c>
      <c r="O603" t="s">
        <v>32</v>
      </c>
      <c r="P603" t="str">
        <f>IF(J603=G603+H603-I603,"OK","Check")</f>
        <v>OK</v>
      </c>
      <c r="Q603" t="str">
        <f>IF(AND(J603&lt;=K603,L603=TRUE),"OK",IF(AND(J603&gt;K603,L603=FALSE),"OK","Check"))</f>
        <v>OK</v>
      </c>
      <c r="R603" t="str">
        <f>IF(ABS(N603-J603*M603)&lt;=J603*0.005+0.01,"OK","Check")</f>
        <v>OK</v>
      </c>
      <c r="S603" s="3">
        <f t="shared" si="9"/>
        <v>1</v>
      </c>
    </row>
    <row r="604" spans="1:19">
      <c r="A604" s="1">
        <v>46082</v>
      </c>
      <c r="B604" t="s">
        <v>19</v>
      </c>
      <c r="C604" t="s">
        <v>240</v>
      </c>
      <c r="D604" t="s">
        <v>241</v>
      </c>
      <c r="E604" t="s">
        <v>219</v>
      </c>
      <c r="F604" t="s">
        <v>23</v>
      </c>
      <c r="G604">
        <v>81</v>
      </c>
      <c r="H604">
        <v>0</v>
      </c>
      <c r="I604">
        <v>61</v>
      </c>
      <c r="J604">
        <v>20</v>
      </c>
      <c r="K604">
        <v>50</v>
      </c>
      <c r="L604" t="b">
        <v>1</v>
      </c>
      <c r="M604">
        <v>65.12</v>
      </c>
      <c r="N604">
        <v>1302.4100000000001</v>
      </c>
      <c r="O604" t="s">
        <v>27</v>
      </c>
      <c r="P604" t="str">
        <f>IF(J604=G604+H604-I604,"OK","Check")</f>
        <v>OK</v>
      </c>
      <c r="Q604" t="str">
        <f>IF(AND(J604&lt;=K604,L604=TRUE),"OK",IF(AND(J604&gt;K604,L604=FALSE),"OK","Check"))</f>
        <v>OK</v>
      </c>
      <c r="R604" t="str">
        <f>IF(ABS(N604-J604*M604)&lt;=J604*0.005+0.01,"OK","Check")</f>
        <v>OK</v>
      </c>
      <c r="S604" s="3">
        <f t="shared" si="9"/>
        <v>1</v>
      </c>
    </row>
    <row r="605" spans="1:19">
      <c r="A605" s="1">
        <v>46082</v>
      </c>
      <c r="B605" t="s">
        <v>19</v>
      </c>
      <c r="C605" t="s">
        <v>242</v>
      </c>
      <c r="D605" t="s">
        <v>243</v>
      </c>
      <c r="E605" t="s">
        <v>219</v>
      </c>
      <c r="F605" t="s">
        <v>23</v>
      </c>
      <c r="G605">
        <v>253</v>
      </c>
      <c r="H605">
        <v>0</v>
      </c>
      <c r="I605">
        <v>86</v>
      </c>
      <c r="J605">
        <v>167</v>
      </c>
      <c r="K605">
        <v>83</v>
      </c>
      <c r="L605" t="b">
        <v>0</v>
      </c>
      <c r="M605">
        <v>303.94</v>
      </c>
      <c r="N605">
        <v>50758.44</v>
      </c>
      <c r="O605" t="s">
        <v>60</v>
      </c>
      <c r="P605" t="str">
        <f>IF(J605=G605+H605-I605,"OK","Check")</f>
        <v>OK</v>
      </c>
      <c r="Q605" t="str">
        <f>IF(AND(J605&lt;=K605,L605=TRUE),"OK",IF(AND(J605&gt;K605,L605=FALSE),"OK","Check"))</f>
        <v>OK</v>
      </c>
      <c r="R605" t="str">
        <f>IF(ABS(N605-J605*M605)&lt;=J605*0.005+0.01,"OK","Check")</f>
        <v>OK</v>
      </c>
      <c r="S605" s="3">
        <f t="shared" si="9"/>
        <v>1</v>
      </c>
    </row>
    <row r="606" spans="1:19">
      <c r="A606" s="1">
        <v>46082</v>
      </c>
      <c r="B606" t="s">
        <v>244</v>
      </c>
      <c r="C606" t="s">
        <v>20</v>
      </c>
      <c r="D606" t="s">
        <v>21</v>
      </c>
      <c r="E606" t="s">
        <v>22</v>
      </c>
      <c r="F606" t="s">
        <v>23</v>
      </c>
      <c r="G606">
        <v>162</v>
      </c>
      <c r="H606">
        <v>0</v>
      </c>
      <c r="I606">
        <v>102</v>
      </c>
      <c r="J606">
        <v>60</v>
      </c>
      <c r="K606">
        <v>88</v>
      </c>
      <c r="L606" t="b">
        <v>1</v>
      </c>
      <c r="M606">
        <v>282.98</v>
      </c>
      <c r="N606">
        <v>16978.990000000002</v>
      </c>
      <c r="O606" t="s">
        <v>24</v>
      </c>
      <c r="P606" t="str">
        <f>IF(J606=G606+H606-I606,"OK","Check")</f>
        <v>OK</v>
      </c>
      <c r="Q606" t="str">
        <f>IF(AND(J606&lt;=K606,L606=TRUE),"OK",IF(AND(J606&gt;K606,L606=FALSE),"OK","Check"))</f>
        <v>OK</v>
      </c>
      <c r="R606" t="str">
        <f>IF(ABS(N606-J606*M606)&lt;=J606*0.005+0.01,"OK","Check")</f>
        <v>OK</v>
      </c>
      <c r="S606" s="3">
        <f t="shared" si="9"/>
        <v>1</v>
      </c>
    </row>
    <row r="607" spans="1:19">
      <c r="A607" s="1">
        <v>46082</v>
      </c>
      <c r="B607" t="s">
        <v>244</v>
      </c>
      <c r="C607" t="s">
        <v>25</v>
      </c>
      <c r="D607" t="s">
        <v>26</v>
      </c>
      <c r="E607" t="s">
        <v>22</v>
      </c>
      <c r="F607" t="s">
        <v>23</v>
      </c>
      <c r="G607">
        <v>58</v>
      </c>
      <c r="H607">
        <v>135</v>
      </c>
      <c r="I607">
        <v>55</v>
      </c>
      <c r="J607">
        <v>138</v>
      </c>
      <c r="K607">
        <v>47</v>
      </c>
      <c r="L607" t="b">
        <v>0</v>
      </c>
      <c r="M607">
        <v>1259.5</v>
      </c>
      <c r="N607">
        <v>173810.85</v>
      </c>
      <c r="O607" t="s">
        <v>27</v>
      </c>
      <c r="P607" t="str">
        <f>IF(J607=G607+H607-I607,"OK","Check")</f>
        <v>OK</v>
      </c>
      <c r="Q607" t="str">
        <f>IF(AND(J607&lt;=K607,L607=TRUE),"OK",IF(AND(J607&gt;K607,L607=FALSE),"OK","Check"))</f>
        <v>OK</v>
      </c>
      <c r="R607" t="str">
        <f>IF(ABS(N607-J607*M607)&lt;=J607*0.005+0.01,"OK","Check")</f>
        <v>OK</v>
      </c>
      <c r="S607" s="3">
        <f t="shared" si="9"/>
        <v>1</v>
      </c>
    </row>
    <row r="608" spans="1:19">
      <c r="A608" s="1">
        <v>46082</v>
      </c>
      <c r="B608" t="s">
        <v>244</v>
      </c>
      <c r="C608" t="s">
        <v>28</v>
      </c>
      <c r="D608" t="s">
        <v>29</v>
      </c>
      <c r="E608" t="s">
        <v>22</v>
      </c>
      <c r="F608" t="s">
        <v>23</v>
      </c>
      <c r="G608">
        <v>292</v>
      </c>
      <c r="H608">
        <v>0</v>
      </c>
      <c r="I608">
        <v>193</v>
      </c>
      <c r="J608">
        <v>99</v>
      </c>
      <c r="K608">
        <v>228</v>
      </c>
      <c r="L608" t="b">
        <v>1</v>
      </c>
      <c r="M608">
        <v>84.38</v>
      </c>
      <c r="N608">
        <v>8353.33</v>
      </c>
      <c r="O608" t="s">
        <v>24</v>
      </c>
      <c r="P608" t="str">
        <f>IF(J608=G608+H608-I608,"OK","Check")</f>
        <v>OK</v>
      </c>
      <c r="Q608" t="str">
        <f>IF(AND(J608&lt;=K608,L608=TRUE),"OK",IF(AND(J608&gt;K608,L608=FALSE),"OK","Check"))</f>
        <v>OK</v>
      </c>
      <c r="R608" t="str">
        <f>IF(ABS(N608-J608*M608)&lt;=J608*0.005+0.01,"OK","Check")</f>
        <v>OK</v>
      </c>
      <c r="S608" s="3">
        <f t="shared" si="9"/>
        <v>1</v>
      </c>
    </row>
    <row r="609" spans="1:19">
      <c r="A609" s="1">
        <v>46082</v>
      </c>
      <c r="B609" t="s">
        <v>244</v>
      </c>
      <c r="C609" t="s">
        <v>30</v>
      </c>
      <c r="D609" t="s">
        <v>31</v>
      </c>
      <c r="E609" t="s">
        <v>22</v>
      </c>
      <c r="F609" t="s">
        <v>23</v>
      </c>
      <c r="G609">
        <v>110</v>
      </c>
      <c r="H609">
        <v>292</v>
      </c>
      <c r="I609">
        <v>107</v>
      </c>
      <c r="J609">
        <v>295</v>
      </c>
      <c r="K609">
        <v>86</v>
      </c>
      <c r="L609" t="b">
        <v>0</v>
      </c>
      <c r="M609">
        <v>409.79</v>
      </c>
      <c r="N609">
        <v>120889.26</v>
      </c>
      <c r="O609" t="s">
        <v>32</v>
      </c>
      <c r="P609" t="str">
        <f>IF(J609=G609+H609-I609,"OK","Check")</f>
        <v>OK</v>
      </c>
      <c r="Q609" t="str">
        <f>IF(AND(J609&lt;=K609,L609=TRUE),"OK",IF(AND(J609&gt;K609,L609=FALSE),"OK","Check"))</f>
        <v>OK</v>
      </c>
      <c r="R609" t="str">
        <f>IF(ABS(N609-J609*M609)&lt;=J609*0.005+0.01,"OK","Check")</f>
        <v>OK</v>
      </c>
      <c r="S609" s="3">
        <f t="shared" si="9"/>
        <v>1</v>
      </c>
    </row>
    <row r="610" spans="1:19">
      <c r="A610" s="1">
        <v>46082</v>
      </c>
      <c r="B610" t="s">
        <v>244</v>
      </c>
      <c r="C610" t="s">
        <v>33</v>
      </c>
      <c r="D610" t="s">
        <v>34</v>
      </c>
      <c r="E610" t="s">
        <v>22</v>
      </c>
      <c r="F610" t="s">
        <v>23</v>
      </c>
      <c r="G610">
        <v>75</v>
      </c>
      <c r="H610">
        <v>734</v>
      </c>
      <c r="I610">
        <v>197</v>
      </c>
      <c r="J610">
        <v>612</v>
      </c>
      <c r="K610">
        <v>172</v>
      </c>
      <c r="L610" t="b">
        <v>0</v>
      </c>
      <c r="M610">
        <v>119.99</v>
      </c>
      <c r="N610">
        <v>73434.02</v>
      </c>
      <c r="O610" t="s">
        <v>24</v>
      </c>
      <c r="P610" t="str">
        <f>IF(J610=G610+H610-I610,"OK","Check")</f>
        <v>OK</v>
      </c>
      <c r="Q610" t="str">
        <f>IF(AND(J610&lt;=K610,L610=TRUE),"OK",IF(AND(J610&gt;K610,L610=FALSE),"OK","Check"))</f>
        <v>OK</v>
      </c>
      <c r="R610" t="str">
        <f>IF(ABS(N610-J610*M610)&lt;=J610*0.005+0.01,"OK","Check")</f>
        <v>OK</v>
      </c>
      <c r="S610" s="3">
        <f t="shared" si="9"/>
        <v>1</v>
      </c>
    </row>
    <row r="611" spans="1:19">
      <c r="A611" s="1">
        <v>46082</v>
      </c>
      <c r="B611" t="s">
        <v>244</v>
      </c>
      <c r="C611" t="s">
        <v>35</v>
      </c>
      <c r="D611" t="s">
        <v>36</v>
      </c>
      <c r="E611" t="s">
        <v>22</v>
      </c>
      <c r="F611" t="s">
        <v>23</v>
      </c>
      <c r="G611">
        <v>624</v>
      </c>
      <c r="H611">
        <v>0</v>
      </c>
      <c r="I611">
        <v>196</v>
      </c>
      <c r="J611">
        <v>428</v>
      </c>
      <c r="K611">
        <v>293</v>
      </c>
      <c r="L611" t="b">
        <v>0</v>
      </c>
      <c r="M611">
        <v>576.37</v>
      </c>
      <c r="N611">
        <v>246685.36</v>
      </c>
      <c r="O611" t="s">
        <v>37</v>
      </c>
      <c r="P611" t="str">
        <f>IF(J611=G611+H611-I611,"OK","Check")</f>
        <v>OK</v>
      </c>
      <c r="Q611" t="str">
        <f>IF(AND(J611&lt;=K611,L611=TRUE),"OK",IF(AND(J611&gt;K611,L611=FALSE),"OK","Check"))</f>
        <v>OK</v>
      </c>
      <c r="R611" t="str">
        <f>IF(ABS(N611-J611*M611)&lt;=J611*0.005+0.01,"OK","Check")</f>
        <v>OK</v>
      </c>
      <c r="S611" s="3">
        <f t="shared" si="9"/>
        <v>1</v>
      </c>
    </row>
    <row r="612" spans="1:19">
      <c r="A612" s="1">
        <v>46082</v>
      </c>
      <c r="B612" t="s">
        <v>244</v>
      </c>
      <c r="C612" t="s">
        <v>42</v>
      </c>
      <c r="D612" t="s">
        <v>43</v>
      </c>
      <c r="E612" t="s">
        <v>22</v>
      </c>
      <c r="F612" t="s">
        <v>23</v>
      </c>
      <c r="G612">
        <v>314</v>
      </c>
      <c r="H612">
        <v>297</v>
      </c>
      <c r="I612">
        <v>182</v>
      </c>
      <c r="J612">
        <v>429</v>
      </c>
      <c r="K612">
        <v>187</v>
      </c>
      <c r="L612" t="b">
        <v>0</v>
      </c>
      <c r="M612">
        <v>157.66999999999999</v>
      </c>
      <c r="N612">
        <v>67638.84</v>
      </c>
      <c r="O612" t="s">
        <v>44</v>
      </c>
      <c r="P612" t="str">
        <f>IF(J612=G612+H612-I612,"OK","Check")</f>
        <v>OK</v>
      </c>
      <c r="Q612" t="str">
        <f>IF(AND(J612&lt;=K612,L612=TRUE),"OK",IF(AND(J612&gt;K612,L612=FALSE),"OK","Check"))</f>
        <v>OK</v>
      </c>
      <c r="R612" t="str">
        <f>IF(ABS(N612-J612*M612)&lt;=J612*0.005+0.01,"OK","Check")</f>
        <v>OK</v>
      </c>
      <c r="S612" s="3">
        <f t="shared" si="9"/>
        <v>1</v>
      </c>
    </row>
    <row r="613" spans="1:19">
      <c r="A613" s="1">
        <v>46082</v>
      </c>
      <c r="B613" t="s">
        <v>244</v>
      </c>
      <c r="C613" t="s">
        <v>45</v>
      </c>
      <c r="D613" t="s">
        <v>46</v>
      </c>
      <c r="E613" t="s">
        <v>22</v>
      </c>
      <c r="F613" t="s">
        <v>23</v>
      </c>
      <c r="G613">
        <v>94</v>
      </c>
      <c r="H613">
        <v>0</v>
      </c>
      <c r="I613">
        <v>51</v>
      </c>
      <c r="J613">
        <v>43</v>
      </c>
      <c r="K613">
        <v>47</v>
      </c>
      <c r="L613" t="b">
        <v>1</v>
      </c>
      <c r="M613">
        <v>733.63</v>
      </c>
      <c r="N613">
        <v>31545.95</v>
      </c>
      <c r="O613" t="s">
        <v>47</v>
      </c>
      <c r="P613" t="str">
        <f>IF(J613=G613+H613-I613,"OK","Check")</f>
        <v>OK</v>
      </c>
      <c r="Q613" t="str">
        <f>IF(AND(J613&lt;=K613,L613=TRUE),"OK",IF(AND(J613&gt;K613,L613=FALSE),"OK","Check"))</f>
        <v>OK</v>
      </c>
      <c r="R613" t="str">
        <f>IF(ABS(N613-J613*M613)&lt;=J613*0.005+0.01,"OK","Check")</f>
        <v>OK</v>
      </c>
      <c r="S613" s="3">
        <f t="shared" si="9"/>
        <v>1</v>
      </c>
    </row>
    <row r="614" spans="1:19">
      <c r="A614" s="1">
        <v>46082</v>
      </c>
      <c r="B614" t="s">
        <v>244</v>
      </c>
      <c r="C614" t="s">
        <v>48</v>
      </c>
      <c r="D614" t="s">
        <v>49</v>
      </c>
      <c r="E614" t="s">
        <v>22</v>
      </c>
      <c r="F614" t="s">
        <v>23</v>
      </c>
      <c r="G614">
        <v>526</v>
      </c>
      <c r="H614">
        <v>0</v>
      </c>
      <c r="I614">
        <v>137</v>
      </c>
      <c r="J614">
        <v>389</v>
      </c>
      <c r="K614">
        <v>188</v>
      </c>
      <c r="L614" t="b">
        <v>0</v>
      </c>
      <c r="M614">
        <v>54.26</v>
      </c>
      <c r="N614">
        <v>21105.87</v>
      </c>
      <c r="O614" t="s">
        <v>44</v>
      </c>
      <c r="P614" t="str">
        <f>IF(J614=G614+H614-I614,"OK","Check")</f>
        <v>OK</v>
      </c>
      <c r="Q614" t="str">
        <f>IF(AND(J614&lt;=K614,L614=TRUE),"OK",IF(AND(J614&gt;K614,L614=FALSE),"OK","Check"))</f>
        <v>OK</v>
      </c>
      <c r="R614" t="str">
        <f>IF(ABS(N614-J614*M614)&lt;=J614*0.005+0.01,"OK","Check")</f>
        <v>OK</v>
      </c>
      <c r="S614" s="3">
        <f t="shared" si="9"/>
        <v>1</v>
      </c>
    </row>
    <row r="615" spans="1:19">
      <c r="A615" s="1">
        <v>46082</v>
      </c>
      <c r="B615" t="s">
        <v>244</v>
      </c>
      <c r="C615" t="s">
        <v>50</v>
      </c>
      <c r="D615" t="s">
        <v>51</v>
      </c>
      <c r="E615" t="s">
        <v>22</v>
      </c>
      <c r="F615" t="s">
        <v>23</v>
      </c>
      <c r="G615">
        <v>0</v>
      </c>
      <c r="H615">
        <v>590</v>
      </c>
      <c r="I615">
        <v>137</v>
      </c>
      <c r="J615">
        <v>453</v>
      </c>
      <c r="K615">
        <v>171</v>
      </c>
      <c r="L615" t="b">
        <v>0</v>
      </c>
      <c r="M615">
        <v>280.24</v>
      </c>
      <c r="N615">
        <v>126948.98</v>
      </c>
      <c r="O615" t="s">
        <v>24</v>
      </c>
      <c r="P615" t="str">
        <f>IF(J615=G615+H615-I615,"OK","Check")</f>
        <v>OK</v>
      </c>
      <c r="Q615" t="str">
        <f>IF(AND(J615&lt;=K615,L615=TRUE),"OK",IF(AND(J615&gt;K615,L615=FALSE),"OK","Check"))</f>
        <v>OK</v>
      </c>
      <c r="R615" t="str">
        <f>IF(ABS(N615-J615*M615)&lt;=J615*0.005+0.01,"OK","Check")</f>
        <v>OK</v>
      </c>
      <c r="S615" s="3">
        <f t="shared" si="9"/>
        <v>1</v>
      </c>
    </row>
    <row r="616" spans="1:19">
      <c r="A616" s="1">
        <v>46082</v>
      </c>
      <c r="B616" t="s">
        <v>244</v>
      </c>
      <c r="C616" t="s">
        <v>52</v>
      </c>
      <c r="D616" t="s">
        <v>53</v>
      </c>
      <c r="E616" t="s">
        <v>22</v>
      </c>
      <c r="F616" t="s">
        <v>23</v>
      </c>
      <c r="G616">
        <v>79</v>
      </c>
      <c r="H616">
        <v>0</v>
      </c>
      <c r="I616">
        <v>25</v>
      </c>
      <c r="J616">
        <v>54</v>
      </c>
      <c r="K616">
        <v>38</v>
      </c>
      <c r="L616" t="b">
        <v>0</v>
      </c>
      <c r="M616">
        <v>52.4</v>
      </c>
      <c r="N616">
        <v>2829.66</v>
      </c>
      <c r="O616" t="s">
        <v>47</v>
      </c>
      <c r="P616" t="str">
        <f>IF(J616=G616+H616-I616,"OK","Check")</f>
        <v>OK</v>
      </c>
      <c r="Q616" t="str">
        <f>IF(AND(J616&lt;=K616,L616=TRUE),"OK",IF(AND(J616&gt;K616,L616=FALSE),"OK","Check"))</f>
        <v>OK</v>
      </c>
      <c r="R616" t="str">
        <f>IF(ABS(N616-J616*M616)&lt;=J616*0.005+0.01,"OK","Check")</f>
        <v>OK</v>
      </c>
      <c r="S616" s="3">
        <f t="shared" si="9"/>
        <v>1</v>
      </c>
    </row>
    <row r="617" spans="1:19">
      <c r="A617" s="1">
        <v>46082</v>
      </c>
      <c r="B617" t="s">
        <v>244</v>
      </c>
      <c r="C617" t="s">
        <v>54</v>
      </c>
      <c r="D617" t="s">
        <v>55</v>
      </c>
      <c r="E617" t="s">
        <v>22</v>
      </c>
      <c r="F617" t="s">
        <v>23</v>
      </c>
      <c r="G617">
        <v>163</v>
      </c>
      <c r="H617">
        <v>440</v>
      </c>
      <c r="I617">
        <v>265</v>
      </c>
      <c r="J617">
        <v>338</v>
      </c>
      <c r="K617">
        <v>199</v>
      </c>
      <c r="L617" t="b">
        <v>0</v>
      </c>
      <c r="M617">
        <v>273.33999999999997</v>
      </c>
      <c r="N617">
        <v>92388.49</v>
      </c>
      <c r="O617" t="s">
        <v>44</v>
      </c>
      <c r="P617" t="str">
        <f>IF(J617=G617+H617-I617,"OK","Check")</f>
        <v>OK</v>
      </c>
      <c r="Q617" t="str">
        <f>IF(AND(J617&lt;=K617,L617=TRUE),"OK",IF(AND(J617&gt;K617,L617=FALSE),"OK","Check"))</f>
        <v>OK</v>
      </c>
      <c r="R617" t="str">
        <f>IF(ABS(N617-J617*M617)&lt;=J617*0.005+0.01,"OK","Check")</f>
        <v>OK</v>
      </c>
      <c r="S617" s="3">
        <f t="shared" si="9"/>
        <v>1</v>
      </c>
    </row>
    <row r="618" spans="1:19">
      <c r="A618" s="1">
        <v>46082</v>
      </c>
      <c r="B618" t="s">
        <v>244</v>
      </c>
      <c r="C618" t="s">
        <v>58</v>
      </c>
      <c r="D618" t="s">
        <v>59</v>
      </c>
      <c r="E618" t="s">
        <v>22</v>
      </c>
      <c r="F618" t="s">
        <v>23</v>
      </c>
      <c r="G618">
        <v>43</v>
      </c>
      <c r="H618">
        <v>0</v>
      </c>
      <c r="I618">
        <v>14</v>
      </c>
      <c r="J618">
        <v>29</v>
      </c>
      <c r="K618">
        <v>21</v>
      </c>
      <c r="L618" t="b">
        <v>0</v>
      </c>
      <c r="M618">
        <v>1936.29</v>
      </c>
      <c r="N618">
        <v>56152.33</v>
      </c>
      <c r="O618" t="s">
        <v>60</v>
      </c>
      <c r="P618" t="str">
        <f>IF(J618=G618+H618-I618,"OK","Check")</f>
        <v>OK</v>
      </c>
      <c r="Q618" t="str">
        <f>IF(AND(J618&lt;=K618,L618=TRUE),"OK",IF(AND(J618&gt;K618,L618=FALSE),"OK","Check"))</f>
        <v>OK</v>
      </c>
      <c r="R618" t="str">
        <f>IF(ABS(N618-J618*M618)&lt;=J618*0.005+0.01,"OK","Check")</f>
        <v>OK</v>
      </c>
      <c r="S618" s="3">
        <f t="shared" si="9"/>
        <v>1</v>
      </c>
    </row>
    <row r="619" spans="1:19">
      <c r="A619" s="1">
        <v>46082</v>
      </c>
      <c r="B619" t="s">
        <v>244</v>
      </c>
      <c r="C619" t="s">
        <v>61</v>
      </c>
      <c r="D619" t="s">
        <v>62</v>
      </c>
      <c r="E619" t="s">
        <v>22</v>
      </c>
      <c r="F619" t="s">
        <v>23</v>
      </c>
      <c r="G619">
        <v>102</v>
      </c>
      <c r="H619">
        <v>0</v>
      </c>
      <c r="I619">
        <v>97</v>
      </c>
      <c r="J619">
        <v>5</v>
      </c>
      <c r="K619">
        <v>61</v>
      </c>
      <c r="L619" t="b">
        <v>1</v>
      </c>
      <c r="M619">
        <v>22.89</v>
      </c>
      <c r="N619">
        <v>114.45</v>
      </c>
      <c r="O619" t="s">
        <v>44</v>
      </c>
      <c r="P619" t="str">
        <f>IF(J619=G619+H619-I619,"OK","Check")</f>
        <v>OK</v>
      </c>
      <c r="Q619" t="str">
        <f>IF(AND(J619&lt;=K619,L619=TRUE),"OK",IF(AND(J619&gt;K619,L619=FALSE),"OK","Check"))</f>
        <v>OK</v>
      </c>
      <c r="R619" t="str">
        <f>IF(ABS(N619-J619*M619)&lt;=J619*0.005+0.01,"OK","Check")</f>
        <v>OK</v>
      </c>
      <c r="S619" s="3">
        <f t="shared" si="9"/>
        <v>1</v>
      </c>
    </row>
    <row r="620" spans="1:19">
      <c r="A620" s="1">
        <v>46082</v>
      </c>
      <c r="B620" t="s">
        <v>244</v>
      </c>
      <c r="C620" t="s">
        <v>63</v>
      </c>
      <c r="D620" t="s">
        <v>64</v>
      </c>
      <c r="E620" t="s">
        <v>22</v>
      </c>
      <c r="F620" t="s">
        <v>23</v>
      </c>
      <c r="G620">
        <v>50</v>
      </c>
      <c r="H620">
        <v>0</v>
      </c>
      <c r="I620">
        <v>17</v>
      </c>
      <c r="J620">
        <v>33</v>
      </c>
      <c r="K620">
        <v>24</v>
      </c>
      <c r="L620" t="b">
        <v>0</v>
      </c>
      <c r="M620">
        <v>111.08</v>
      </c>
      <c r="N620">
        <v>3665.68</v>
      </c>
      <c r="O620" t="s">
        <v>47</v>
      </c>
      <c r="P620" t="str">
        <f>IF(J620=G620+H620-I620,"OK","Check")</f>
        <v>OK</v>
      </c>
      <c r="Q620" t="str">
        <f>IF(AND(J620&lt;=K620,L620=TRUE),"OK",IF(AND(J620&gt;K620,L620=FALSE),"OK","Check"))</f>
        <v>OK</v>
      </c>
      <c r="R620" t="str">
        <f>IF(ABS(N620-J620*M620)&lt;=J620*0.005+0.01,"OK","Check")</f>
        <v>OK</v>
      </c>
      <c r="S620" s="3">
        <f t="shared" si="9"/>
        <v>1</v>
      </c>
    </row>
    <row r="621" spans="1:19">
      <c r="A621" s="1">
        <v>46082</v>
      </c>
      <c r="B621" t="s">
        <v>244</v>
      </c>
      <c r="C621" t="s">
        <v>65</v>
      </c>
      <c r="D621" t="s">
        <v>66</v>
      </c>
      <c r="E621" t="s">
        <v>22</v>
      </c>
      <c r="F621" t="s">
        <v>23</v>
      </c>
      <c r="G621">
        <v>79</v>
      </c>
      <c r="H621">
        <v>149</v>
      </c>
      <c r="I621">
        <v>60</v>
      </c>
      <c r="J621">
        <v>168</v>
      </c>
      <c r="K621">
        <v>42</v>
      </c>
      <c r="L621" t="b">
        <v>0</v>
      </c>
      <c r="M621">
        <v>80.55</v>
      </c>
      <c r="N621">
        <v>13532.24</v>
      </c>
      <c r="O621" t="s">
        <v>44</v>
      </c>
      <c r="P621" t="str">
        <f>IF(J621=G621+H621-I621,"OK","Check")</f>
        <v>OK</v>
      </c>
      <c r="Q621" t="str">
        <f>IF(AND(J621&lt;=K621,L621=TRUE),"OK",IF(AND(J621&gt;K621,L621=FALSE),"OK","Check"))</f>
        <v>OK</v>
      </c>
      <c r="R621" t="str">
        <f>IF(ABS(N621-J621*M621)&lt;=J621*0.005+0.01,"OK","Check")</f>
        <v>OK</v>
      </c>
      <c r="S621" s="3">
        <f t="shared" si="9"/>
        <v>1</v>
      </c>
    </row>
    <row r="622" spans="1:19">
      <c r="A622" s="1">
        <v>46082</v>
      </c>
      <c r="B622" t="s">
        <v>244</v>
      </c>
      <c r="C622" t="s">
        <v>67</v>
      </c>
      <c r="D622" t="s">
        <v>68</v>
      </c>
      <c r="E622" t="s">
        <v>22</v>
      </c>
      <c r="F622" t="s">
        <v>23</v>
      </c>
      <c r="G622">
        <v>191</v>
      </c>
      <c r="H622">
        <v>382</v>
      </c>
      <c r="I622">
        <v>250</v>
      </c>
      <c r="J622">
        <v>323</v>
      </c>
      <c r="K622">
        <v>190</v>
      </c>
      <c r="L622" t="b">
        <v>0</v>
      </c>
      <c r="M622">
        <v>373.23</v>
      </c>
      <c r="N622">
        <v>120552.59</v>
      </c>
      <c r="O622" t="s">
        <v>27</v>
      </c>
      <c r="P622" t="str">
        <f>IF(J622=G622+H622-I622,"OK","Check")</f>
        <v>OK</v>
      </c>
      <c r="Q622" t="str">
        <f>IF(AND(J622&lt;=K622,L622=TRUE),"OK",IF(AND(J622&gt;K622,L622=FALSE),"OK","Check"))</f>
        <v>OK</v>
      </c>
      <c r="R622" t="str">
        <f>IF(ABS(N622-J622*M622)&lt;=J622*0.005+0.01,"OK","Check")</f>
        <v>OK</v>
      </c>
      <c r="S622" s="3">
        <f t="shared" si="9"/>
        <v>1</v>
      </c>
    </row>
    <row r="623" spans="1:19">
      <c r="A623" s="1">
        <v>46082</v>
      </c>
      <c r="B623" t="s">
        <v>244</v>
      </c>
      <c r="C623" t="s">
        <v>69</v>
      </c>
      <c r="D623" t="s">
        <v>70</v>
      </c>
      <c r="E623" t="s">
        <v>71</v>
      </c>
      <c r="F623" t="s">
        <v>23</v>
      </c>
      <c r="G623">
        <v>75</v>
      </c>
      <c r="H623">
        <v>0</v>
      </c>
      <c r="I623">
        <v>39</v>
      </c>
      <c r="J623">
        <v>36</v>
      </c>
      <c r="K623">
        <v>43</v>
      </c>
      <c r="L623" t="b">
        <v>1</v>
      </c>
      <c r="M623">
        <v>86.5</v>
      </c>
      <c r="N623">
        <v>3114.16</v>
      </c>
      <c r="O623" t="s">
        <v>27</v>
      </c>
      <c r="P623" t="str">
        <f>IF(J623=G623+H623-I623,"OK","Check")</f>
        <v>OK</v>
      </c>
      <c r="Q623" t="str">
        <f>IF(AND(J623&lt;=K623,L623=TRUE),"OK",IF(AND(J623&gt;K623,L623=FALSE),"OK","Check"))</f>
        <v>OK</v>
      </c>
      <c r="R623" t="str">
        <f>IF(ABS(N623-J623*M623)&lt;=J623*0.005+0.01,"OK","Check")</f>
        <v>OK</v>
      </c>
      <c r="S623" s="3">
        <f t="shared" si="9"/>
        <v>1</v>
      </c>
    </row>
    <row r="624" spans="1:19">
      <c r="A624" s="1">
        <v>46082</v>
      </c>
      <c r="B624" t="s">
        <v>244</v>
      </c>
      <c r="C624" t="s">
        <v>72</v>
      </c>
      <c r="D624" t="s">
        <v>73</v>
      </c>
      <c r="E624" t="s">
        <v>71</v>
      </c>
      <c r="F624" t="s">
        <v>23</v>
      </c>
      <c r="G624">
        <v>218</v>
      </c>
      <c r="H624">
        <v>524</v>
      </c>
      <c r="I624">
        <v>133</v>
      </c>
      <c r="J624">
        <v>609</v>
      </c>
      <c r="K624">
        <v>246</v>
      </c>
      <c r="L624" t="b">
        <v>0</v>
      </c>
      <c r="M624">
        <v>437.43</v>
      </c>
      <c r="N624">
        <v>266391.99</v>
      </c>
      <c r="O624" t="s">
        <v>60</v>
      </c>
      <c r="P624" t="str">
        <f>IF(J624=G624+H624-I624,"OK","Check")</f>
        <v>OK</v>
      </c>
      <c r="Q624" t="str">
        <f>IF(AND(J624&lt;=K624,L624=TRUE),"OK",IF(AND(J624&gt;K624,L624=FALSE),"OK","Check"))</f>
        <v>OK</v>
      </c>
      <c r="R624" t="str">
        <f>IF(ABS(N624-J624*M624)&lt;=J624*0.005+0.01,"OK","Check")</f>
        <v>OK</v>
      </c>
      <c r="S624" s="3">
        <f t="shared" si="9"/>
        <v>1</v>
      </c>
    </row>
    <row r="625" spans="1:19">
      <c r="A625" s="1">
        <v>46082</v>
      </c>
      <c r="B625" t="s">
        <v>244</v>
      </c>
      <c r="C625" t="s">
        <v>76</v>
      </c>
      <c r="D625" t="s">
        <v>77</v>
      </c>
      <c r="E625" t="s">
        <v>71</v>
      </c>
      <c r="F625" t="s">
        <v>23</v>
      </c>
      <c r="G625">
        <v>318</v>
      </c>
      <c r="H625">
        <v>0</v>
      </c>
      <c r="I625">
        <v>199</v>
      </c>
      <c r="J625">
        <v>119</v>
      </c>
      <c r="K625">
        <v>179</v>
      </c>
      <c r="L625" t="b">
        <v>1</v>
      </c>
      <c r="M625">
        <v>1089.93</v>
      </c>
      <c r="N625">
        <v>129701.19</v>
      </c>
      <c r="O625" t="s">
        <v>37</v>
      </c>
      <c r="P625" t="str">
        <f>IF(J625=G625+H625-I625,"OK","Check")</f>
        <v>OK</v>
      </c>
      <c r="Q625" t="str">
        <f>IF(AND(J625&lt;=K625,L625=TRUE),"OK",IF(AND(J625&gt;K625,L625=FALSE),"OK","Check"))</f>
        <v>OK</v>
      </c>
      <c r="R625" t="str">
        <f>IF(ABS(N625-J625*M625)&lt;=J625*0.005+0.01,"OK","Check")</f>
        <v>OK</v>
      </c>
      <c r="S625" s="3">
        <f t="shared" si="9"/>
        <v>1</v>
      </c>
    </row>
    <row r="626" spans="1:19">
      <c r="A626" s="1">
        <v>46082</v>
      </c>
      <c r="B626" t="s">
        <v>244</v>
      </c>
      <c r="C626" t="s">
        <v>78</v>
      </c>
      <c r="D626" t="s">
        <v>79</v>
      </c>
      <c r="E626" t="s">
        <v>71</v>
      </c>
      <c r="F626" t="s">
        <v>23</v>
      </c>
      <c r="G626">
        <v>304</v>
      </c>
      <c r="H626">
        <v>0</v>
      </c>
      <c r="I626">
        <v>131</v>
      </c>
      <c r="J626">
        <v>173</v>
      </c>
      <c r="K626">
        <v>177</v>
      </c>
      <c r="L626" t="b">
        <v>1</v>
      </c>
      <c r="M626">
        <v>348.12</v>
      </c>
      <c r="N626">
        <v>60224.15</v>
      </c>
      <c r="O626" t="s">
        <v>47</v>
      </c>
      <c r="P626" t="str">
        <f>IF(J626=G626+H626-I626,"OK","Check")</f>
        <v>OK</v>
      </c>
      <c r="Q626" t="str">
        <f>IF(AND(J626&lt;=K626,L626=TRUE),"OK",IF(AND(J626&gt;K626,L626=FALSE),"OK","Check"))</f>
        <v>OK</v>
      </c>
      <c r="R626" t="str">
        <f>IF(ABS(N626-J626*M626)&lt;=J626*0.005+0.01,"OK","Check")</f>
        <v>OK</v>
      </c>
      <c r="S626" s="3">
        <f t="shared" si="9"/>
        <v>1</v>
      </c>
    </row>
    <row r="627" spans="1:19">
      <c r="A627" s="1">
        <v>46082</v>
      </c>
      <c r="B627" t="s">
        <v>244</v>
      </c>
      <c r="C627" t="s">
        <v>80</v>
      </c>
      <c r="D627" t="s">
        <v>81</v>
      </c>
      <c r="E627" t="s">
        <v>71</v>
      </c>
      <c r="F627" t="s">
        <v>23</v>
      </c>
      <c r="G627">
        <v>90</v>
      </c>
      <c r="H627">
        <v>0</v>
      </c>
      <c r="I627">
        <v>41</v>
      </c>
      <c r="J627">
        <v>49</v>
      </c>
      <c r="K627">
        <v>38</v>
      </c>
      <c r="L627" t="b">
        <v>0</v>
      </c>
      <c r="M627">
        <v>1688.35</v>
      </c>
      <c r="N627">
        <v>82729.240000000005</v>
      </c>
      <c r="O627" t="s">
        <v>32</v>
      </c>
      <c r="P627" t="str">
        <f>IF(J627=G627+H627-I627,"OK","Check")</f>
        <v>OK</v>
      </c>
      <c r="Q627" t="str">
        <f>IF(AND(J627&lt;=K627,L627=TRUE),"OK",IF(AND(J627&gt;K627,L627=FALSE),"OK","Check"))</f>
        <v>OK</v>
      </c>
      <c r="R627" t="str">
        <f>IF(ABS(N627-J627*M627)&lt;=J627*0.005+0.01,"OK","Check")</f>
        <v>OK</v>
      </c>
      <c r="S627" s="3">
        <f t="shared" si="9"/>
        <v>1</v>
      </c>
    </row>
    <row r="628" spans="1:19">
      <c r="A628" s="1">
        <v>46082</v>
      </c>
      <c r="B628" t="s">
        <v>244</v>
      </c>
      <c r="C628" t="s">
        <v>84</v>
      </c>
      <c r="D628" t="s">
        <v>85</v>
      </c>
      <c r="E628" t="s">
        <v>71</v>
      </c>
      <c r="F628" t="s">
        <v>23</v>
      </c>
      <c r="G628">
        <v>184</v>
      </c>
      <c r="H628">
        <v>470</v>
      </c>
      <c r="I628">
        <v>195</v>
      </c>
      <c r="J628">
        <v>459</v>
      </c>
      <c r="K628">
        <v>171</v>
      </c>
      <c r="L628" t="b">
        <v>0</v>
      </c>
      <c r="M628">
        <v>9460.17</v>
      </c>
      <c r="N628">
        <v>4342218.76</v>
      </c>
      <c r="O628" t="s">
        <v>47</v>
      </c>
      <c r="P628" t="str">
        <f>IF(J628=G628+H628-I628,"OK","Check")</f>
        <v>OK</v>
      </c>
      <c r="Q628" t="str">
        <f>IF(AND(J628&lt;=K628,L628=TRUE),"OK",IF(AND(J628&gt;K628,L628=FALSE),"OK","Check"))</f>
        <v>OK</v>
      </c>
      <c r="R628" t="str">
        <f>IF(ABS(N628-J628*M628)&lt;=J628*0.005+0.01,"OK","Check")</f>
        <v>OK</v>
      </c>
      <c r="S628" s="3">
        <f t="shared" si="9"/>
        <v>1</v>
      </c>
    </row>
    <row r="629" spans="1:19">
      <c r="A629" s="1">
        <v>46082</v>
      </c>
      <c r="B629" t="s">
        <v>244</v>
      </c>
      <c r="C629" t="s">
        <v>86</v>
      </c>
      <c r="D629" t="s">
        <v>87</v>
      </c>
      <c r="E629" t="s">
        <v>71</v>
      </c>
      <c r="F629" t="s">
        <v>23</v>
      </c>
      <c r="G629">
        <v>446</v>
      </c>
      <c r="H629">
        <v>0</v>
      </c>
      <c r="I629">
        <v>169</v>
      </c>
      <c r="J629">
        <v>277</v>
      </c>
      <c r="K629">
        <v>138</v>
      </c>
      <c r="L629" t="b">
        <v>0</v>
      </c>
      <c r="M629">
        <v>41.85</v>
      </c>
      <c r="N629">
        <v>11592.48</v>
      </c>
      <c r="O629" t="s">
        <v>60</v>
      </c>
      <c r="P629" t="str">
        <f>IF(J629=G629+H629-I629,"OK","Check")</f>
        <v>OK</v>
      </c>
      <c r="Q629" t="str">
        <f>IF(AND(J629&lt;=K629,L629=TRUE),"OK",IF(AND(J629&gt;K629,L629=FALSE),"OK","Check"))</f>
        <v>OK</v>
      </c>
      <c r="R629" t="str">
        <f>IF(ABS(N629-J629*M629)&lt;=J629*0.005+0.01,"OK","Check")</f>
        <v>OK</v>
      </c>
      <c r="S629" s="3">
        <f t="shared" si="9"/>
        <v>1</v>
      </c>
    </row>
    <row r="630" spans="1:19">
      <c r="A630" s="1">
        <v>46082</v>
      </c>
      <c r="B630" t="s">
        <v>244</v>
      </c>
      <c r="C630" t="s">
        <v>88</v>
      </c>
      <c r="D630" t="s">
        <v>89</v>
      </c>
      <c r="E630" t="s">
        <v>71</v>
      </c>
      <c r="F630" t="s">
        <v>23</v>
      </c>
      <c r="G630">
        <v>197</v>
      </c>
      <c r="H630">
        <v>453</v>
      </c>
      <c r="I630">
        <v>188</v>
      </c>
      <c r="J630">
        <v>462</v>
      </c>
      <c r="K630">
        <v>221</v>
      </c>
      <c r="L630" t="b">
        <v>0</v>
      </c>
      <c r="M630">
        <v>220.59</v>
      </c>
      <c r="N630">
        <v>101911.17</v>
      </c>
      <c r="O630" t="s">
        <v>32</v>
      </c>
      <c r="P630" t="str">
        <f>IF(J630=G630+H630-I630,"OK","Check")</f>
        <v>OK</v>
      </c>
      <c r="Q630" t="str">
        <f>IF(AND(J630&lt;=K630,L630=TRUE),"OK",IF(AND(J630&gt;K630,L630=FALSE),"OK","Check"))</f>
        <v>OK</v>
      </c>
      <c r="R630" t="str">
        <f>IF(ABS(N630-J630*M630)&lt;=J630*0.005+0.01,"OK","Check")</f>
        <v>OK</v>
      </c>
      <c r="S630" s="3">
        <f t="shared" si="9"/>
        <v>1</v>
      </c>
    </row>
    <row r="631" spans="1:19">
      <c r="A631" s="1">
        <v>46082</v>
      </c>
      <c r="B631" t="s">
        <v>244</v>
      </c>
      <c r="C631" t="s">
        <v>90</v>
      </c>
      <c r="D631" t="s">
        <v>91</v>
      </c>
      <c r="E631" t="s">
        <v>71</v>
      </c>
      <c r="F631" t="s">
        <v>23</v>
      </c>
      <c r="G631">
        <v>602</v>
      </c>
      <c r="H631">
        <v>0</v>
      </c>
      <c r="I631">
        <v>111</v>
      </c>
      <c r="J631">
        <v>491</v>
      </c>
      <c r="K631">
        <v>154</v>
      </c>
      <c r="L631" t="b">
        <v>0</v>
      </c>
      <c r="M631">
        <v>1564.86</v>
      </c>
      <c r="N631">
        <v>768345.92</v>
      </c>
      <c r="O631" t="s">
        <v>32</v>
      </c>
      <c r="P631" t="str">
        <f>IF(J631=G631+H631-I631,"OK","Check")</f>
        <v>OK</v>
      </c>
      <c r="Q631" t="str">
        <f>IF(AND(J631&lt;=K631,L631=TRUE),"OK",IF(AND(J631&gt;K631,L631=FALSE),"OK","Check"))</f>
        <v>OK</v>
      </c>
      <c r="R631" t="str">
        <f>IF(ABS(N631-J631*M631)&lt;=J631*0.005+0.01,"OK","Check")</f>
        <v>OK</v>
      </c>
      <c r="S631" s="3">
        <f t="shared" si="9"/>
        <v>1</v>
      </c>
    </row>
    <row r="632" spans="1:19">
      <c r="A632" s="1">
        <v>46082</v>
      </c>
      <c r="B632" t="s">
        <v>244</v>
      </c>
      <c r="C632" t="s">
        <v>245</v>
      </c>
      <c r="D632" t="s">
        <v>246</v>
      </c>
      <c r="E632" t="s">
        <v>71</v>
      </c>
      <c r="F632" t="s">
        <v>23</v>
      </c>
      <c r="G632">
        <v>48</v>
      </c>
      <c r="H632">
        <v>215</v>
      </c>
      <c r="I632">
        <v>78</v>
      </c>
      <c r="J632">
        <v>185</v>
      </c>
      <c r="K632">
        <v>94</v>
      </c>
      <c r="L632" t="b">
        <v>0</v>
      </c>
      <c r="M632">
        <v>6982.77</v>
      </c>
      <c r="N632">
        <v>1291811.8999999999</v>
      </c>
      <c r="O632" t="s">
        <v>27</v>
      </c>
      <c r="P632" t="str">
        <f>IF(J632=G632+H632-I632,"OK","Check")</f>
        <v>OK</v>
      </c>
      <c r="Q632" t="str">
        <f>IF(AND(J632&lt;=K632,L632=TRUE),"OK",IF(AND(J632&gt;K632,L632=FALSE),"OK","Check"))</f>
        <v>OK</v>
      </c>
      <c r="R632" t="str">
        <f>IF(ABS(N632-J632*M632)&lt;=J632*0.005+0.01,"OK","Check")</f>
        <v>OK</v>
      </c>
      <c r="S632" s="3">
        <f t="shared" si="9"/>
        <v>1</v>
      </c>
    </row>
    <row r="633" spans="1:19">
      <c r="A633" s="1">
        <v>46082</v>
      </c>
      <c r="B633" t="s">
        <v>244</v>
      </c>
      <c r="C633" t="s">
        <v>92</v>
      </c>
      <c r="D633" t="s">
        <v>93</v>
      </c>
      <c r="E633" t="s">
        <v>71</v>
      </c>
      <c r="F633" t="s">
        <v>23</v>
      </c>
      <c r="G633">
        <v>31</v>
      </c>
      <c r="H633">
        <v>237</v>
      </c>
      <c r="I633">
        <v>96</v>
      </c>
      <c r="J633">
        <v>172</v>
      </c>
      <c r="K633">
        <v>129</v>
      </c>
      <c r="L633" t="b">
        <v>0</v>
      </c>
      <c r="M633">
        <v>243.79</v>
      </c>
      <c r="N633">
        <v>41932.339999999997</v>
      </c>
      <c r="O633" t="s">
        <v>24</v>
      </c>
      <c r="P633" t="str">
        <f>IF(J633=G633+H633-I633,"OK","Check")</f>
        <v>OK</v>
      </c>
      <c r="Q633" t="str">
        <f>IF(AND(J633&lt;=K633,L633=TRUE),"OK",IF(AND(J633&gt;K633,L633=FALSE),"OK","Check"))</f>
        <v>OK</v>
      </c>
      <c r="R633" t="str">
        <f>IF(ABS(N633-J633*M633)&lt;=J633*0.005+0.01,"OK","Check")</f>
        <v>OK</v>
      </c>
      <c r="S633" s="3">
        <f t="shared" si="9"/>
        <v>1</v>
      </c>
    </row>
    <row r="634" spans="1:19">
      <c r="A634" s="1">
        <v>46082</v>
      </c>
      <c r="B634" t="s">
        <v>244</v>
      </c>
      <c r="C634" t="s">
        <v>94</v>
      </c>
      <c r="D634" t="s">
        <v>95</v>
      </c>
      <c r="E634" t="s">
        <v>71</v>
      </c>
      <c r="F634" t="s">
        <v>23</v>
      </c>
      <c r="G634">
        <v>377</v>
      </c>
      <c r="H634">
        <v>0</v>
      </c>
      <c r="I634">
        <v>284</v>
      </c>
      <c r="J634">
        <v>93</v>
      </c>
      <c r="K634">
        <v>172</v>
      </c>
      <c r="L634" t="b">
        <v>1</v>
      </c>
      <c r="M634">
        <v>1101.99</v>
      </c>
      <c r="N634">
        <v>102485.13</v>
      </c>
      <c r="O634" t="s">
        <v>32</v>
      </c>
      <c r="P634" t="str">
        <f>IF(J634=G634+H634-I634,"OK","Check")</f>
        <v>OK</v>
      </c>
      <c r="Q634" t="str">
        <f>IF(AND(J634&lt;=K634,L634=TRUE),"OK",IF(AND(J634&gt;K634,L634=FALSE),"OK","Check"))</f>
        <v>OK</v>
      </c>
      <c r="R634" t="str">
        <f>IF(ABS(N634-J634*M634)&lt;=J634*0.005+0.01,"OK","Check")</f>
        <v>OK</v>
      </c>
      <c r="S634" s="3">
        <f t="shared" si="9"/>
        <v>1</v>
      </c>
    </row>
    <row r="635" spans="1:19">
      <c r="A635" s="1">
        <v>46082</v>
      </c>
      <c r="B635" t="s">
        <v>244</v>
      </c>
      <c r="C635" t="s">
        <v>96</v>
      </c>
      <c r="D635" t="s">
        <v>97</v>
      </c>
      <c r="E635" t="s">
        <v>71</v>
      </c>
      <c r="F635" t="s">
        <v>23</v>
      </c>
      <c r="G635">
        <v>136</v>
      </c>
      <c r="H635">
        <v>0</v>
      </c>
      <c r="I635">
        <v>42</v>
      </c>
      <c r="J635">
        <v>94</v>
      </c>
      <c r="K635">
        <v>45</v>
      </c>
      <c r="L635" t="b">
        <v>0</v>
      </c>
      <c r="M635">
        <v>708.81</v>
      </c>
      <c r="N635">
        <v>66628.100000000006</v>
      </c>
      <c r="O635" t="s">
        <v>98</v>
      </c>
      <c r="P635" t="str">
        <f>IF(J635=G635+H635-I635,"OK","Check")</f>
        <v>OK</v>
      </c>
      <c r="Q635" t="str">
        <f>IF(AND(J635&lt;=K635,L635=TRUE),"OK",IF(AND(J635&gt;K635,L635=FALSE),"OK","Check"))</f>
        <v>OK</v>
      </c>
      <c r="R635" t="str">
        <f>IF(ABS(N635-J635*M635)&lt;=J635*0.005+0.01,"OK","Check")</f>
        <v>OK</v>
      </c>
      <c r="S635" s="3">
        <f t="shared" si="9"/>
        <v>1</v>
      </c>
    </row>
    <row r="636" spans="1:19">
      <c r="A636" s="1">
        <v>46082</v>
      </c>
      <c r="B636" t="s">
        <v>244</v>
      </c>
      <c r="C636" t="s">
        <v>99</v>
      </c>
      <c r="D636" t="s">
        <v>100</v>
      </c>
      <c r="E636" t="s">
        <v>71</v>
      </c>
      <c r="F636" t="s">
        <v>23</v>
      </c>
      <c r="G636">
        <v>447</v>
      </c>
      <c r="H636">
        <v>0</v>
      </c>
      <c r="I636">
        <v>99</v>
      </c>
      <c r="J636">
        <v>348</v>
      </c>
      <c r="K636">
        <v>161</v>
      </c>
      <c r="L636" t="b">
        <v>0</v>
      </c>
      <c r="M636">
        <v>3008.31</v>
      </c>
      <c r="N636">
        <v>1046893.16</v>
      </c>
      <c r="O636" t="s">
        <v>47</v>
      </c>
      <c r="P636" t="str">
        <f>IF(J636=G636+H636-I636,"OK","Check")</f>
        <v>OK</v>
      </c>
      <c r="Q636" t="str">
        <f>IF(AND(J636&lt;=K636,L636=TRUE),"OK",IF(AND(J636&gt;K636,L636=FALSE),"OK","Check"))</f>
        <v>OK</v>
      </c>
      <c r="R636" t="str">
        <f>IF(ABS(N636-J636*M636)&lt;=J636*0.005+0.01,"OK","Check")</f>
        <v>OK</v>
      </c>
      <c r="S636" s="3">
        <f t="shared" si="9"/>
        <v>1</v>
      </c>
    </row>
    <row r="637" spans="1:19">
      <c r="A637" s="1">
        <v>46082</v>
      </c>
      <c r="B637" t="s">
        <v>244</v>
      </c>
      <c r="C637" t="s">
        <v>101</v>
      </c>
      <c r="D637" t="s">
        <v>102</v>
      </c>
      <c r="E637" t="s">
        <v>71</v>
      </c>
      <c r="F637" t="s">
        <v>23</v>
      </c>
      <c r="G637">
        <v>188</v>
      </c>
      <c r="H637">
        <v>0</v>
      </c>
      <c r="I637">
        <v>112</v>
      </c>
      <c r="J637">
        <v>76</v>
      </c>
      <c r="K637">
        <v>110</v>
      </c>
      <c r="L637" t="b">
        <v>1</v>
      </c>
      <c r="M637">
        <v>64.709999999999994</v>
      </c>
      <c r="N637">
        <v>4917.95</v>
      </c>
      <c r="O637" t="s">
        <v>32</v>
      </c>
      <c r="P637" t="str">
        <f>IF(J637=G637+H637-I637,"OK","Check")</f>
        <v>OK</v>
      </c>
      <c r="Q637" t="str">
        <f>IF(AND(J637&lt;=K637,L637=TRUE),"OK",IF(AND(J637&gt;K637,L637=FALSE),"OK","Check"))</f>
        <v>OK</v>
      </c>
      <c r="R637" t="str">
        <f>IF(ABS(N637-J637*M637)&lt;=J637*0.005+0.01,"OK","Check")</f>
        <v>OK</v>
      </c>
      <c r="S637" s="3">
        <f t="shared" si="9"/>
        <v>1</v>
      </c>
    </row>
    <row r="638" spans="1:19">
      <c r="A638" s="1">
        <v>46082</v>
      </c>
      <c r="B638" t="s">
        <v>244</v>
      </c>
      <c r="C638" t="s">
        <v>247</v>
      </c>
      <c r="D638" t="s">
        <v>248</v>
      </c>
      <c r="E638" t="s">
        <v>71</v>
      </c>
      <c r="F638" t="s">
        <v>23</v>
      </c>
      <c r="G638">
        <v>158</v>
      </c>
      <c r="H638">
        <v>342</v>
      </c>
      <c r="I638">
        <v>130</v>
      </c>
      <c r="J638">
        <v>370</v>
      </c>
      <c r="K638">
        <v>240</v>
      </c>
      <c r="L638" t="b">
        <v>0</v>
      </c>
      <c r="M638">
        <v>270.58999999999997</v>
      </c>
      <c r="N638">
        <v>100117.45</v>
      </c>
      <c r="O638" t="s">
        <v>32</v>
      </c>
      <c r="P638" t="str">
        <f>IF(J638=G638+H638-I638,"OK","Check")</f>
        <v>OK</v>
      </c>
      <c r="Q638" t="str">
        <f>IF(AND(J638&lt;=K638,L638=TRUE),"OK",IF(AND(J638&gt;K638,L638=FALSE),"OK","Check"))</f>
        <v>OK</v>
      </c>
      <c r="R638" t="str">
        <f>IF(ABS(N638-J638*M638)&lt;=J638*0.005+0.01,"OK","Check")</f>
        <v>OK</v>
      </c>
      <c r="S638" s="3">
        <f t="shared" si="9"/>
        <v>1</v>
      </c>
    </row>
    <row r="639" spans="1:19">
      <c r="A639" s="1">
        <v>46082</v>
      </c>
      <c r="B639" t="s">
        <v>244</v>
      </c>
      <c r="C639" t="s">
        <v>103</v>
      </c>
      <c r="D639" t="s">
        <v>104</v>
      </c>
      <c r="E639" t="s">
        <v>71</v>
      </c>
      <c r="F639" t="s">
        <v>23</v>
      </c>
      <c r="G639">
        <v>152</v>
      </c>
      <c r="H639">
        <v>412</v>
      </c>
      <c r="I639">
        <v>209</v>
      </c>
      <c r="J639">
        <v>355</v>
      </c>
      <c r="K639">
        <v>126</v>
      </c>
      <c r="L639" t="b">
        <v>0</v>
      </c>
      <c r="M639">
        <v>495.37</v>
      </c>
      <c r="N639">
        <v>175857.37</v>
      </c>
      <c r="O639" t="s">
        <v>98</v>
      </c>
      <c r="P639" t="str">
        <f>IF(J639=G639+H639-I639,"OK","Check")</f>
        <v>OK</v>
      </c>
      <c r="Q639" t="str">
        <f>IF(AND(J639&lt;=K639,L639=TRUE),"OK",IF(AND(J639&gt;K639,L639=FALSE),"OK","Check"))</f>
        <v>OK</v>
      </c>
      <c r="R639" t="str">
        <f>IF(ABS(N639-J639*M639)&lt;=J639*0.005+0.01,"OK","Check")</f>
        <v>OK</v>
      </c>
      <c r="S639" s="3">
        <f t="shared" si="9"/>
        <v>1</v>
      </c>
    </row>
    <row r="640" spans="1:19">
      <c r="A640" s="1">
        <v>46082</v>
      </c>
      <c r="B640" t="s">
        <v>244</v>
      </c>
      <c r="C640" t="s">
        <v>107</v>
      </c>
      <c r="D640" t="s">
        <v>108</v>
      </c>
      <c r="E640" t="s">
        <v>109</v>
      </c>
      <c r="F640" t="s">
        <v>110</v>
      </c>
      <c r="G640">
        <v>11</v>
      </c>
      <c r="H640">
        <v>84</v>
      </c>
      <c r="I640">
        <v>30</v>
      </c>
      <c r="J640">
        <v>65</v>
      </c>
      <c r="K640">
        <v>51</v>
      </c>
      <c r="L640" t="b">
        <v>0</v>
      </c>
      <c r="M640">
        <v>100.34</v>
      </c>
      <c r="N640">
        <v>6522.32</v>
      </c>
      <c r="O640" t="s">
        <v>24</v>
      </c>
      <c r="P640" t="str">
        <f>IF(J640=G640+H640-I640,"OK","Check")</f>
        <v>OK</v>
      </c>
      <c r="Q640" t="str">
        <f>IF(AND(J640&lt;=K640,L640=TRUE),"OK",IF(AND(J640&gt;K640,L640=FALSE),"OK","Check"))</f>
        <v>OK</v>
      </c>
      <c r="R640" t="str">
        <f>IF(ABS(N640-J640*M640)&lt;=J640*0.005+0.01,"OK","Check")</f>
        <v>OK</v>
      </c>
      <c r="S640" s="3">
        <f t="shared" si="9"/>
        <v>1</v>
      </c>
    </row>
    <row r="641" spans="1:19">
      <c r="A641" s="1">
        <v>46082</v>
      </c>
      <c r="B641" t="s">
        <v>244</v>
      </c>
      <c r="C641" t="s">
        <v>111</v>
      </c>
      <c r="D641" t="s">
        <v>112</v>
      </c>
      <c r="E641" t="s">
        <v>109</v>
      </c>
      <c r="F641" t="s">
        <v>110</v>
      </c>
      <c r="G641">
        <v>195</v>
      </c>
      <c r="H641">
        <v>300</v>
      </c>
      <c r="I641">
        <v>128</v>
      </c>
      <c r="J641">
        <v>367</v>
      </c>
      <c r="K641">
        <v>181</v>
      </c>
      <c r="L641" t="b">
        <v>0</v>
      </c>
      <c r="M641">
        <v>483.94</v>
      </c>
      <c r="N641">
        <v>177605.81</v>
      </c>
      <c r="O641" t="s">
        <v>98</v>
      </c>
      <c r="P641" t="str">
        <f>IF(J641=G641+H641-I641,"OK","Check")</f>
        <v>OK</v>
      </c>
      <c r="Q641" t="str">
        <f>IF(AND(J641&lt;=K641,L641=TRUE),"OK",IF(AND(J641&gt;K641,L641=FALSE),"OK","Check"))</f>
        <v>OK</v>
      </c>
      <c r="R641" t="str">
        <f>IF(ABS(N641-J641*M641)&lt;=J641*0.005+0.01,"OK","Check")</f>
        <v>OK</v>
      </c>
      <c r="S641" s="3">
        <f t="shared" si="9"/>
        <v>1</v>
      </c>
    </row>
    <row r="642" spans="1:19">
      <c r="A642" s="1">
        <v>46082</v>
      </c>
      <c r="B642" t="s">
        <v>244</v>
      </c>
      <c r="C642" t="s">
        <v>113</v>
      </c>
      <c r="D642" t="s">
        <v>114</v>
      </c>
      <c r="E642" t="s">
        <v>109</v>
      </c>
      <c r="F642" t="s">
        <v>110</v>
      </c>
      <c r="G642">
        <v>699</v>
      </c>
      <c r="H642">
        <v>0</v>
      </c>
      <c r="I642">
        <v>234</v>
      </c>
      <c r="J642">
        <v>465</v>
      </c>
      <c r="K642">
        <v>224</v>
      </c>
      <c r="L642" t="b">
        <v>0</v>
      </c>
      <c r="M642">
        <v>127.57</v>
      </c>
      <c r="N642">
        <v>59318.69</v>
      </c>
      <c r="O642" t="s">
        <v>27</v>
      </c>
      <c r="P642" t="str">
        <f>IF(J642=G642+H642-I642,"OK","Check")</f>
        <v>OK</v>
      </c>
      <c r="Q642" t="str">
        <f>IF(AND(J642&lt;=K642,L642=TRUE),"OK",IF(AND(J642&gt;K642,L642=FALSE),"OK","Check"))</f>
        <v>OK</v>
      </c>
      <c r="R642" t="str">
        <f>IF(ABS(N642-J642*M642)&lt;=J642*0.005+0.01,"OK","Check")</f>
        <v>OK</v>
      </c>
      <c r="S642" s="3">
        <f t="shared" ref="S642:S705" si="10">COUNTIFS(A:A,A642,B:B,B642,C:C,C642)</f>
        <v>1</v>
      </c>
    </row>
    <row r="643" spans="1:19">
      <c r="A643" s="1">
        <v>46082</v>
      </c>
      <c r="B643" t="s">
        <v>244</v>
      </c>
      <c r="C643" t="s">
        <v>117</v>
      </c>
      <c r="D643" t="s">
        <v>118</v>
      </c>
      <c r="E643" t="s">
        <v>109</v>
      </c>
      <c r="F643" t="s">
        <v>110</v>
      </c>
      <c r="G643">
        <v>738</v>
      </c>
      <c r="H643">
        <v>0</v>
      </c>
      <c r="I643">
        <v>250</v>
      </c>
      <c r="J643">
        <v>488</v>
      </c>
      <c r="K643">
        <v>283</v>
      </c>
      <c r="L643" t="b">
        <v>0</v>
      </c>
      <c r="M643">
        <v>41.23</v>
      </c>
      <c r="N643">
        <v>20122.04</v>
      </c>
      <c r="O643" t="s">
        <v>32</v>
      </c>
      <c r="P643" t="str">
        <f>IF(J643=G643+H643-I643,"OK","Check")</f>
        <v>OK</v>
      </c>
      <c r="Q643" t="str">
        <f>IF(AND(J643&lt;=K643,L643=TRUE),"OK",IF(AND(J643&gt;K643,L643=FALSE),"OK","Check"))</f>
        <v>OK</v>
      </c>
      <c r="R643" t="str">
        <f>IF(ABS(N643-J643*M643)&lt;=J643*0.005+0.01,"OK","Check")</f>
        <v>OK</v>
      </c>
      <c r="S643" s="3">
        <f t="shared" si="10"/>
        <v>1</v>
      </c>
    </row>
    <row r="644" spans="1:19">
      <c r="A644" s="1">
        <v>46082</v>
      </c>
      <c r="B644" t="s">
        <v>244</v>
      </c>
      <c r="C644" t="s">
        <v>119</v>
      </c>
      <c r="D644" t="s">
        <v>120</v>
      </c>
      <c r="E644" t="s">
        <v>109</v>
      </c>
      <c r="F644" t="s">
        <v>110</v>
      </c>
      <c r="G644">
        <v>143</v>
      </c>
      <c r="H644">
        <v>528</v>
      </c>
      <c r="I644">
        <v>171</v>
      </c>
      <c r="J644">
        <v>500</v>
      </c>
      <c r="K644">
        <v>161</v>
      </c>
      <c r="L644" t="b">
        <v>0</v>
      </c>
      <c r="M644">
        <v>182.48</v>
      </c>
      <c r="N644">
        <v>91237.5</v>
      </c>
      <c r="O644" t="s">
        <v>32</v>
      </c>
      <c r="P644" t="str">
        <f>IF(J644=G644+H644-I644,"OK","Check")</f>
        <v>OK</v>
      </c>
      <c r="Q644" t="str">
        <f>IF(AND(J644&lt;=K644,L644=TRUE),"OK",IF(AND(J644&gt;K644,L644=FALSE),"OK","Check"))</f>
        <v>OK</v>
      </c>
      <c r="R644" t="str">
        <f>IF(ABS(N644-J644*M644)&lt;=J644*0.005+0.01,"OK","Check")</f>
        <v>OK</v>
      </c>
      <c r="S644" s="3">
        <f t="shared" si="10"/>
        <v>1</v>
      </c>
    </row>
    <row r="645" spans="1:19">
      <c r="A645" s="1">
        <v>46082</v>
      </c>
      <c r="B645" t="s">
        <v>244</v>
      </c>
      <c r="C645" t="s">
        <v>125</v>
      </c>
      <c r="D645" t="s">
        <v>126</v>
      </c>
      <c r="E645" t="s">
        <v>109</v>
      </c>
      <c r="F645" t="s">
        <v>110</v>
      </c>
      <c r="G645">
        <v>192</v>
      </c>
      <c r="H645">
        <v>484</v>
      </c>
      <c r="I645">
        <v>219</v>
      </c>
      <c r="J645">
        <v>457</v>
      </c>
      <c r="K645">
        <v>231</v>
      </c>
      <c r="L645" t="b">
        <v>0</v>
      </c>
      <c r="M645">
        <v>125.58</v>
      </c>
      <c r="N645">
        <v>57389.5</v>
      </c>
      <c r="O645" t="s">
        <v>47</v>
      </c>
      <c r="P645" t="str">
        <f>IF(J645=G645+H645-I645,"OK","Check")</f>
        <v>OK</v>
      </c>
      <c r="Q645" t="str">
        <f>IF(AND(J645&lt;=K645,L645=TRUE),"OK",IF(AND(J645&gt;K645,L645=FALSE),"OK","Check"))</f>
        <v>OK</v>
      </c>
      <c r="R645" t="str">
        <f>IF(ABS(N645-J645*M645)&lt;=J645*0.005+0.01,"OK","Check")</f>
        <v>OK</v>
      </c>
      <c r="S645" s="3">
        <f t="shared" si="10"/>
        <v>1</v>
      </c>
    </row>
    <row r="646" spans="1:19">
      <c r="A646" s="1">
        <v>46082</v>
      </c>
      <c r="B646" t="s">
        <v>244</v>
      </c>
      <c r="C646" t="s">
        <v>127</v>
      </c>
      <c r="D646" t="s">
        <v>128</v>
      </c>
      <c r="E646" t="s">
        <v>109</v>
      </c>
      <c r="F646" t="s">
        <v>110</v>
      </c>
      <c r="G646">
        <v>206</v>
      </c>
      <c r="H646">
        <v>0</v>
      </c>
      <c r="I646">
        <v>113</v>
      </c>
      <c r="J646">
        <v>93</v>
      </c>
      <c r="K646">
        <v>118</v>
      </c>
      <c r="L646" t="b">
        <v>1</v>
      </c>
      <c r="M646">
        <v>587.05999999999995</v>
      </c>
      <c r="N646">
        <v>54596.95</v>
      </c>
      <c r="O646" t="s">
        <v>44</v>
      </c>
      <c r="P646" t="str">
        <f>IF(J646=G646+H646-I646,"OK","Check")</f>
        <v>OK</v>
      </c>
      <c r="Q646" t="str">
        <f>IF(AND(J646&lt;=K646,L646=TRUE),"OK",IF(AND(J646&gt;K646,L646=FALSE),"OK","Check"))</f>
        <v>OK</v>
      </c>
      <c r="R646" t="str">
        <f>IF(ABS(N646-J646*M646)&lt;=J646*0.005+0.01,"OK","Check")</f>
        <v>OK</v>
      </c>
      <c r="S646" s="3">
        <f t="shared" si="10"/>
        <v>1</v>
      </c>
    </row>
    <row r="647" spans="1:19">
      <c r="A647" s="1">
        <v>46082</v>
      </c>
      <c r="B647" t="s">
        <v>244</v>
      </c>
      <c r="C647" t="s">
        <v>129</v>
      </c>
      <c r="D647" t="s">
        <v>130</v>
      </c>
      <c r="E647" t="s">
        <v>109</v>
      </c>
      <c r="F647" t="s">
        <v>110</v>
      </c>
      <c r="G647">
        <v>65</v>
      </c>
      <c r="H647">
        <v>352</v>
      </c>
      <c r="I647">
        <v>109</v>
      </c>
      <c r="J647">
        <v>308</v>
      </c>
      <c r="K647">
        <v>104</v>
      </c>
      <c r="L647" t="b">
        <v>0</v>
      </c>
      <c r="M647">
        <v>442.28</v>
      </c>
      <c r="N647">
        <v>136223.37</v>
      </c>
      <c r="O647" t="s">
        <v>32</v>
      </c>
      <c r="P647" t="str">
        <f>IF(J647=G647+H647-I647,"OK","Check")</f>
        <v>OK</v>
      </c>
      <c r="Q647" t="str">
        <f>IF(AND(J647&lt;=K647,L647=TRUE),"OK",IF(AND(J647&gt;K647,L647=FALSE),"OK","Check"))</f>
        <v>OK</v>
      </c>
      <c r="R647" t="str">
        <f>IF(ABS(N647-J647*M647)&lt;=J647*0.005+0.01,"OK","Check")</f>
        <v>OK</v>
      </c>
      <c r="S647" s="3">
        <f t="shared" si="10"/>
        <v>1</v>
      </c>
    </row>
    <row r="648" spans="1:19">
      <c r="A648" s="1">
        <v>46082</v>
      </c>
      <c r="B648" t="s">
        <v>244</v>
      </c>
      <c r="C648" t="s">
        <v>131</v>
      </c>
      <c r="D648" t="s">
        <v>132</v>
      </c>
      <c r="E648" t="s">
        <v>109</v>
      </c>
      <c r="F648" t="s">
        <v>110</v>
      </c>
      <c r="G648">
        <v>571</v>
      </c>
      <c r="H648">
        <v>0</v>
      </c>
      <c r="I648">
        <v>178</v>
      </c>
      <c r="J648">
        <v>393</v>
      </c>
      <c r="K648">
        <v>208</v>
      </c>
      <c r="L648" t="b">
        <v>0</v>
      </c>
      <c r="M648">
        <v>1765.07</v>
      </c>
      <c r="N648">
        <v>693672.85</v>
      </c>
      <c r="O648" t="s">
        <v>24</v>
      </c>
      <c r="P648" t="str">
        <f>IF(J648=G648+H648-I648,"OK","Check")</f>
        <v>OK</v>
      </c>
      <c r="Q648" t="str">
        <f>IF(AND(J648&lt;=K648,L648=TRUE),"OK",IF(AND(J648&gt;K648,L648=FALSE),"OK","Check"))</f>
        <v>OK</v>
      </c>
      <c r="R648" t="str">
        <f>IF(ABS(N648-J648*M648)&lt;=J648*0.005+0.01,"OK","Check")</f>
        <v>OK</v>
      </c>
      <c r="S648" s="3">
        <f t="shared" si="10"/>
        <v>1</v>
      </c>
    </row>
    <row r="649" spans="1:19">
      <c r="A649" s="1">
        <v>46082</v>
      </c>
      <c r="B649" t="s">
        <v>244</v>
      </c>
      <c r="C649" t="s">
        <v>133</v>
      </c>
      <c r="D649" t="s">
        <v>134</v>
      </c>
      <c r="E649" t="s">
        <v>109</v>
      </c>
      <c r="F649" t="s">
        <v>110</v>
      </c>
      <c r="G649">
        <v>72</v>
      </c>
      <c r="H649">
        <v>0</v>
      </c>
      <c r="I649">
        <v>34</v>
      </c>
      <c r="J649">
        <v>38</v>
      </c>
      <c r="K649">
        <v>58</v>
      </c>
      <c r="L649" t="b">
        <v>1</v>
      </c>
      <c r="M649">
        <v>21.01</v>
      </c>
      <c r="N649">
        <v>798.37</v>
      </c>
      <c r="O649" t="s">
        <v>98</v>
      </c>
      <c r="P649" t="str">
        <f>IF(J649=G649+H649-I649,"OK","Check")</f>
        <v>OK</v>
      </c>
      <c r="Q649" t="str">
        <f>IF(AND(J649&lt;=K649,L649=TRUE),"OK",IF(AND(J649&gt;K649,L649=FALSE),"OK","Check"))</f>
        <v>OK</v>
      </c>
      <c r="R649" t="str">
        <f>IF(ABS(N649-J649*M649)&lt;=J649*0.005+0.01,"OK","Check")</f>
        <v>OK</v>
      </c>
      <c r="S649" s="3">
        <f t="shared" si="10"/>
        <v>1</v>
      </c>
    </row>
    <row r="650" spans="1:19">
      <c r="A650" s="1">
        <v>46082</v>
      </c>
      <c r="B650" t="s">
        <v>244</v>
      </c>
      <c r="C650" t="s">
        <v>135</v>
      </c>
      <c r="D650" t="s">
        <v>136</v>
      </c>
      <c r="E650" t="s">
        <v>109</v>
      </c>
      <c r="F650" t="s">
        <v>110</v>
      </c>
      <c r="G650">
        <v>121</v>
      </c>
      <c r="H650">
        <v>349</v>
      </c>
      <c r="I650">
        <v>159</v>
      </c>
      <c r="J650">
        <v>311</v>
      </c>
      <c r="K650">
        <v>171</v>
      </c>
      <c r="L650" t="b">
        <v>0</v>
      </c>
      <c r="M650">
        <v>97.03</v>
      </c>
      <c r="N650">
        <v>30175.46</v>
      </c>
      <c r="O650" t="s">
        <v>32</v>
      </c>
      <c r="P650" t="str">
        <f>IF(J650=G650+H650-I650,"OK","Check")</f>
        <v>OK</v>
      </c>
      <c r="Q650" t="str">
        <f>IF(AND(J650&lt;=K650,L650=TRUE),"OK",IF(AND(J650&gt;K650,L650=FALSE),"OK","Check"))</f>
        <v>OK</v>
      </c>
      <c r="R650" t="str">
        <f>IF(ABS(N650-J650*M650)&lt;=J650*0.005+0.01,"OK","Check")</f>
        <v>OK</v>
      </c>
      <c r="S650" s="3">
        <f t="shared" si="10"/>
        <v>1</v>
      </c>
    </row>
    <row r="651" spans="1:19">
      <c r="A651" s="1">
        <v>46082</v>
      </c>
      <c r="B651" t="s">
        <v>244</v>
      </c>
      <c r="C651" t="s">
        <v>137</v>
      </c>
      <c r="D651" t="s">
        <v>138</v>
      </c>
      <c r="E651" t="s">
        <v>109</v>
      </c>
      <c r="F651" t="s">
        <v>110</v>
      </c>
      <c r="G651">
        <v>166</v>
      </c>
      <c r="H651">
        <v>584</v>
      </c>
      <c r="I651">
        <v>73</v>
      </c>
      <c r="J651">
        <v>677</v>
      </c>
      <c r="K651">
        <v>149</v>
      </c>
      <c r="L651" t="b">
        <v>0</v>
      </c>
      <c r="M651">
        <v>57.6</v>
      </c>
      <c r="N651">
        <v>38996.449999999997</v>
      </c>
      <c r="O651" t="s">
        <v>27</v>
      </c>
      <c r="P651" t="str">
        <f>IF(J651=G651+H651-I651,"OK","Check")</f>
        <v>OK</v>
      </c>
      <c r="Q651" t="str">
        <f>IF(AND(J651&lt;=K651,L651=TRUE),"OK",IF(AND(J651&gt;K651,L651=FALSE),"OK","Check"))</f>
        <v>OK</v>
      </c>
      <c r="R651" t="str">
        <f>IF(ABS(N651-J651*M651)&lt;=J651*0.005+0.01,"OK","Check")</f>
        <v>OK</v>
      </c>
      <c r="S651" s="3">
        <f t="shared" si="10"/>
        <v>1</v>
      </c>
    </row>
    <row r="652" spans="1:19">
      <c r="A652" s="1">
        <v>46082</v>
      </c>
      <c r="B652" t="s">
        <v>244</v>
      </c>
      <c r="C652" t="s">
        <v>141</v>
      </c>
      <c r="D652" t="s">
        <v>142</v>
      </c>
      <c r="E652" t="s">
        <v>109</v>
      </c>
      <c r="F652" t="s">
        <v>110</v>
      </c>
      <c r="G652">
        <v>226</v>
      </c>
      <c r="H652">
        <v>0</v>
      </c>
      <c r="I652">
        <v>137</v>
      </c>
      <c r="J652">
        <v>89</v>
      </c>
      <c r="K652">
        <v>175</v>
      </c>
      <c r="L652" t="b">
        <v>1</v>
      </c>
      <c r="M652">
        <v>81.84</v>
      </c>
      <c r="N652">
        <v>7284.01</v>
      </c>
      <c r="O652" t="s">
        <v>37</v>
      </c>
      <c r="P652" t="str">
        <f>IF(J652=G652+H652-I652,"OK","Check")</f>
        <v>OK</v>
      </c>
      <c r="Q652" t="str">
        <f>IF(AND(J652&lt;=K652,L652=TRUE),"OK",IF(AND(J652&gt;K652,L652=FALSE),"OK","Check"))</f>
        <v>OK</v>
      </c>
      <c r="R652" t="str">
        <f>IF(ABS(N652-J652*M652)&lt;=J652*0.005+0.01,"OK","Check")</f>
        <v>OK</v>
      </c>
      <c r="S652" s="3">
        <f t="shared" si="10"/>
        <v>1</v>
      </c>
    </row>
    <row r="653" spans="1:19">
      <c r="A653" s="1">
        <v>46082</v>
      </c>
      <c r="B653" t="s">
        <v>244</v>
      </c>
      <c r="C653" t="s">
        <v>143</v>
      </c>
      <c r="D653" t="s">
        <v>144</v>
      </c>
      <c r="E653" t="s">
        <v>109</v>
      </c>
      <c r="F653" t="s">
        <v>110</v>
      </c>
      <c r="G653">
        <v>227</v>
      </c>
      <c r="H653">
        <v>0</v>
      </c>
      <c r="I653">
        <v>28</v>
      </c>
      <c r="J653">
        <v>199</v>
      </c>
      <c r="K653">
        <v>117</v>
      </c>
      <c r="L653" t="b">
        <v>0</v>
      </c>
      <c r="M653">
        <v>398.95</v>
      </c>
      <c r="N653">
        <v>79390.98</v>
      </c>
      <c r="O653" t="s">
        <v>24</v>
      </c>
      <c r="P653" t="str">
        <f>IF(J653=G653+H653-I653,"OK","Check")</f>
        <v>OK</v>
      </c>
      <c r="Q653" t="str">
        <f>IF(AND(J653&lt;=K653,L653=TRUE),"OK",IF(AND(J653&gt;K653,L653=FALSE),"OK","Check"))</f>
        <v>OK</v>
      </c>
      <c r="R653" t="str">
        <f>IF(ABS(N653-J653*M653)&lt;=J653*0.005+0.01,"OK","Check")</f>
        <v>OK</v>
      </c>
      <c r="S653" s="3">
        <f t="shared" si="10"/>
        <v>1</v>
      </c>
    </row>
    <row r="654" spans="1:19">
      <c r="A654" s="1">
        <v>46082</v>
      </c>
      <c r="B654" t="s">
        <v>244</v>
      </c>
      <c r="C654" t="s">
        <v>145</v>
      </c>
      <c r="D654" t="s">
        <v>146</v>
      </c>
      <c r="E654" t="s">
        <v>109</v>
      </c>
      <c r="F654" t="s">
        <v>110</v>
      </c>
      <c r="G654">
        <v>225</v>
      </c>
      <c r="H654">
        <v>0</v>
      </c>
      <c r="I654">
        <v>55</v>
      </c>
      <c r="J654">
        <v>170</v>
      </c>
      <c r="K654">
        <v>52</v>
      </c>
      <c r="L654" t="b">
        <v>0</v>
      </c>
      <c r="M654">
        <v>63.13</v>
      </c>
      <c r="N654">
        <v>10732.78</v>
      </c>
      <c r="O654" t="s">
        <v>37</v>
      </c>
      <c r="P654" t="str">
        <f>IF(J654=G654+H654-I654,"OK","Check")</f>
        <v>OK</v>
      </c>
      <c r="Q654" t="str">
        <f>IF(AND(J654&lt;=K654,L654=TRUE),"OK",IF(AND(J654&gt;K654,L654=FALSE),"OK","Check"))</f>
        <v>OK</v>
      </c>
      <c r="R654" t="str">
        <f>IF(ABS(N654-J654*M654)&lt;=J654*0.005+0.01,"OK","Check")</f>
        <v>OK</v>
      </c>
      <c r="S654" s="3">
        <f t="shared" si="10"/>
        <v>1</v>
      </c>
    </row>
    <row r="655" spans="1:19">
      <c r="A655" s="1">
        <v>46082</v>
      </c>
      <c r="B655" t="s">
        <v>244</v>
      </c>
      <c r="C655" t="s">
        <v>147</v>
      </c>
      <c r="D655" t="s">
        <v>148</v>
      </c>
      <c r="E655" t="s">
        <v>109</v>
      </c>
      <c r="F655" t="s">
        <v>110</v>
      </c>
      <c r="G655">
        <v>51</v>
      </c>
      <c r="H655">
        <v>53</v>
      </c>
      <c r="I655">
        <v>19</v>
      </c>
      <c r="J655">
        <v>85</v>
      </c>
      <c r="K655">
        <v>21</v>
      </c>
      <c r="L655" t="b">
        <v>0</v>
      </c>
      <c r="M655">
        <v>292.16000000000003</v>
      </c>
      <c r="N655">
        <v>24833.22</v>
      </c>
      <c r="O655" t="s">
        <v>98</v>
      </c>
      <c r="P655" t="str">
        <f>IF(J655=G655+H655-I655,"OK","Check")</f>
        <v>OK</v>
      </c>
      <c r="Q655" t="str">
        <f>IF(AND(J655&lt;=K655,L655=TRUE),"OK",IF(AND(J655&gt;K655,L655=FALSE),"OK","Check"))</f>
        <v>OK</v>
      </c>
      <c r="R655" t="str">
        <f>IF(ABS(N655-J655*M655)&lt;=J655*0.005+0.01,"OK","Check")</f>
        <v>OK</v>
      </c>
      <c r="S655" s="3">
        <f t="shared" si="10"/>
        <v>1</v>
      </c>
    </row>
    <row r="656" spans="1:19">
      <c r="A656" s="1">
        <v>46082</v>
      </c>
      <c r="B656" t="s">
        <v>244</v>
      </c>
      <c r="C656" t="s">
        <v>149</v>
      </c>
      <c r="D656" t="s">
        <v>150</v>
      </c>
      <c r="E656" t="s">
        <v>151</v>
      </c>
      <c r="F656" t="s">
        <v>23</v>
      </c>
      <c r="G656">
        <v>232</v>
      </c>
      <c r="H656">
        <v>0</v>
      </c>
      <c r="I656">
        <v>111</v>
      </c>
      <c r="J656">
        <v>121</v>
      </c>
      <c r="K656">
        <v>183</v>
      </c>
      <c r="L656" t="b">
        <v>1</v>
      </c>
      <c r="M656">
        <v>277.14999999999998</v>
      </c>
      <c r="N656">
        <v>33534.61</v>
      </c>
      <c r="O656" t="s">
        <v>32</v>
      </c>
      <c r="P656" t="str">
        <f>IF(J656=G656+H656-I656,"OK","Check")</f>
        <v>OK</v>
      </c>
      <c r="Q656" t="str">
        <f>IF(AND(J656&lt;=K656,L656=TRUE),"OK",IF(AND(J656&gt;K656,L656=FALSE),"OK","Check"))</f>
        <v>OK</v>
      </c>
      <c r="R656" t="str">
        <f>IF(ABS(N656-J656*M656)&lt;=J656*0.005+0.01,"OK","Check")</f>
        <v>OK</v>
      </c>
      <c r="S656" s="3">
        <f t="shared" si="10"/>
        <v>1</v>
      </c>
    </row>
    <row r="657" spans="1:19">
      <c r="A657" s="1">
        <v>46082</v>
      </c>
      <c r="B657" t="s">
        <v>244</v>
      </c>
      <c r="C657" t="s">
        <v>152</v>
      </c>
      <c r="D657" t="s">
        <v>153</v>
      </c>
      <c r="E657" t="s">
        <v>151</v>
      </c>
      <c r="F657" t="s">
        <v>23</v>
      </c>
      <c r="G657">
        <v>68</v>
      </c>
      <c r="H657">
        <v>0</v>
      </c>
      <c r="I657">
        <v>26</v>
      </c>
      <c r="J657">
        <v>42</v>
      </c>
      <c r="K657">
        <v>41</v>
      </c>
      <c r="L657" t="b">
        <v>0</v>
      </c>
      <c r="M657">
        <v>1084.3</v>
      </c>
      <c r="N657">
        <v>45540.52</v>
      </c>
      <c r="O657" t="s">
        <v>98</v>
      </c>
      <c r="P657" t="str">
        <f>IF(J657=G657+H657-I657,"OK","Check")</f>
        <v>OK</v>
      </c>
      <c r="Q657" t="str">
        <f>IF(AND(J657&lt;=K657,L657=TRUE),"OK",IF(AND(J657&gt;K657,L657=FALSE),"OK","Check"))</f>
        <v>OK</v>
      </c>
      <c r="R657" t="str">
        <f>IF(ABS(N657-J657*M657)&lt;=J657*0.005+0.01,"OK","Check")</f>
        <v>OK</v>
      </c>
      <c r="S657" s="3">
        <f t="shared" si="10"/>
        <v>1</v>
      </c>
    </row>
    <row r="658" spans="1:19">
      <c r="A658" s="1">
        <v>46082</v>
      </c>
      <c r="B658" t="s">
        <v>244</v>
      </c>
      <c r="C658" t="s">
        <v>154</v>
      </c>
      <c r="D658" t="s">
        <v>155</v>
      </c>
      <c r="E658" t="s">
        <v>151</v>
      </c>
      <c r="F658" t="s">
        <v>23</v>
      </c>
      <c r="G658">
        <v>229</v>
      </c>
      <c r="H658">
        <v>516</v>
      </c>
      <c r="I658">
        <v>235</v>
      </c>
      <c r="J658">
        <v>510</v>
      </c>
      <c r="K658">
        <v>286</v>
      </c>
      <c r="L658" t="b">
        <v>0</v>
      </c>
      <c r="M658">
        <v>324.94</v>
      </c>
      <c r="N658">
        <v>165718.25</v>
      </c>
      <c r="O658" t="s">
        <v>60</v>
      </c>
      <c r="P658" t="str">
        <f>IF(J658=G658+H658-I658,"OK","Check")</f>
        <v>OK</v>
      </c>
      <c r="Q658" t="str">
        <f>IF(AND(J658&lt;=K658,L658=TRUE),"OK",IF(AND(J658&gt;K658,L658=FALSE),"OK","Check"))</f>
        <v>OK</v>
      </c>
      <c r="R658" t="str">
        <f>IF(ABS(N658-J658*M658)&lt;=J658*0.005+0.01,"OK","Check")</f>
        <v>OK</v>
      </c>
      <c r="S658" s="3">
        <f t="shared" si="10"/>
        <v>1</v>
      </c>
    </row>
    <row r="659" spans="1:19">
      <c r="A659" s="1">
        <v>46082</v>
      </c>
      <c r="B659" t="s">
        <v>244</v>
      </c>
      <c r="C659" t="s">
        <v>156</v>
      </c>
      <c r="D659" t="s">
        <v>157</v>
      </c>
      <c r="E659" t="s">
        <v>151</v>
      </c>
      <c r="F659" t="s">
        <v>23</v>
      </c>
      <c r="G659">
        <v>507</v>
      </c>
      <c r="H659">
        <v>0</v>
      </c>
      <c r="I659">
        <v>189</v>
      </c>
      <c r="J659">
        <v>318</v>
      </c>
      <c r="K659">
        <v>175</v>
      </c>
      <c r="L659" t="b">
        <v>0</v>
      </c>
      <c r="M659">
        <v>1341.6</v>
      </c>
      <c r="N659">
        <v>426628.96</v>
      </c>
      <c r="O659" t="s">
        <v>32</v>
      </c>
      <c r="P659" t="str">
        <f>IF(J659=G659+H659-I659,"OK","Check")</f>
        <v>OK</v>
      </c>
      <c r="Q659" t="str">
        <f>IF(AND(J659&lt;=K659,L659=TRUE),"OK",IF(AND(J659&gt;K659,L659=FALSE),"OK","Check"))</f>
        <v>OK</v>
      </c>
      <c r="R659" t="str">
        <f>IF(ABS(N659-J659*M659)&lt;=J659*0.005+0.01,"OK","Check")</f>
        <v>OK</v>
      </c>
      <c r="S659" s="3">
        <f t="shared" si="10"/>
        <v>1</v>
      </c>
    </row>
    <row r="660" spans="1:19">
      <c r="A660" s="1">
        <v>46082</v>
      </c>
      <c r="B660" t="s">
        <v>244</v>
      </c>
      <c r="C660" t="s">
        <v>158</v>
      </c>
      <c r="D660" t="s">
        <v>159</v>
      </c>
      <c r="E660" t="s">
        <v>151</v>
      </c>
      <c r="F660" t="s">
        <v>23</v>
      </c>
      <c r="G660">
        <v>358</v>
      </c>
      <c r="H660">
        <v>212</v>
      </c>
      <c r="I660">
        <v>110</v>
      </c>
      <c r="J660">
        <v>460</v>
      </c>
      <c r="K660">
        <v>111</v>
      </c>
      <c r="L660" t="b">
        <v>0</v>
      </c>
      <c r="M660">
        <v>48.33</v>
      </c>
      <c r="N660">
        <v>22230.799999999999</v>
      </c>
      <c r="O660" t="s">
        <v>37</v>
      </c>
      <c r="P660" t="str">
        <f>IF(J660=G660+H660-I660,"OK","Check")</f>
        <v>OK</v>
      </c>
      <c r="Q660" t="str">
        <f>IF(AND(J660&lt;=K660,L660=TRUE),"OK",IF(AND(J660&gt;K660,L660=FALSE),"OK","Check"))</f>
        <v>OK</v>
      </c>
      <c r="R660" t="str">
        <f>IF(ABS(N660-J660*M660)&lt;=J660*0.005+0.01,"OK","Check")</f>
        <v>OK</v>
      </c>
      <c r="S660" s="3">
        <f t="shared" si="10"/>
        <v>1</v>
      </c>
    </row>
    <row r="661" spans="1:19">
      <c r="A661" s="1">
        <v>46082</v>
      </c>
      <c r="B661" t="s">
        <v>244</v>
      </c>
      <c r="C661" t="s">
        <v>160</v>
      </c>
      <c r="D661" t="s">
        <v>161</v>
      </c>
      <c r="E661" t="s">
        <v>151</v>
      </c>
      <c r="F661" t="s">
        <v>23</v>
      </c>
      <c r="G661">
        <v>379</v>
      </c>
      <c r="H661">
        <v>0</v>
      </c>
      <c r="I661">
        <v>162</v>
      </c>
      <c r="J661">
        <v>217</v>
      </c>
      <c r="K661">
        <v>175</v>
      </c>
      <c r="L661" t="b">
        <v>0</v>
      </c>
      <c r="M661">
        <v>198.35</v>
      </c>
      <c r="N661">
        <v>43042.95</v>
      </c>
      <c r="O661" t="s">
        <v>24</v>
      </c>
      <c r="P661" t="str">
        <f>IF(J661=G661+H661-I661,"OK","Check")</f>
        <v>OK</v>
      </c>
      <c r="Q661" t="str">
        <f>IF(AND(J661&lt;=K661,L661=TRUE),"OK",IF(AND(J661&gt;K661,L661=FALSE),"OK","Check"))</f>
        <v>OK</v>
      </c>
      <c r="R661" t="str">
        <f>IF(ABS(N661-J661*M661)&lt;=J661*0.005+0.01,"OK","Check")</f>
        <v>OK</v>
      </c>
      <c r="S661" s="3">
        <f t="shared" si="10"/>
        <v>1</v>
      </c>
    </row>
    <row r="662" spans="1:19">
      <c r="A662" s="1">
        <v>46082</v>
      </c>
      <c r="B662" t="s">
        <v>244</v>
      </c>
      <c r="C662" t="s">
        <v>162</v>
      </c>
      <c r="D662" t="s">
        <v>163</v>
      </c>
      <c r="E662" t="s">
        <v>151</v>
      </c>
      <c r="F662" t="s">
        <v>23</v>
      </c>
      <c r="G662">
        <v>144</v>
      </c>
      <c r="H662">
        <v>439</v>
      </c>
      <c r="I662">
        <v>119</v>
      </c>
      <c r="J662">
        <v>464</v>
      </c>
      <c r="K662">
        <v>158</v>
      </c>
      <c r="L662" t="b">
        <v>0</v>
      </c>
      <c r="M662">
        <v>204.13</v>
      </c>
      <c r="N662">
        <v>94717.81</v>
      </c>
      <c r="O662" t="s">
        <v>37</v>
      </c>
      <c r="P662" t="str">
        <f>IF(J662=G662+H662-I662,"OK","Check")</f>
        <v>OK</v>
      </c>
      <c r="Q662" t="str">
        <f>IF(AND(J662&lt;=K662,L662=TRUE),"OK",IF(AND(J662&gt;K662,L662=FALSE),"OK","Check"))</f>
        <v>OK</v>
      </c>
      <c r="R662" t="str">
        <f>IF(ABS(N662-J662*M662)&lt;=J662*0.005+0.01,"OK","Check")</f>
        <v>OK</v>
      </c>
      <c r="S662" s="3">
        <f t="shared" si="10"/>
        <v>1</v>
      </c>
    </row>
    <row r="663" spans="1:19">
      <c r="A663" s="1">
        <v>46082</v>
      </c>
      <c r="B663" t="s">
        <v>244</v>
      </c>
      <c r="C663" t="s">
        <v>164</v>
      </c>
      <c r="D663" t="s">
        <v>165</v>
      </c>
      <c r="E663" t="s">
        <v>151</v>
      </c>
      <c r="F663" t="s">
        <v>23</v>
      </c>
      <c r="G663">
        <v>16</v>
      </c>
      <c r="H663">
        <v>244</v>
      </c>
      <c r="I663">
        <v>58</v>
      </c>
      <c r="J663">
        <v>202</v>
      </c>
      <c r="K663">
        <v>87</v>
      </c>
      <c r="L663" t="b">
        <v>0</v>
      </c>
      <c r="M663">
        <v>978.27</v>
      </c>
      <c r="N663">
        <v>197609.92</v>
      </c>
      <c r="O663" t="s">
        <v>98</v>
      </c>
      <c r="P663" t="str">
        <f>IF(J663=G663+H663-I663,"OK","Check")</f>
        <v>OK</v>
      </c>
      <c r="Q663" t="str">
        <f>IF(AND(J663&lt;=K663,L663=TRUE),"OK",IF(AND(J663&gt;K663,L663=FALSE),"OK","Check"))</f>
        <v>OK</v>
      </c>
      <c r="R663" t="str">
        <f>IF(ABS(N663-J663*M663)&lt;=J663*0.005+0.01,"OK","Check")</f>
        <v>OK</v>
      </c>
      <c r="S663" s="3">
        <f t="shared" si="10"/>
        <v>1</v>
      </c>
    </row>
    <row r="664" spans="1:19">
      <c r="A664" s="1">
        <v>46082</v>
      </c>
      <c r="B664" t="s">
        <v>244</v>
      </c>
      <c r="C664" t="s">
        <v>166</v>
      </c>
      <c r="D664" t="s">
        <v>167</v>
      </c>
      <c r="E664" t="s">
        <v>151</v>
      </c>
      <c r="F664" t="s">
        <v>23</v>
      </c>
      <c r="G664">
        <v>51</v>
      </c>
      <c r="H664">
        <v>118</v>
      </c>
      <c r="I664">
        <v>34</v>
      </c>
      <c r="J664">
        <v>135</v>
      </c>
      <c r="K664">
        <v>44</v>
      </c>
      <c r="L664" t="b">
        <v>0</v>
      </c>
      <c r="M664">
        <v>136.94999999999999</v>
      </c>
      <c r="N664">
        <v>18487.759999999998</v>
      </c>
      <c r="O664" t="s">
        <v>44</v>
      </c>
      <c r="P664" t="str">
        <f>IF(J664=G664+H664-I664,"OK","Check")</f>
        <v>OK</v>
      </c>
      <c r="Q664" t="str">
        <f>IF(AND(J664&lt;=K664,L664=TRUE),"OK",IF(AND(J664&gt;K664,L664=FALSE),"OK","Check"))</f>
        <v>OK</v>
      </c>
      <c r="R664" t="str">
        <f>IF(ABS(N664-J664*M664)&lt;=J664*0.005+0.01,"OK","Check")</f>
        <v>OK</v>
      </c>
      <c r="S664" s="3">
        <f t="shared" si="10"/>
        <v>1</v>
      </c>
    </row>
    <row r="665" spans="1:19">
      <c r="A665" s="1">
        <v>46082</v>
      </c>
      <c r="B665" t="s">
        <v>244</v>
      </c>
      <c r="C665" t="s">
        <v>249</v>
      </c>
      <c r="D665" t="s">
        <v>250</v>
      </c>
      <c r="E665" t="s">
        <v>151</v>
      </c>
      <c r="F665" t="s">
        <v>23</v>
      </c>
      <c r="G665">
        <v>225</v>
      </c>
      <c r="H665">
        <v>517</v>
      </c>
      <c r="I665">
        <v>156</v>
      </c>
      <c r="J665">
        <v>586</v>
      </c>
      <c r="K665">
        <v>225</v>
      </c>
      <c r="L665" t="b">
        <v>0</v>
      </c>
      <c r="M665">
        <v>616.62</v>
      </c>
      <c r="N665">
        <v>361341.14</v>
      </c>
      <c r="O665" t="s">
        <v>32</v>
      </c>
      <c r="P665" t="str">
        <f>IF(J665=G665+H665-I665,"OK","Check")</f>
        <v>OK</v>
      </c>
      <c r="Q665" t="str">
        <f>IF(AND(J665&lt;=K665,L665=TRUE),"OK",IF(AND(J665&gt;K665,L665=FALSE),"OK","Check"))</f>
        <v>OK</v>
      </c>
      <c r="R665" t="str">
        <f>IF(ABS(N665-J665*M665)&lt;=J665*0.005+0.01,"OK","Check")</f>
        <v>OK</v>
      </c>
      <c r="S665" s="3">
        <f t="shared" si="10"/>
        <v>1</v>
      </c>
    </row>
    <row r="666" spans="1:19">
      <c r="A666" s="1">
        <v>46082</v>
      </c>
      <c r="B666" t="s">
        <v>244</v>
      </c>
      <c r="C666" t="s">
        <v>168</v>
      </c>
      <c r="D666" t="s">
        <v>169</v>
      </c>
      <c r="E666" t="s">
        <v>151</v>
      </c>
      <c r="F666" t="s">
        <v>23</v>
      </c>
      <c r="G666">
        <v>61</v>
      </c>
      <c r="H666">
        <v>0</v>
      </c>
      <c r="I666">
        <v>25</v>
      </c>
      <c r="J666">
        <v>36</v>
      </c>
      <c r="K666">
        <v>42</v>
      </c>
      <c r="L666" t="b">
        <v>1</v>
      </c>
      <c r="M666">
        <v>684.82</v>
      </c>
      <c r="N666">
        <v>24653.34</v>
      </c>
      <c r="O666" t="s">
        <v>27</v>
      </c>
      <c r="P666" t="str">
        <f>IF(J666=G666+H666-I666,"OK","Check")</f>
        <v>OK</v>
      </c>
      <c r="Q666" t="str">
        <f>IF(AND(J666&lt;=K666,L666=TRUE),"OK",IF(AND(J666&gt;K666,L666=FALSE),"OK","Check"))</f>
        <v>OK</v>
      </c>
      <c r="R666" t="str">
        <f>IF(ABS(N666-J666*M666)&lt;=J666*0.005+0.01,"OK","Check")</f>
        <v>OK</v>
      </c>
      <c r="S666" s="3">
        <f t="shared" si="10"/>
        <v>1</v>
      </c>
    </row>
    <row r="667" spans="1:19">
      <c r="A667" s="1">
        <v>46082</v>
      </c>
      <c r="B667" t="s">
        <v>244</v>
      </c>
      <c r="C667" t="s">
        <v>170</v>
      </c>
      <c r="D667" t="s">
        <v>171</v>
      </c>
      <c r="E667" t="s">
        <v>151</v>
      </c>
      <c r="F667" t="s">
        <v>23</v>
      </c>
      <c r="G667">
        <v>278</v>
      </c>
      <c r="H667">
        <v>0</v>
      </c>
      <c r="I667">
        <v>187</v>
      </c>
      <c r="J667">
        <v>91</v>
      </c>
      <c r="K667">
        <v>138</v>
      </c>
      <c r="L667" t="b">
        <v>1</v>
      </c>
      <c r="M667">
        <v>2992.68</v>
      </c>
      <c r="N667">
        <v>272333.65999999997</v>
      </c>
      <c r="O667" t="s">
        <v>47</v>
      </c>
      <c r="P667" t="str">
        <f>IF(J667=G667+H667-I667,"OK","Check")</f>
        <v>OK</v>
      </c>
      <c r="Q667" t="str">
        <f>IF(AND(J667&lt;=K667,L667=TRUE),"OK",IF(AND(J667&gt;K667,L667=FALSE),"OK","Check"))</f>
        <v>OK</v>
      </c>
      <c r="R667" t="str">
        <f>IF(ABS(N667-J667*M667)&lt;=J667*0.005+0.01,"OK","Check")</f>
        <v>OK</v>
      </c>
      <c r="S667" s="3">
        <f t="shared" si="10"/>
        <v>1</v>
      </c>
    </row>
    <row r="668" spans="1:19">
      <c r="A668" s="1">
        <v>46082</v>
      </c>
      <c r="B668" t="s">
        <v>244</v>
      </c>
      <c r="C668" t="s">
        <v>172</v>
      </c>
      <c r="D668" t="s">
        <v>173</v>
      </c>
      <c r="E668" t="s">
        <v>151</v>
      </c>
      <c r="F668" t="s">
        <v>23</v>
      </c>
      <c r="G668">
        <v>76</v>
      </c>
      <c r="H668">
        <v>492</v>
      </c>
      <c r="I668">
        <v>242</v>
      </c>
      <c r="J668">
        <v>326</v>
      </c>
      <c r="K668">
        <v>225</v>
      </c>
      <c r="L668" t="b">
        <v>0</v>
      </c>
      <c r="M668">
        <v>521.51</v>
      </c>
      <c r="N668">
        <v>170011.38</v>
      </c>
      <c r="O668" t="s">
        <v>24</v>
      </c>
      <c r="P668" t="str">
        <f>IF(J668=G668+H668-I668,"OK","Check")</f>
        <v>OK</v>
      </c>
      <c r="Q668" t="str">
        <f>IF(AND(J668&lt;=K668,L668=TRUE),"OK",IF(AND(J668&gt;K668,L668=FALSE),"OK","Check"))</f>
        <v>OK</v>
      </c>
      <c r="R668" t="str">
        <f>IF(ABS(N668-J668*M668)&lt;=J668*0.005+0.01,"OK","Check")</f>
        <v>OK</v>
      </c>
      <c r="S668" s="3">
        <f t="shared" si="10"/>
        <v>1</v>
      </c>
    </row>
    <row r="669" spans="1:19">
      <c r="A669" s="1">
        <v>46082</v>
      </c>
      <c r="B669" t="s">
        <v>244</v>
      </c>
      <c r="C669" t="s">
        <v>174</v>
      </c>
      <c r="D669" t="s">
        <v>175</v>
      </c>
      <c r="E669" t="s">
        <v>151</v>
      </c>
      <c r="F669" t="s">
        <v>23</v>
      </c>
      <c r="G669">
        <v>173</v>
      </c>
      <c r="H669">
        <v>321</v>
      </c>
      <c r="I669">
        <v>134</v>
      </c>
      <c r="J669">
        <v>360</v>
      </c>
      <c r="K669">
        <v>162</v>
      </c>
      <c r="L669" t="b">
        <v>0</v>
      </c>
      <c r="M669">
        <v>2396.94</v>
      </c>
      <c r="N669">
        <v>862900.01</v>
      </c>
      <c r="O669" t="s">
        <v>27</v>
      </c>
      <c r="P669" t="str">
        <f>IF(J669=G669+H669-I669,"OK","Check")</f>
        <v>OK</v>
      </c>
      <c r="Q669" t="str">
        <f>IF(AND(J669&lt;=K669,L669=TRUE),"OK",IF(AND(J669&gt;K669,L669=FALSE),"OK","Check"))</f>
        <v>OK</v>
      </c>
      <c r="R669" t="str">
        <f>IF(ABS(N669-J669*M669)&lt;=J669*0.005+0.01,"OK","Check")</f>
        <v>OK</v>
      </c>
      <c r="S669" s="3">
        <f t="shared" si="10"/>
        <v>1</v>
      </c>
    </row>
    <row r="670" spans="1:19">
      <c r="A670" s="1">
        <v>46082</v>
      </c>
      <c r="B670" t="s">
        <v>244</v>
      </c>
      <c r="C670" t="s">
        <v>176</v>
      </c>
      <c r="D670" t="s">
        <v>177</v>
      </c>
      <c r="E670" t="s">
        <v>151</v>
      </c>
      <c r="F670" t="s">
        <v>23</v>
      </c>
      <c r="G670">
        <v>0</v>
      </c>
      <c r="H670">
        <v>403</v>
      </c>
      <c r="I670">
        <v>168</v>
      </c>
      <c r="J670">
        <v>235</v>
      </c>
      <c r="K670">
        <v>130</v>
      </c>
      <c r="L670" t="b">
        <v>0</v>
      </c>
      <c r="M670">
        <v>69.88</v>
      </c>
      <c r="N670">
        <v>16422.61</v>
      </c>
      <c r="O670" t="s">
        <v>27</v>
      </c>
      <c r="P670" t="str">
        <f>IF(J670=G670+H670-I670,"OK","Check")</f>
        <v>OK</v>
      </c>
      <c r="Q670" t="str">
        <f>IF(AND(J670&lt;=K670,L670=TRUE),"OK",IF(AND(J670&gt;K670,L670=FALSE),"OK","Check"))</f>
        <v>OK</v>
      </c>
      <c r="R670" t="str">
        <f>IF(ABS(N670-J670*M670)&lt;=J670*0.005+0.01,"OK","Check")</f>
        <v>OK</v>
      </c>
      <c r="S670" s="3">
        <f t="shared" si="10"/>
        <v>1</v>
      </c>
    </row>
    <row r="671" spans="1:19">
      <c r="A671" s="1">
        <v>46082</v>
      </c>
      <c r="B671" t="s">
        <v>244</v>
      </c>
      <c r="C671" t="s">
        <v>178</v>
      </c>
      <c r="D671" t="s">
        <v>179</v>
      </c>
      <c r="E671" t="s">
        <v>151</v>
      </c>
      <c r="F671" t="s">
        <v>23</v>
      </c>
      <c r="G671">
        <v>192</v>
      </c>
      <c r="H671">
        <v>238</v>
      </c>
      <c r="I671">
        <v>95</v>
      </c>
      <c r="J671">
        <v>335</v>
      </c>
      <c r="K671">
        <v>76</v>
      </c>
      <c r="L671" t="b">
        <v>0</v>
      </c>
      <c r="M671">
        <v>326</v>
      </c>
      <c r="N671">
        <v>109209</v>
      </c>
      <c r="O671" t="s">
        <v>32</v>
      </c>
      <c r="P671" t="str">
        <f>IF(J671=G671+H671-I671,"OK","Check")</f>
        <v>OK</v>
      </c>
      <c r="Q671" t="str">
        <f>IF(AND(J671&lt;=K671,L671=TRUE),"OK",IF(AND(J671&gt;K671,L671=FALSE),"OK","Check"))</f>
        <v>OK</v>
      </c>
      <c r="R671" t="str">
        <f>IF(ABS(N671-J671*M671)&lt;=J671*0.005+0.01,"OK","Check")</f>
        <v>OK</v>
      </c>
      <c r="S671" s="3">
        <f t="shared" si="10"/>
        <v>1</v>
      </c>
    </row>
    <row r="672" spans="1:19">
      <c r="A672" s="1">
        <v>46082</v>
      </c>
      <c r="B672" t="s">
        <v>244</v>
      </c>
      <c r="C672" t="s">
        <v>182</v>
      </c>
      <c r="D672" t="s">
        <v>183</v>
      </c>
      <c r="E672" t="s">
        <v>151</v>
      </c>
      <c r="F672" t="s">
        <v>23</v>
      </c>
      <c r="G672">
        <v>256</v>
      </c>
      <c r="H672">
        <v>0</v>
      </c>
      <c r="I672">
        <v>59</v>
      </c>
      <c r="J672">
        <v>197</v>
      </c>
      <c r="K672">
        <v>87</v>
      </c>
      <c r="L672" t="b">
        <v>0</v>
      </c>
      <c r="M672">
        <v>271.07</v>
      </c>
      <c r="N672">
        <v>53400.84</v>
      </c>
      <c r="O672" t="s">
        <v>32</v>
      </c>
      <c r="P672" t="str">
        <f>IF(J672=G672+H672-I672,"OK","Check")</f>
        <v>OK</v>
      </c>
      <c r="Q672" t="str">
        <f>IF(AND(J672&lt;=K672,L672=TRUE),"OK",IF(AND(J672&gt;K672,L672=FALSE),"OK","Check"))</f>
        <v>OK</v>
      </c>
      <c r="R672" t="str">
        <f>IF(ABS(N672-J672*M672)&lt;=J672*0.005+0.01,"OK","Check")</f>
        <v>OK</v>
      </c>
      <c r="S672" s="3">
        <f t="shared" si="10"/>
        <v>1</v>
      </c>
    </row>
    <row r="673" spans="1:19">
      <c r="A673" s="1">
        <v>46082</v>
      </c>
      <c r="B673" t="s">
        <v>244</v>
      </c>
      <c r="C673" t="s">
        <v>251</v>
      </c>
      <c r="D673" t="s">
        <v>252</v>
      </c>
      <c r="E673" t="s">
        <v>151</v>
      </c>
      <c r="F673" t="s">
        <v>23</v>
      </c>
      <c r="G673">
        <v>50</v>
      </c>
      <c r="H673">
        <v>74</v>
      </c>
      <c r="I673">
        <v>25</v>
      </c>
      <c r="J673">
        <v>99</v>
      </c>
      <c r="K673">
        <v>43</v>
      </c>
      <c r="L673" t="b">
        <v>0</v>
      </c>
      <c r="M673">
        <v>87.24</v>
      </c>
      <c r="N673">
        <v>8637.09</v>
      </c>
      <c r="O673" t="s">
        <v>44</v>
      </c>
      <c r="P673" t="str">
        <f>IF(J673=G673+H673-I673,"OK","Check")</f>
        <v>OK</v>
      </c>
      <c r="Q673" t="str">
        <f>IF(AND(J673&lt;=K673,L673=TRUE),"OK",IF(AND(J673&gt;K673,L673=FALSE),"OK","Check"))</f>
        <v>OK</v>
      </c>
      <c r="R673" t="str">
        <f>IF(ABS(N673-J673*M673)&lt;=J673*0.005+0.01,"OK","Check")</f>
        <v>OK</v>
      </c>
      <c r="S673" s="3">
        <f t="shared" si="10"/>
        <v>1</v>
      </c>
    </row>
    <row r="674" spans="1:19">
      <c r="A674" s="1">
        <v>46082</v>
      </c>
      <c r="B674" t="s">
        <v>244</v>
      </c>
      <c r="C674" t="s">
        <v>184</v>
      </c>
      <c r="D674" t="s">
        <v>185</v>
      </c>
      <c r="E674" t="s">
        <v>151</v>
      </c>
      <c r="F674" t="s">
        <v>23</v>
      </c>
      <c r="G674">
        <v>95</v>
      </c>
      <c r="H674">
        <v>261</v>
      </c>
      <c r="I674">
        <v>152</v>
      </c>
      <c r="J674">
        <v>204</v>
      </c>
      <c r="K674">
        <v>133</v>
      </c>
      <c r="L674" t="b">
        <v>0</v>
      </c>
      <c r="M674">
        <v>416.91</v>
      </c>
      <c r="N674">
        <v>85050.49</v>
      </c>
      <c r="O674" t="s">
        <v>60</v>
      </c>
      <c r="P674" t="str">
        <f>IF(J674=G674+H674-I674,"OK","Check")</f>
        <v>OK</v>
      </c>
      <c r="Q674" t="str">
        <f>IF(AND(J674&lt;=K674,L674=TRUE),"OK",IF(AND(J674&gt;K674,L674=FALSE),"OK","Check"))</f>
        <v>OK</v>
      </c>
      <c r="R674" t="str">
        <f>IF(ABS(N674-J674*M674)&lt;=J674*0.005+0.01,"OK","Check")</f>
        <v>OK</v>
      </c>
      <c r="S674" s="3">
        <f t="shared" si="10"/>
        <v>1</v>
      </c>
    </row>
    <row r="675" spans="1:19">
      <c r="A675" s="1">
        <v>46082</v>
      </c>
      <c r="B675" t="s">
        <v>244</v>
      </c>
      <c r="C675" t="s">
        <v>186</v>
      </c>
      <c r="D675" t="s">
        <v>187</v>
      </c>
      <c r="E675" t="s">
        <v>188</v>
      </c>
      <c r="F675" t="s">
        <v>23</v>
      </c>
      <c r="G675">
        <v>384</v>
      </c>
      <c r="H675">
        <v>0</v>
      </c>
      <c r="I675">
        <v>230</v>
      </c>
      <c r="J675">
        <v>154</v>
      </c>
      <c r="K675">
        <v>221</v>
      </c>
      <c r="L675" t="b">
        <v>1</v>
      </c>
      <c r="M675">
        <v>124.27</v>
      </c>
      <c r="N675">
        <v>19137.07</v>
      </c>
      <c r="O675" t="s">
        <v>24</v>
      </c>
      <c r="P675" t="str">
        <f>IF(J675=G675+H675-I675,"OK","Check")</f>
        <v>OK</v>
      </c>
      <c r="Q675" t="str">
        <f>IF(AND(J675&lt;=K675,L675=TRUE),"OK",IF(AND(J675&gt;K675,L675=FALSE),"OK","Check"))</f>
        <v>OK</v>
      </c>
      <c r="R675" t="str">
        <f>IF(ABS(N675-J675*M675)&lt;=J675*0.005+0.01,"OK","Check")</f>
        <v>OK</v>
      </c>
      <c r="S675" s="3">
        <f t="shared" si="10"/>
        <v>1</v>
      </c>
    </row>
    <row r="676" spans="1:19">
      <c r="A676" s="1">
        <v>46082</v>
      </c>
      <c r="B676" t="s">
        <v>244</v>
      </c>
      <c r="C676" t="s">
        <v>189</v>
      </c>
      <c r="D676" t="s">
        <v>190</v>
      </c>
      <c r="E676" t="s">
        <v>188</v>
      </c>
      <c r="F676" t="s">
        <v>23</v>
      </c>
      <c r="G676">
        <v>221</v>
      </c>
      <c r="H676">
        <v>0</v>
      </c>
      <c r="I676">
        <v>82</v>
      </c>
      <c r="J676">
        <v>139</v>
      </c>
      <c r="K676">
        <v>91</v>
      </c>
      <c r="L676" t="b">
        <v>0</v>
      </c>
      <c r="M676">
        <v>508.21</v>
      </c>
      <c r="N676">
        <v>70641.77</v>
      </c>
      <c r="O676" t="s">
        <v>98</v>
      </c>
      <c r="P676" t="str">
        <f>IF(J676=G676+H676-I676,"OK","Check")</f>
        <v>OK</v>
      </c>
      <c r="Q676" t="str">
        <f>IF(AND(J676&lt;=K676,L676=TRUE),"OK",IF(AND(J676&gt;K676,L676=FALSE),"OK","Check"))</f>
        <v>OK</v>
      </c>
      <c r="R676" t="str">
        <f>IF(ABS(N676-J676*M676)&lt;=J676*0.005+0.01,"OK","Check")</f>
        <v>OK</v>
      </c>
      <c r="S676" s="3">
        <f t="shared" si="10"/>
        <v>1</v>
      </c>
    </row>
    <row r="677" spans="1:19">
      <c r="A677" s="1">
        <v>46082</v>
      </c>
      <c r="B677" t="s">
        <v>244</v>
      </c>
      <c r="C677" t="s">
        <v>191</v>
      </c>
      <c r="D677" t="s">
        <v>192</v>
      </c>
      <c r="E677" t="s">
        <v>188</v>
      </c>
      <c r="F677" t="s">
        <v>23</v>
      </c>
      <c r="G677">
        <v>139</v>
      </c>
      <c r="H677">
        <v>0</v>
      </c>
      <c r="I677">
        <v>31</v>
      </c>
      <c r="J677">
        <v>108</v>
      </c>
      <c r="K677">
        <v>51</v>
      </c>
      <c r="L677" t="b">
        <v>0</v>
      </c>
      <c r="M677">
        <v>100.17</v>
      </c>
      <c r="N677">
        <v>10818.53</v>
      </c>
      <c r="O677" t="s">
        <v>98</v>
      </c>
      <c r="P677" t="str">
        <f>IF(J677=G677+H677-I677,"OK","Check")</f>
        <v>OK</v>
      </c>
      <c r="Q677" t="str">
        <f>IF(AND(J677&lt;=K677,L677=TRUE),"OK",IF(AND(J677&gt;K677,L677=FALSE),"OK","Check"))</f>
        <v>OK</v>
      </c>
      <c r="R677" t="str">
        <f>IF(ABS(N677-J677*M677)&lt;=J677*0.005+0.01,"OK","Check")</f>
        <v>OK</v>
      </c>
      <c r="S677" s="3">
        <f t="shared" si="10"/>
        <v>1</v>
      </c>
    </row>
    <row r="678" spans="1:19">
      <c r="A678" s="1">
        <v>46082</v>
      </c>
      <c r="B678" t="s">
        <v>244</v>
      </c>
      <c r="C678" t="s">
        <v>253</v>
      </c>
      <c r="D678" t="s">
        <v>254</v>
      </c>
      <c r="E678" t="s">
        <v>188</v>
      </c>
      <c r="F678" t="s">
        <v>23</v>
      </c>
      <c r="G678">
        <v>39</v>
      </c>
      <c r="H678">
        <v>352</v>
      </c>
      <c r="I678">
        <v>132</v>
      </c>
      <c r="J678">
        <v>259</v>
      </c>
      <c r="K678">
        <v>109</v>
      </c>
      <c r="L678" t="b">
        <v>0</v>
      </c>
      <c r="M678">
        <v>320.04000000000002</v>
      </c>
      <c r="N678">
        <v>82889.210000000006</v>
      </c>
      <c r="O678" t="s">
        <v>60</v>
      </c>
      <c r="P678" t="str">
        <f>IF(J678=G678+H678-I678,"OK","Check")</f>
        <v>OK</v>
      </c>
      <c r="Q678" t="str">
        <f>IF(AND(J678&lt;=K678,L678=TRUE),"OK",IF(AND(J678&gt;K678,L678=FALSE),"OK","Check"))</f>
        <v>OK</v>
      </c>
      <c r="R678" t="str">
        <f>IF(ABS(N678-J678*M678)&lt;=J678*0.005+0.01,"OK","Check")</f>
        <v>OK</v>
      </c>
      <c r="S678" s="3">
        <f t="shared" si="10"/>
        <v>1</v>
      </c>
    </row>
    <row r="679" spans="1:19">
      <c r="A679" s="1">
        <v>46082</v>
      </c>
      <c r="B679" t="s">
        <v>244</v>
      </c>
      <c r="C679" t="s">
        <v>197</v>
      </c>
      <c r="D679" t="s">
        <v>198</v>
      </c>
      <c r="E679" t="s">
        <v>188</v>
      </c>
      <c r="F679" t="s">
        <v>23</v>
      </c>
      <c r="G679">
        <v>285</v>
      </c>
      <c r="H679">
        <v>0</v>
      </c>
      <c r="I679">
        <v>139</v>
      </c>
      <c r="J679">
        <v>146</v>
      </c>
      <c r="K679">
        <v>122</v>
      </c>
      <c r="L679" t="b">
        <v>0</v>
      </c>
      <c r="M679">
        <v>107.73</v>
      </c>
      <c r="N679">
        <v>15728.77</v>
      </c>
      <c r="O679" t="s">
        <v>98</v>
      </c>
      <c r="P679" t="str">
        <f>IF(J679=G679+H679-I679,"OK","Check")</f>
        <v>OK</v>
      </c>
      <c r="Q679" t="str">
        <f>IF(AND(J679&lt;=K679,L679=TRUE),"OK",IF(AND(J679&gt;K679,L679=FALSE),"OK","Check"))</f>
        <v>OK</v>
      </c>
      <c r="R679" t="str">
        <f>IF(ABS(N679-J679*M679)&lt;=J679*0.005+0.01,"OK","Check")</f>
        <v>OK</v>
      </c>
      <c r="S679" s="3">
        <f t="shared" si="10"/>
        <v>1</v>
      </c>
    </row>
    <row r="680" spans="1:19">
      <c r="A680" s="1">
        <v>46082</v>
      </c>
      <c r="B680" t="s">
        <v>244</v>
      </c>
      <c r="C680" t="s">
        <v>199</v>
      </c>
      <c r="D680" t="s">
        <v>200</v>
      </c>
      <c r="E680" t="s">
        <v>188</v>
      </c>
      <c r="F680" t="s">
        <v>23</v>
      </c>
      <c r="G680">
        <v>74</v>
      </c>
      <c r="H680">
        <v>231</v>
      </c>
      <c r="I680">
        <v>54</v>
      </c>
      <c r="J680">
        <v>251</v>
      </c>
      <c r="K680">
        <v>79</v>
      </c>
      <c r="L680" t="b">
        <v>0</v>
      </c>
      <c r="M680">
        <v>516.14</v>
      </c>
      <c r="N680">
        <v>129550.64</v>
      </c>
      <c r="O680" t="s">
        <v>98</v>
      </c>
      <c r="P680" t="str">
        <f>IF(J680=G680+H680-I680,"OK","Check")</f>
        <v>OK</v>
      </c>
      <c r="Q680" t="str">
        <f>IF(AND(J680&lt;=K680,L680=TRUE),"OK",IF(AND(J680&gt;K680,L680=FALSE),"OK","Check"))</f>
        <v>OK</v>
      </c>
      <c r="R680" t="str">
        <f>IF(ABS(N680-J680*M680)&lt;=J680*0.005+0.01,"OK","Check")</f>
        <v>OK</v>
      </c>
      <c r="S680" s="3">
        <f t="shared" si="10"/>
        <v>1</v>
      </c>
    </row>
    <row r="681" spans="1:19">
      <c r="A681" s="1">
        <v>46082</v>
      </c>
      <c r="B681" t="s">
        <v>244</v>
      </c>
      <c r="C681" t="s">
        <v>201</v>
      </c>
      <c r="D681" t="s">
        <v>202</v>
      </c>
      <c r="E681" t="s">
        <v>188</v>
      </c>
      <c r="F681" t="s">
        <v>23</v>
      </c>
      <c r="G681">
        <v>444</v>
      </c>
      <c r="H681">
        <v>0</v>
      </c>
      <c r="I681">
        <v>266</v>
      </c>
      <c r="J681">
        <v>178</v>
      </c>
      <c r="K681">
        <v>221</v>
      </c>
      <c r="L681" t="b">
        <v>1</v>
      </c>
      <c r="M681">
        <v>874.46</v>
      </c>
      <c r="N681">
        <v>155654.42000000001</v>
      </c>
      <c r="O681" t="s">
        <v>47</v>
      </c>
      <c r="P681" t="str">
        <f>IF(J681=G681+H681-I681,"OK","Check")</f>
        <v>OK</v>
      </c>
      <c r="Q681" t="str">
        <f>IF(AND(J681&lt;=K681,L681=TRUE),"OK",IF(AND(J681&gt;K681,L681=FALSE),"OK","Check"))</f>
        <v>OK</v>
      </c>
      <c r="R681" t="str">
        <f>IF(ABS(N681-J681*M681)&lt;=J681*0.005+0.01,"OK","Check")</f>
        <v>OK</v>
      </c>
      <c r="S681" s="3">
        <f t="shared" si="10"/>
        <v>1</v>
      </c>
    </row>
    <row r="682" spans="1:19">
      <c r="A682" s="1">
        <v>46082</v>
      </c>
      <c r="B682" t="s">
        <v>244</v>
      </c>
      <c r="C682" t="s">
        <v>203</v>
      </c>
      <c r="D682" t="s">
        <v>204</v>
      </c>
      <c r="E682" t="s">
        <v>188</v>
      </c>
      <c r="F682" t="s">
        <v>23</v>
      </c>
      <c r="G682">
        <v>227</v>
      </c>
      <c r="H682">
        <v>0</v>
      </c>
      <c r="I682">
        <v>131</v>
      </c>
      <c r="J682">
        <v>96</v>
      </c>
      <c r="K682">
        <v>153</v>
      </c>
      <c r="L682" t="b">
        <v>1</v>
      </c>
      <c r="M682">
        <v>4554.95</v>
      </c>
      <c r="N682">
        <v>437274.91</v>
      </c>
      <c r="O682" t="s">
        <v>47</v>
      </c>
      <c r="P682" t="str">
        <f>IF(J682=G682+H682-I682,"OK","Check")</f>
        <v>OK</v>
      </c>
      <c r="Q682" t="str">
        <f>IF(AND(J682&lt;=K682,L682=TRUE),"OK",IF(AND(J682&gt;K682,L682=FALSE),"OK","Check"))</f>
        <v>OK</v>
      </c>
      <c r="R682" t="str">
        <f>IF(ABS(N682-J682*M682)&lt;=J682*0.005+0.01,"OK","Check")</f>
        <v>OK</v>
      </c>
      <c r="S682" s="3">
        <f t="shared" si="10"/>
        <v>1</v>
      </c>
    </row>
    <row r="683" spans="1:19">
      <c r="A683" s="1">
        <v>46082</v>
      </c>
      <c r="B683" t="s">
        <v>244</v>
      </c>
      <c r="C683" t="s">
        <v>205</v>
      </c>
      <c r="D683" t="s">
        <v>206</v>
      </c>
      <c r="E683" t="s">
        <v>188</v>
      </c>
      <c r="F683" t="s">
        <v>23</v>
      </c>
      <c r="G683">
        <v>648</v>
      </c>
      <c r="H683">
        <v>0</v>
      </c>
      <c r="I683">
        <v>261</v>
      </c>
      <c r="J683">
        <v>387</v>
      </c>
      <c r="K683">
        <v>283</v>
      </c>
      <c r="L683" t="b">
        <v>0</v>
      </c>
      <c r="M683">
        <v>86.65</v>
      </c>
      <c r="N683">
        <v>33534.68</v>
      </c>
      <c r="O683" t="s">
        <v>98</v>
      </c>
      <c r="P683" t="str">
        <f>IF(J683=G683+H683-I683,"OK","Check")</f>
        <v>OK</v>
      </c>
      <c r="Q683" t="str">
        <f>IF(AND(J683&lt;=K683,L683=TRUE),"OK",IF(AND(J683&gt;K683,L683=FALSE),"OK","Check"))</f>
        <v>OK</v>
      </c>
      <c r="R683" t="str">
        <f>IF(ABS(N683-J683*M683)&lt;=J683*0.005+0.01,"OK","Check")</f>
        <v>OK</v>
      </c>
      <c r="S683" s="3">
        <f t="shared" si="10"/>
        <v>1</v>
      </c>
    </row>
    <row r="684" spans="1:19">
      <c r="A684" s="1">
        <v>46082</v>
      </c>
      <c r="B684" t="s">
        <v>244</v>
      </c>
      <c r="C684" t="s">
        <v>255</v>
      </c>
      <c r="D684" t="s">
        <v>256</v>
      </c>
      <c r="E684" t="s">
        <v>188</v>
      </c>
      <c r="F684" t="s">
        <v>23</v>
      </c>
      <c r="G684">
        <v>65</v>
      </c>
      <c r="H684">
        <v>0</v>
      </c>
      <c r="I684">
        <v>55</v>
      </c>
      <c r="J684">
        <v>10</v>
      </c>
      <c r="K684">
        <v>45</v>
      </c>
      <c r="L684" t="b">
        <v>1</v>
      </c>
      <c r="M684">
        <v>406.62</v>
      </c>
      <c r="N684">
        <v>4066.2</v>
      </c>
      <c r="O684" t="s">
        <v>37</v>
      </c>
      <c r="P684" t="str">
        <f>IF(J684=G684+H684-I684,"OK","Check")</f>
        <v>OK</v>
      </c>
      <c r="Q684" t="str">
        <f>IF(AND(J684&lt;=K684,L684=TRUE),"OK",IF(AND(J684&gt;K684,L684=FALSE),"OK","Check"))</f>
        <v>OK</v>
      </c>
      <c r="R684" t="str">
        <f>IF(ABS(N684-J684*M684)&lt;=J684*0.005+0.01,"OK","Check")</f>
        <v>OK</v>
      </c>
      <c r="S684" s="3">
        <f t="shared" si="10"/>
        <v>1</v>
      </c>
    </row>
    <row r="685" spans="1:19">
      <c r="A685" s="1">
        <v>46082</v>
      </c>
      <c r="B685" t="s">
        <v>244</v>
      </c>
      <c r="C685" t="s">
        <v>207</v>
      </c>
      <c r="D685" t="s">
        <v>208</v>
      </c>
      <c r="E685" t="s">
        <v>188</v>
      </c>
      <c r="F685" t="s">
        <v>23</v>
      </c>
      <c r="G685">
        <v>203</v>
      </c>
      <c r="H685">
        <v>307</v>
      </c>
      <c r="I685">
        <v>93</v>
      </c>
      <c r="J685">
        <v>417</v>
      </c>
      <c r="K685">
        <v>115</v>
      </c>
      <c r="L685" t="b">
        <v>0</v>
      </c>
      <c r="M685">
        <v>72.41</v>
      </c>
      <c r="N685">
        <v>30193.34</v>
      </c>
      <c r="O685" t="s">
        <v>47</v>
      </c>
      <c r="P685" t="str">
        <f>IF(J685=G685+H685-I685,"OK","Check")</f>
        <v>OK</v>
      </c>
      <c r="Q685" t="str">
        <f>IF(AND(J685&lt;=K685,L685=TRUE),"OK",IF(AND(J685&gt;K685,L685=FALSE),"OK","Check"))</f>
        <v>OK</v>
      </c>
      <c r="R685" t="str">
        <f>IF(ABS(N685-J685*M685)&lt;=J685*0.005+0.01,"OK","Check")</f>
        <v>OK</v>
      </c>
      <c r="S685" s="3">
        <f t="shared" si="10"/>
        <v>1</v>
      </c>
    </row>
    <row r="686" spans="1:19">
      <c r="A686" s="1">
        <v>46082</v>
      </c>
      <c r="B686" t="s">
        <v>244</v>
      </c>
      <c r="C686" t="s">
        <v>209</v>
      </c>
      <c r="D686" t="s">
        <v>210</v>
      </c>
      <c r="E686" t="s">
        <v>188</v>
      </c>
      <c r="F686" t="s">
        <v>23</v>
      </c>
      <c r="G686">
        <v>186</v>
      </c>
      <c r="H686">
        <v>0</v>
      </c>
      <c r="I686">
        <v>94</v>
      </c>
      <c r="J686">
        <v>92</v>
      </c>
      <c r="K686">
        <v>124</v>
      </c>
      <c r="L686" t="b">
        <v>1</v>
      </c>
      <c r="M686">
        <v>357.16</v>
      </c>
      <c r="N686">
        <v>32858.58</v>
      </c>
      <c r="O686" t="s">
        <v>37</v>
      </c>
      <c r="P686" t="str">
        <f>IF(J686=G686+H686-I686,"OK","Check")</f>
        <v>OK</v>
      </c>
      <c r="Q686" t="str">
        <f>IF(AND(J686&lt;=K686,L686=TRUE),"OK",IF(AND(J686&gt;K686,L686=FALSE),"OK","Check"))</f>
        <v>OK</v>
      </c>
      <c r="R686" t="str">
        <f>IF(ABS(N686-J686*M686)&lt;=J686*0.005+0.01,"OK","Check")</f>
        <v>OK</v>
      </c>
      <c r="S686" s="3">
        <f t="shared" si="10"/>
        <v>1</v>
      </c>
    </row>
    <row r="687" spans="1:19">
      <c r="A687" s="1">
        <v>46082</v>
      </c>
      <c r="B687" t="s">
        <v>244</v>
      </c>
      <c r="C687" t="s">
        <v>211</v>
      </c>
      <c r="D687" t="s">
        <v>212</v>
      </c>
      <c r="E687" t="s">
        <v>188</v>
      </c>
      <c r="F687" t="s">
        <v>23</v>
      </c>
      <c r="G687">
        <v>250</v>
      </c>
      <c r="H687">
        <v>385</v>
      </c>
      <c r="I687">
        <v>94</v>
      </c>
      <c r="J687">
        <v>541</v>
      </c>
      <c r="K687">
        <v>243</v>
      </c>
      <c r="L687" t="b">
        <v>0</v>
      </c>
      <c r="M687">
        <v>458.54</v>
      </c>
      <c r="N687">
        <v>248071.32</v>
      </c>
      <c r="O687" t="s">
        <v>60</v>
      </c>
      <c r="P687" t="str">
        <f>IF(J687=G687+H687-I687,"OK","Check")</f>
        <v>OK</v>
      </c>
      <c r="Q687" t="str">
        <f>IF(AND(J687&lt;=K687,L687=TRUE),"OK",IF(AND(J687&gt;K687,L687=FALSE),"OK","Check"))</f>
        <v>OK</v>
      </c>
      <c r="R687" t="str">
        <f>IF(ABS(N687-J687*M687)&lt;=J687*0.005+0.01,"OK","Check")</f>
        <v>OK</v>
      </c>
      <c r="S687" s="3">
        <f t="shared" si="10"/>
        <v>1</v>
      </c>
    </row>
    <row r="688" spans="1:19">
      <c r="A688" s="1">
        <v>46082</v>
      </c>
      <c r="B688" t="s">
        <v>244</v>
      </c>
      <c r="C688" t="s">
        <v>213</v>
      </c>
      <c r="D688" t="s">
        <v>214</v>
      </c>
      <c r="E688" t="s">
        <v>188</v>
      </c>
      <c r="F688" t="s">
        <v>23</v>
      </c>
      <c r="G688">
        <v>172</v>
      </c>
      <c r="H688">
        <v>499</v>
      </c>
      <c r="I688">
        <v>193</v>
      </c>
      <c r="J688">
        <v>478</v>
      </c>
      <c r="K688">
        <v>161</v>
      </c>
      <c r="L688" t="b">
        <v>0</v>
      </c>
      <c r="M688">
        <v>331.73</v>
      </c>
      <c r="N688">
        <v>158564.87</v>
      </c>
      <c r="O688" t="s">
        <v>44</v>
      </c>
      <c r="P688" t="str">
        <f>IF(J688=G688+H688-I688,"OK","Check")</f>
        <v>OK</v>
      </c>
      <c r="Q688" t="str">
        <f>IF(AND(J688&lt;=K688,L688=TRUE),"OK",IF(AND(J688&gt;K688,L688=FALSE),"OK","Check"))</f>
        <v>OK</v>
      </c>
      <c r="R688" t="str">
        <f>IF(ABS(N688-J688*M688)&lt;=J688*0.005+0.01,"OK","Check")</f>
        <v>OK</v>
      </c>
      <c r="S688" s="3">
        <f t="shared" si="10"/>
        <v>1</v>
      </c>
    </row>
    <row r="689" spans="1:19">
      <c r="A689" s="1">
        <v>46082</v>
      </c>
      <c r="B689" t="s">
        <v>244</v>
      </c>
      <c r="C689" t="s">
        <v>220</v>
      </c>
      <c r="D689" t="s">
        <v>221</v>
      </c>
      <c r="E689" t="s">
        <v>219</v>
      </c>
      <c r="F689" t="s">
        <v>23</v>
      </c>
      <c r="G689">
        <v>90</v>
      </c>
      <c r="H689">
        <v>0</v>
      </c>
      <c r="I689">
        <v>34</v>
      </c>
      <c r="J689">
        <v>56</v>
      </c>
      <c r="K689">
        <v>49</v>
      </c>
      <c r="L689" t="b">
        <v>0</v>
      </c>
      <c r="M689">
        <v>83.21</v>
      </c>
      <c r="N689">
        <v>4659.8900000000003</v>
      </c>
      <c r="O689" t="s">
        <v>60</v>
      </c>
      <c r="P689" t="str">
        <f>IF(J689=G689+H689-I689,"OK","Check")</f>
        <v>OK</v>
      </c>
      <c r="Q689" t="str">
        <f>IF(AND(J689&lt;=K689,L689=TRUE),"OK",IF(AND(J689&gt;K689,L689=FALSE),"OK","Check"))</f>
        <v>OK</v>
      </c>
      <c r="R689" t="str">
        <f>IF(ABS(N689-J689*M689)&lt;=J689*0.005+0.01,"OK","Check")</f>
        <v>OK</v>
      </c>
      <c r="S689" s="3">
        <f t="shared" si="10"/>
        <v>1</v>
      </c>
    </row>
    <row r="690" spans="1:19">
      <c r="A690" s="1">
        <v>46082</v>
      </c>
      <c r="B690" t="s">
        <v>244</v>
      </c>
      <c r="C690" t="s">
        <v>222</v>
      </c>
      <c r="D690" t="s">
        <v>223</v>
      </c>
      <c r="E690" t="s">
        <v>219</v>
      </c>
      <c r="F690" t="s">
        <v>23</v>
      </c>
      <c r="G690">
        <v>2</v>
      </c>
      <c r="H690">
        <v>164</v>
      </c>
      <c r="I690">
        <v>71</v>
      </c>
      <c r="J690">
        <v>95</v>
      </c>
      <c r="K690">
        <v>55</v>
      </c>
      <c r="L690" t="b">
        <v>0</v>
      </c>
      <c r="M690">
        <v>45.29</v>
      </c>
      <c r="N690">
        <v>4302.7700000000004</v>
      </c>
      <c r="O690" t="s">
        <v>37</v>
      </c>
      <c r="P690" t="str">
        <f>IF(J690=G690+H690-I690,"OK","Check")</f>
        <v>OK</v>
      </c>
      <c r="Q690" t="str">
        <f>IF(AND(J690&lt;=K690,L690=TRUE),"OK",IF(AND(J690&gt;K690,L690=FALSE),"OK","Check"))</f>
        <v>OK</v>
      </c>
      <c r="R690" t="str">
        <f>IF(ABS(N690-J690*M690)&lt;=J690*0.005+0.01,"OK","Check")</f>
        <v>OK</v>
      </c>
      <c r="S690" s="3">
        <f t="shared" si="10"/>
        <v>1</v>
      </c>
    </row>
    <row r="691" spans="1:19">
      <c r="A691" s="1">
        <v>46082</v>
      </c>
      <c r="B691" t="s">
        <v>244</v>
      </c>
      <c r="C691" t="s">
        <v>228</v>
      </c>
      <c r="D691" t="s">
        <v>229</v>
      </c>
      <c r="E691" t="s">
        <v>219</v>
      </c>
      <c r="F691" t="s">
        <v>23</v>
      </c>
      <c r="G691">
        <v>44</v>
      </c>
      <c r="H691">
        <v>82</v>
      </c>
      <c r="I691">
        <v>36</v>
      </c>
      <c r="J691">
        <v>90</v>
      </c>
      <c r="K691">
        <v>47</v>
      </c>
      <c r="L691" t="b">
        <v>0</v>
      </c>
      <c r="M691">
        <v>48.96</v>
      </c>
      <c r="N691">
        <v>4406.16</v>
      </c>
      <c r="O691" t="s">
        <v>44</v>
      </c>
      <c r="P691" t="str">
        <f>IF(J691=G691+H691-I691,"OK","Check")</f>
        <v>OK</v>
      </c>
      <c r="Q691" t="str">
        <f>IF(AND(J691&lt;=K691,L691=TRUE),"OK",IF(AND(J691&gt;K691,L691=FALSE),"OK","Check"))</f>
        <v>OK</v>
      </c>
      <c r="R691" t="str">
        <f>IF(ABS(N691-J691*M691)&lt;=J691*0.005+0.01,"OK","Check")</f>
        <v>OK</v>
      </c>
      <c r="S691" s="3">
        <f t="shared" si="10"/>
        <v>1</v>
      </c>
    </row>
    <row r="692" spans="1:19">
      <c r="A692" s="1">
        <v>46082</v>
      </c>
      <c r="B692" t="s">
        <v>244</v>
      </c>
      <c r="C692" t="s">
        <v>230</v>
      </c>
      <c r="D692" t="s">
        <v>231</v>
      </c>
      <c r="E692" t="s">
        <v>219</v>
      </c>
      <c r="F692" t="s">
        <v>23</v>
      </c>
      <c r="G692">
        <v>38</v>
      </c>
      <c r="H692">
        <v>0</v>
      </c>
      <c r="I692">
        <v>13</v>
      </c>
      <c r="J692">
        <v>25</v>
      </c>
      <c r="K692">
        <v>23</v>
      </c>
      <c r="L692" t="b">
        <v>0</v>
      </c>
      <c r="M692">
        <v>192.44</v>
      </c>
      <c r="N692">
        <v>4811.03</v>
      </c>
      <c r="O692" t="s">
        <v>32</v>
      </c>
      <c r="P692" t="str">
        <f>IF(J692=G692+H692-I692,"OK","Check")</f>
        <v>OK</v>
      </c>
      <c r="Q692" t="str">
        <f>IF(AND(J692&lt;=K692,L692=TRUE),"OK",IF(AND(J692&gt;K692,L692=FALSE),"OK","Check"))</f>
        <v>OK</v>
      </c>
      <c r="R692" t="str">
        <f>IF(ABS(N692-J692*M692)&lt;=J692*0.005+0.01,"OK","Check")</f>
        <v>OK</v>
      </c>
      <c r="S692" s="3">
        <f t="shared" si="10"/>
        <v>1</v>
      </c>
    </row>
    <row r="693" spans="1:19">
      <c r="A693" s="1">
        <v>46082</v>
      </c>
      <c r="B693" t="s">
        <v>244</v>
      </c>
      <c r="C693" t="s">
        <v>257</v>
      </c>
      <c r="D693" t="s">
        <v>258</v>
      </c>
      <c r="E693" t="s">
        <v>219</v>
      </c>
      <c r="F693" t="s">
        <v>23</v>
      </c>
      <c r="G693">
        <v>155</v>
      </c>
      <c r="H693">
        <v>0</v>
      </c>
      <c r="I693">
        <v>96</v>
      </c>
      <c r="J693">
        <v>59</v>
      </c>
      <c r="K693">
        <v>84</v>
      </c>
      <c r="L693" t="b">
        <v>1</v>
      </c>
      <c r="M693">
        <v>777.17</v>
      </c>
      <c r="N693">
        <v>45852.95</v>
      </c>
      <c r="O693" t="s">
        <v>47</v>
      </c>
      <c r="P693" t="str">
        <f>IF(J693=G693+H693-I693,"OK","Check")</f>
        <v>OK</v>
      </c>
      <c r="Q693" t="str">
        <f>IF(AND(J693&lt;=K693,L693=TRUE),"OK",IF(AND(J693&gt;K693,L693=FALSE),"OK","Check"))</f>
        <v>OK</v>
      </c>
      <c r="R693" t="str">
        <f>IF(ABS(N693-J693*M693)&lt;=J693*0.005+0.01,"OK","Check")</f>
        <v>OK</v>
      </c>
      <c r="S693" s="3">
        <f t="shared" si="10"/>
        <v>1</v>
      </c>
    </row>
    <row r="694" spans="1:19">
      <c r="A694" s="1">
        <v>46082</v>
      </c>
      <c r="B694" t="s">
        <v>244</v>
      </c>
      <c r="C694" t="s">
        <v>259</v>
      </c>
      <c r="D694" t="s">
        <v>260</v>
      </c>
      <c r="E694" t="s">
        <v>219</v>
      </c>
      <c r="F694" t="s">
        <v>23</v>
      </c>
      <c r="G694">
        <v>151</v>
      </c>
      <c r="H694">
        <v>519</v>
      </c>
      <c r="I694">
        <v>173</v>
      </c>
      <c r="J694">
        <v>497</v>
      </c>
      <c r="K694">
        <v>165</v>
      </c>
      <c r="L694" t="b">
        <v>0</v>
      </c>
      <c r="M694">
        <v>511.91</v>
      </c>
      <c r="N694">
        <v>254419.62</v>
      </c>
      <c r="O694" t="s">
        <v>60</v>
      </c>
      <c r="P694" t="str">
        <f>IF(J694=G694+H694-I694,"OK","Check")</f>
        <v>OK</v>
      </c>
      <c r="Q694" t="str">
        <f>IF(AND(J694&lt;=K694,L694=TRUE),"OK",IF(AND(J694&gt;K694,L694=FALSE),"OK","Check"))</f>
        <v>OK</v>
      </c>
      <c r="R694" t="str">
        <f>IF(ABS(N694-J694*M694)&lt;=J694*0.005+0.01,"OK","Check")</f>
        <v>OK</v>
      </c>
      <c r="S694" s="3">
        <f t="shared" si="10"/>
        <v>1</v>
      </c>
    </row>
    <row r="695" spans="1:19">
      <c r="A695" s="1">
        <v>46082</v>
      </c>
      <c r="B695" t="s">
        <v>244</v>
      </c>
      <c r="C695" t="s">
        <v>234</v>
      </c>
      <c r="D695" t="s">
        <v>235</v>
      </c>
      <c r="E695" t="s">
        <v>219</v>
      </c>
      <c r="F695" t="s">
        <v>23</v>
      </c>
      <c r="G695">
        <v>143</v>
      </c>
      <c r="H695">
        <v>372</v>
      </c>
      <c r="I695">
        <v>143</v>
      </c>
      <c r="J695">
        <v>372</v>
      </c>
      <c r="K695">
        <v>148</v>
      </c>
      <c r="L695" t="b">
        <v>0</v>
      </c>
      <c r="M695">
        <v>2312.1</v>
      </c>
      <c r="N695">
        <v>860101.46</v>
      </c>
      <c r="O695" t="s">
        <v>47</v>
      </c>
      <c r="P695" t="str">
        <f>IF(J695=G695+H695-I695,"OK","Check")</f>
        <v>OK</v>
      </c>
      <c r="Q695" t="str">
        <f>IF(AND(J695&lt;=K695,L695=TRUE),"OK",IF(AND(J695&gt;K695,L695=FALSE),"OK","Check"))</f>
        <v>OK</v>
      </c>
      <c r="R695" t="str">
        <f>IF(ABS(N695-J695*M695)&lt;=J695*0.005+0.01,"OK","Check")</f>
        <v>OK</v>
      </c>
      <c r="S695" s="3">
        <f t="shared" si="10"/>
        <v>1</v>
      </c>
    </row>
    <row r="696" spans="1:19">
      <c r="A696" s="1">
        <v>46082</v>
      </c>
      <c r="B696" t="s">
        <v>244</v>
      </c>
      <c r="C696" t="s">
        <v>261</v>
      </c>
      <c r="D696" t="s">
        <v>262</v>
      </c>
      <c r="E696" t="s">
        <v>219</v>
      </c>
      <c r="F696" t="s">
        <v>23</v>
      </c>
      <c r="G696">
        <v>271</v>
      </c>
      <c r="H696">
        <v>0</v>
      </c>
      <c r="I696">
        <v>226</v>
      </c>
      <c r="J696">
        <v>45</v>
      </c>
      <c r="K696">
        <v>187</v>
      </c>
      <c r="L696" t="b">
        <v>1</v>
      </c>
      <c r="M696">
        <v>291.01</v>
      </c>
      <c r="N696">
        <v>13095.36</v>
      </c>
      <c r="O696" t="s">
        <v>60</v>
      </c>
      <c r="P696" t="str">
        <f>IF(J696=G696+H696-I696,"OK","Check")</f>
        <v>OK</v>
      </c>
      <c r="Q696" t="str">
        <f>IF(AND(J696&lt;=K696,L696=TRUE),"OK",IF(AND(J696&gt;K696,L696=FALSE),"OK","Check"))</f>
        <v>OK</v>
      </c>
      <c r="R696" t="str">
        <f>IF(ABS(N696-J696*M696)&lt;=J696*0.005+0.01,"OK","Check")</f>
        <v>OK</v>
      </c>
      <c r="S696" s="3">
        <f t="shared" si="10"/>
        <v>1</v>
      </c>
    </row>
    <row r="697" spans="1:19">
      <c r="A697" s="1">
        <v>46082</v>
      </c>
      <c r="B697" t="s">
        <v>244</v>
      </c>
      <c r="C697" t="s">
        <v>236</v>
      </c>
      <c r="D697" t="s">
        <v>237</v>
      </c>
      <c r="E697" t="s">
        <v>219</v>
      </c>
      <c r="F697" t="s">
        <v>23</v>
      </c>
      <c r="G697">
        <v>274</v>
      </c>
      <c r="H697">
        <v>0</v>
      </c>
      <c r="I697">
        <v>202</v>
      </c>
      <c r="J697">
        <v>72</v>
      </c>
      <c r="K697">
        <v>203</v>
      </c>
      <c r="L697" t="b">
        <v>1</v>
      </c>
      <c r="M697">
        <v>994.99</v>
      </c>
      <c r="N697">
        <v>71639.09</v>
      </c>
      <c r="O697" t="s">
        <v>98</v>
      </c>
      <c r="P697" t="str">
        <f>IF(J697=G697+H697-I697,"OK","Check")</f>
        <v>OK</v>
      </c>
      <c r="Q697" t="str">
        <f>IF(AND(J697&lt;=K697,L697=TRUE),"OK",IF(AND(J697&gt;K697,L697=FALSE),"OK","Check"))</f>
        <v>OK</v>
      </c>
      <c r="R697" t="str">
        <f>IF(ABS(N697-J697*M697)&lt;=J697*0.005+0.01,"OK","Check")</f>
        <v>OK</v>
      </c>
      <c r="S697" s="3">
        <f t="shared" si="10"/>
        <v>1</v>
      </c>
    </row>
    <row r="698" spans="1:19">
      <c r="A698" s="1">
        <v>46082</v>
      </c>
      <c r="B698" t="s">
        <v>244</v>
      </c>
      <c r="C698" t="s">
        <v>263</v>
      </c>
      <c r="D698" t="s">
        <v>264</v>
      </c>
      <c r="E698" t="s">
        <v>219</v>
      </c>
      <c r="F698" t="s">
        <v>23</v>
      </c>
      <c r="G698">
        <v>211</v>
      </c>
      <c r="H698">
        <v>685</v>
      </c>
      <c r="I698">
        <v>153</v>
      </c>
      <c r="J698">
        <v>743</v>
      </c>
      <c r="K698">
        <v>311</v>
      </c>
      <c r="L698" t="b">
        <v>0</v>
      </c>
      <c r="M698">
        <v>33.479999999999997</v>
      </c>
      <c r="N698">
        <v>24879.119999999999</v>
      </c>
      <c r="O698" t="s">
        <v>27</v>
      </c>
      <c r="P698" t="str">
        <f>IF(J698=G698+H698-I698,"OK","Check")</f>
        <v>OK</v>
      </c>
      <c r="Q698" t="str">
        <f>IF(AND(J698&lt;=K698,L698=TRUE),"OK",IF(AND(J698&gt;K698,L698=FALSE),"OK","Check"))</f>
        <v>OK</v>
      </c>
      <c r="R698" t="str">
        <f>IF(ABS(N698-J698*M698)&lt;=J698*0.005+0.01,"OK","Check")</f>
        <v>OK</v>
      </c>
      <c r="S698" s="3">
        <f t="shared" si="10"/>
        <v>1</v>
      </c>
    </row>
    <row r="699" spans="1:19">
      <c r="A699" s="1">
        <v>46082</v>
      </c>
      <c r="B699" t="s">
        <v>244</v>
      </c>
      <c r="C699" t="s">
        <v>238</v>
      </c>
      <c r="D699" t="s">
        <v>239</v>
      </c>
      <c r="E699" t="s">
        <v>219</v>
      </c>
      <c r="F699" t="s">
        <v>23</v>
      </c>
      <c r="G699">
        <v>189</v>
      </c>
      <c r="H699">
        <v>0</v>
      </c>
      <c r="I699">
        <v>53</v>
      </c>
      <c r="J699">
        <v>136</v>
      </c>
      <c r="K699">
        <v>109</v>
      </c>
      <c r="L699" t="b">
        <v>0</v>
      </c>
      <c r="M699">
        <v>172.42</v>
      </c>
      <c r="N699">
        <v>23449.71</v>
      </c>
      <c r="O699" t="s">
        <v>32</v>
      </c>
      <c r="P699" t="str">
        <f>IF(J699=G699+H699-I699,"OK","Check")</f>
        <v>OK</v>
      </c>
      <c r="Q699" t="str">
        <f>IF(AND(J699&lt;=K699,L699=TRUE),"OK",IF(AND(J699&gt;K699,L699=FALSE),"OK","Check"))</f>
        <v>OK</v>
      </c>
      <c r="R699" t="str">
        <f>IF(ABS(N699-J699*M699)&lt;=J699*0.005+0.01,"OK","Check")</f>
        <v>OK</v>
      </c>
      <c r="S699" s="3">
        <f t="shared" si="10"/>
        <v>1</v>
      </c>
    </row>
    <row r="700" spans="1:19">
      <c r="A700" s="1">
        <v>46082</v>
      </c>
      <c r="B700" t="s">
        <v>244</v>
      </c>
      <c r="C700" t="s">
        <v>242</v>
      </c>
      <c r="D700" t="s">
        <v>243</v>
      </c>
      <c r="E700" t="s">
        <v>219</v>
      </c>
      <c r="F700" t="s">
        <v>23</v>
      </c>
      <c r="G700">
        <v>48</v>
      </c>
      <c r="H700">
        <v>420</v>
      </c>
      <c r="I700">
        <v>89</v>
      </c>
      <c r="J700">
        <v>379</v>
      </c>
      <c r="K700">
        <v>160</v>
      </c>
      <c r="L700" t="b">
        <v>0</v>
      </c>
      <c r="M700">
        <v>284.98</v>
      </c>
      <c r="N700">
        <v>108009.01</v>
      </c>
      <c r="O700" t="s">
        <v>60</v>
      </c>
      <c r="P700" t="str">
        <f>IF(J700=G700+H700-I700,"OK","Check")</f>
        <v>OK</v>
      </c>
      <c r="Q700" t="str">
        <f>IF(AND(J700&lt;=K700,L700=TRUE),"OK",IF(AND(J700&gt;K700,L700=FALSE),"OK","Check"))</f>
        <v>OK</v>
      </c>
      <c r="R700" t="str">
        <f>IF(ABS(N700-J700*M700)&lt;=J700*0.005+0.01,"OK","Check")</f>
        <v>OK</v>
      </c>
      <c r="S700" s="3">
        <f t="shared" si="10"/>
        <v>1</v>
      </c>
    </row>
    <row r="701" spans="1:19">
      <c r="A701" s="1">
        <v>46082</v>
      </c>
      <c r="B701" t="s">
        <v>265</v>
      </c>
      <c r="C701" t="s">
        <v>20</v>
      </c>
      <c r="D701" t="s">
        <v>21</v>
      </c>
      <c r="E701" t="s">
        <v>22</v>
      </c>
      <c r="F701" t="s">
        <v>23</v>
      </c>
      <c r="G701">
        <v>523</v>
      </c>
      <c r="H701">
        <v>0</v>
      </c>
      <c r="I701">
        <v>284</v>
      </c>
      <c r="J701">
        <v>239</v>
      </c>
      <c r="K701">
        <v>230</v>
      </c>
      <c r="L701" t="b">
        <v>0</v>
      </c>
      <c r="M701">
        <v>280.97000000000003</v>
      </c>
      <c r="N701">
        <v>67151.899999999994</v>
      </c>
      <c r="O701" t="s">
        <v>24</v>
      </c>
      <c r="P701" t="str">
        <f>IF(J701=G701+H701-I701,"OK","Check")</f>
        <v>OK</v>
      </c>
      <c r="Q701" t="str">
        <f>IF(AND(J701&lt;=K701,L701=TRUE),"OK",IF(AND(J701&gt;K701,L701=FALSE),"OK","Check"))</f>
        <v>OK</v>
      </c>
      <c r="R701" t="str">
        <f>IF(ABS(N701-J701*M701)&lt;=J701*0.005+0.01,"OK","Check")</f>
        <v>OK</v>
      </c>
      <c r="S701" s="3">
        <f t="shared" si="10"/>
        <v>1</v>
      </c>
    </row>
    <row r="702" spans="1:19">
      <c r="A702" s="1">
        <v>46082</v>
      </c>
      <c r="B702" t="s">
        <v>265</v>
      </c>
      <c r="C702" t="s">
        <v>25</v>
      </c>
      <c r="D702" t="s">
        <v>26</v>
      </c>
      <c r="E702" t="s">
        <v>22</v>
      </c>
      <c r="F702" t="s">
        <v>23</v>
      </c>
      <c r="G702">
        <v>304</v>
      </c>
      <c r="H702">
        <v>0</v>
      </c>
      <c r="I702">
        <v>211</v>
      </c>
      <c r="J702">
        <v>93</v>
      </c>
      <c r="K702">
        <v>189</v>
      </c>
      <c r="L702" t="b">
        <v>1</v>
      </c>
      <c r="M702">
        <v>1146.95</v>
      </c>
      <c r="N702">
        <v>106666.12</v>
      </c>
      <c r="O702" t="s">
        <v>27</v>
      </c>
      <c r="P702" t="str">
        <f>IF(J702=G702+H702-I702,"OK","Check")</f>
        <v>OK</v>
      </c>
      <c r="Q702" t="str">
        <f>IF(AND(J702&lt;=K702,L702=TRUE),"OK",IF(AND(J702&gt;K702,L702=FALSE),"OK","Check"))</f>
        <v>OK</v>
      </c>
      <c r="R702" t="str">
        <f>IF(ABS(N702-J702*M702)&lt;=J702*0.005+0.01,"OK","Check")</f>
        <v>OK</v>
      </c>
      <c r="S702" s="3">
        <f t="shared" si="10"/>
        <v>1</v>
      </c>
    </row>
    <row r="703" spans="1:19">
      <c r="A703" s="1">
        <v>46082</v>
      </c>
      <c r="B703" t="s">
        <v>265</v>
      </c>
      <c r="C703" t="s">
        <v>28</v>
      </c>
      <c r="D703" t="s">
        <v>29</v>
      </c>
      <c r="E703" t="s">
        <v>22</v>
      </c>
      <c r="F703" t="s">
        <v>23</v>
      </c>
      <c r="G703">
        <v>214</v>
      </c>
      <c r="H703">
        <v>679</v>
      </c>
      <c r="I703">
        <v>255</v>
      </c>
      <c r="J703">
        <v>638</v>
      </c>
      <c r="K703">
        <v>181</v>
      </c>
      <c r="L703" t="b">
        <v>0</v>
      </c>
      <c r="M703">
        <v>98.71</v>
      </c>
      <c r="N703">
        <v>62976.12</v>
      </c>
      <c r="O703" t="s">
        <v>24</v>
      </c>
      <c r="P703" t="str">
        <f>IF(J703=G703+H703-I703,"OK","Check")</f>
        <v>OK</v>
      </c>
      <c r="Q703" t="str">
        <f>IF(AND(J703&lt;=K703,L703=TRUE),"OK",IF(AND(J703&gt;K703,L703=FALSE),"OK","Check"))</f>
        <v>OK</v>
      </c>
      <c r="R703" t="str">
        <f>IF(ABS(N703-J703*M703)&lt;=J703*0.005+0.01,"OK","Check")</f>
        <v>OK</v>
      </c>
      <c r="S703" s="3">
        <f t="shared" si="10"/>
        <v>1</v>
      </c>
    </row>
    <row r="704" spans="1:19">
      <c r="A704" s="1">
        <v>46082</v>
      </c>
      <c r="B704" t="s">
        <v>265</v>
      </c>
      <c r="C704" t="s">
        <v>33</v>
      </c>
      <c r="D704" t="s">
        <v>34</v>
      </c>
      <c r="E704" t="s">
        <v>22</v>
      </c>
      <c r="F704" t="s">
        <v>23</v>
      </c>
      <c r="G704">
        <v>28</v>
      </c>
      <c r="H704">
        <v>143</v>
      </c>
      <c r="I704">
        <v>47</v>
      </c>
      <c r="J704">
        <v>124</v>
      </c>
      <c r="K704">
        <v>67</v>
      </c>
      <c r="L704" t="b">
        <v>0</v>
      </c>
      <c r="M704">
        <v>109.52</v>
      </c>
      <c r="N704">
        <v>13580.92</v>
      </c>
      <c r="O704" t="s">
        <v>24</v>
      </c>
      <c r="P704" t="str">
        <f>IF(J704=G704+H704-I704,"OK","Check")</f>
        <v>OK</v>
      </c>
      <c r="Q704" t="str">
        <f>IF(AND(J704&lt;=K704,L704=TRUE),"OK",IF(AND(J704&gt;K704,L704=FALSE),"OK","Check"))</f>
        <v>OK</v>
      </c>
      <c r="R704" t="str">
        <f>IF(ABS(N704-J704*M704)&lt;=J704*0.005+0.01,"OK","Check")</f>
        <v>OK</v>
      </c>
      <c r="S704" s="3">
        <f t="shared" si="10"/>
        <v>1</v>
      </c>
    </row>
    <row r="705" spans="1:19">
      <c r="A705" s="1">
        <v>46082</v>
      </c>
      <c r="B705" t="s">
        <v>265</v>
      </c>
      <c r="C705" t="s">
        <v>35</v>
      </c>
      <c r="D705" t="s">
        <v>36</v>
      </c>
      <c r="E705" t="s">
        <v>22</v>
      </c>
      <c r="F705" t="s">
        <v>23</v>
      </c>
      <c r="G705">
        <v>20</v>
      </c>
      <c r="H705">
        <v>57</v>
      </c>
      <c r="I705">
        <v>24</v>
      </c>
      <c r="J705">
        <v>53</v>
      </c>
      <c r="K705">
        <v>29</v>
      </c>
      <c r="L705" t="b">
        <v>0</v>
      </c>
      <c r="M705">
        <v>609.58000000000004</v>
      </c>
      <c r="N705">
        <v>32307.55</v>
      </c>
      <c r="O705" t="s">
        <v>37</v>
      </c>
      <c r="P705" t="str">
        <f>IF(J705=G705+H705-I705,"OK","Check")</f>
        <v>OK</v>
      </c>
      <c r="Q705" t="str">
        <f>IF(AND(J705&lt;=K705,L705=TRUE),"OK",IF(AND(J705&gt;K705,L705=FALSE),"OK","Check"))</f>
        <v>OK</v>
      </c>
      <c r="R705" t="str">
        <f>IF(ABS(N705-J705*M705)&lt;=J705*0.005+0.01,"OK","Check")</f>
        <v>OK</v>
      </c>
      <c r="S705" s="3">
        <f t="shared" si="10"/>
        <v>1</v>
      </c>
    </row>
    <row r="706" spans="1:19">
      <c r="A706" s="1">
        <v>46082</v>
      </c>
      <c r="B706" t="s">
        <v>265</v>
      </c>
      <c r="C706" t="s">
        <v>38</v>
      </c>
      <c r="D706" t="s">
        <v>39</v>
      </c>
      <c r="E706" t="s">
        <v>22</v>
      </c>
      <c r="F706" t="s">
        <v>23</v>
      </c>
      <c r="G706">
        <v>461</v>
      </c>
      <c r="H706">
        <v>0</v>
      </c>
      <c r="I706">
        <v>79</v>
      </c>
      <c r="J706">
        <v>382</v>
      </c>
      <c r="K706">
        <v>75</v>
      </c>
      <c r="L706" t="b">
        <v>0</v>
      </c>
      <c r="M706">
        <v>80.959999999999994</v>
      </c>
      <c r="N706">
        <v>30928.12</v>
      </c>
      <c r="O706" t="s">
        <v>24</v>
      </c>
      <c r="P706" t="str">
        <f>IF(J706=G706+H706-I706,"OK","Check")</f>
        <v>OK</v>
      </c>
      <c r="Q706" t="str">
        <f>IF(AND(J706&lt;=K706,L706=TRUE),"OK",IF(AND(J706&gt;K706,L706=FALSE),"OK","Check"))</f>
        <v>OK</v>
      </c>
      <c r="R706" t="str">
        <f>IF(ABS(N706-J706*M706)&lt;=J706*0.005+0.01,"OK","Check")</f>
        <v>OK</v>
      </c>
      <c r="S706" s="3">
        <f t="shared" ref="S706:S769" si="11">COUNTIFS(A:A,A706,B:B,B706,C:C,C706)</f>
        <v>1</v>
      </c>
    </row>
    <row r="707" spans="1:19">
      <c r="A707" s="1">
        <v>46082</v>
      </c>
      <c r="B707" t="s">
        <v>265</v>
      </c>
      <c r="C707" t="s">
        <v>42</v>
      </c>
      <c r="D707" t="s">
        <v>43</v>
      </c>
      <c r="E707" t="s">
        <v>22</v>
      </c>
      <c r="F707" t="s">
        <v>23</v>
      </c>
      <c r="G707">
        <v>486</v>
      </c>
      <c r="H707">
        <v>0</v>
      </c>
      <c r="I707">
        <v>128</v>
      </c>
      <c r="J707">
        <v>358</v>
      </c>
      <c r="K707">
        <v>200</v>
      </c>
      <c r="L707" t="b">
        <v>0</v>
      </c>
      <c r="M707">
        <v>154.29</v>
      </c>
      <c r="N707">
        <v>55234.080000000002</v>
      </c>
      <c r="O707" t="s">
        <v>44</v>
      </c>
      <c r="P707" t="str">
        <f>IF(J707=G707+H707-I707,"OK","Check")</f>
        <v>OK</v>
      </c>
      <c r="Q707" t="str">
        <f>IF(AND(J707&lt;=K707,L707=TRUE),"OK",IF(AND(J707&gt;K707,L707=FALSE),"OK","Check"))</f>
        <v>OK</v>
      </c>
      <c r="R707" t="str">
        <f>IF(ABS(N707-J707*M707)&lt;=J707*0.005+0.01,"OK","Check")</f>
        <v>OK</v>
      </c>
      <c r="S707" s="3">
        <f t="shared" si="11"/>
        <v>1</v>
      </c>
    </row>
    <row r="708" spans="1:19">
      <c r="A708" s="1">
        <v>46082</v>
      </c>
      <c r="B708" t="s">
        <v>265</v>
      </c>
      <c r="C708" t="s">
        <v>45</v>
      </c>
      <c r="D708" t="s">
        <v>46</v>
      </c>
      <c r="E708" t="s">
        <v>22</v>
      </c>
      <c r="F708" t="s">
        <v>23</v>
      </c>
      <c r="G708">
        <v>425</v>
      </c>
      <c r="H708">
        <v>0</v>
      </c>
      <c r="I708">
        <v>255</v>
      </c>
      <c r="J708">
        <v>170</v>
      </c>
      <c r="K708">
        <v>238</v>
      </c>
      <c r="L708" t="b">
        <v>1</v>
      </c>
      <c r="M708">
        <v>769.06</v>
      </c>
      <c r="N708">
        <v>130740.82</v>
      </c>
      <c r="O708" t="s">
        <v>47</v>
      </c>
      <c r="P708" t="str">
        <f>IF(J708=G708+H708-I708,"OK","Check")</f>
        <v>OK</v>
      </c>
      <c r="Q708" t="str">
        <f>IF(AND(J708&lt;=K708,L708=TRUE),"OK",IF(AND(J708&gt;K708,L708=FALSE),"OK","Check"))</f>
        <v>OK</v>
      </c>
      <c r="R708" t="str">
        <f>IF(ABS(N708-J708*M708)&lt;=J708*0.005+0.01,"OK","Check")</f>
        <v>OK</v>
      </c>
      <c r="S708" s="3">
        <f t="shared" si="11"/>
        <v>1</v>
      </c>
    </row>
    <row r="709" spans="1:19">
      <c r="A709" s="1">
        <v>46082</v>
      </c>
      <c r="B709" t="s">
        <v>265</v>
      </c>
      <c r="C709" t="s">
        <v>50</v>
      </c>
      <c r="D709" t="s">
        <v>51</v>
      </c>
      <c r="E709" t="s">
        <v>22</v>
      </c>
      <c r="F709" t="s">
        <v>23</v>
      </c>
      <c r="G709">
        <v>0</v>
      </c>
      <c r="H709">
        <v>218</v>
      </c>
      <c r="I709">
        <v>68</v>
      </c>
      <c r="J709">
        <v>150</v>
      </c>
      <c r="K709">
        <v>85</v>
      </c>
      <c r="L709" t="b">
        <v>0</v>
      </c>
      <c r="M709">
        <v>264.55</v>
      </c>
      <c r="N709">
        <v>39682.78</v>
      </c>
      <c r="O709" t="s">
        <v>24</v>
      </c>
      <c r="P709" t="str">
        <f>IF(J709=G709+H709-I709,"OK","Check")</f>
        <v>OK</v>
      </c>
      <c r="Q709" t="str">
        <f>IF(AND(J709&lt;=K709,L709=TRUE),"OK",IF(AND(J709&gt;K709,L709=FALSE),"OK","Check"))</f>
        <v>OK</v>
      </c>
      <c r="R709" t="str">
        <f>IF(ABS(N709-J709*M709)&lt;=J709*0.005+0.01,"OK","Check")</f>
        <v>OK</v>
      </c>
      <c r="S709" s="3">
        <f t="shared" si="11"/>
        <v>1</v>
      </c>
    </row>
    <row r="710" spans="1:19">
      <c r="A710" s="1">
        <v>46082</v>
      </c>
      <c r="B710" t="s">
        <v>265</v>
      </c>
      <c r="C710" t="s">
        <v>52</v>
      </c>
      <c r="D710" t="s">
        <v>53</v>
      </c>
      <c r="E710" t="s">
        <v>22</v>
      </c>
      <c r="F710" t="s">
        <v>23</v>
      </c>
      <c r="G710">
        <v>301</v>
      </c>
      <c r="H710">
        <v>0</v>
      </c>
      <c r="I710">
        <v>243</v>
      </c>
      <c r="J710">
        <v>58</v>
      </c>
      <c r="K710">
        <v>220</v>
      </c>
      <c r="L710" t="b">
        <v>1</v>
      </c>
      <c r="M710">
        <v>55.47</v>
      </c>
      <c r="N710">
        <v>3217.42</v>
      </c>
      <c r="O710" t="s">
        <v>47</v>
      </c>
      <c r="P710" t="str">
        <f>IF(J710=G710+H710-I710,"OK","Check")</f>
        <v>OK</v>
      </c>
      <c r="Q710" t="str">
        <f>IF(AND(J710&lt;=K710,L710=TRUE),"OK",IF(AND(J710&gt;K710,L710=FALSE),"OK","Check"))</f>
        <v>OK</v>
      </c>
      <c r="R710" t="str">
        <f>IF(ABS(N710-J710*M710)&lt;=J710*0.005+0.01,"OK","Check")</f>
        <v>OK</v>
      </c>
      <c r="S710" s="3">
        <f t="shared" si="11"/>
        <v>1</v>
      </c>
    </row>
    <row r="711" spans="1:19">
      <c r="A711" s="1">
        <v>46082</v>
      </c>
      <c r="B711" t="s">
        <v>265</v>
      </c>
      <c r="C711" t="s">
        <v>56</v>
      </c>
      <c r="D711" t="s">
        <v>57</v>
      </c>
      <c r="E711" t="s">
        <v>22</v>
      </c>
      <c r="F711" t="s">
        <v>23</v>
      </c>
      <c r="G711">
        <v>17</v>
      </c>
      <c r="H711">
        <v>80</v>
      </c>
      <c r="I711">
        <v>54</v>
      </c>
      <c r="J711">
        <v>43</v>
      </c>
      <c r="K711">
        <v>37</v>
      </c>
      <c r="L711" t="b">
        <v>0</v>
      </c>
      <c r="M711">
        <v>412.62</v>
      </c>
      <c r="N711">
        <v>17742.810000000001</v>
      </c>
      <c r="O711" t="s">
        <v>24</v>
      </c>
      <c r="P711" t="str">
        <f>IF(J711=G711+H711-I711,"OK","Check")</f>
        <v>OK</v>
      </c>
      <c r="Q711" t="str">
        <f>IF(AND(J711&lt;=K711,L711=TRUE),"OK",IF(AND(J711&gt;K711,L711=FALSE),"OK","Check"))</f>
        <v>OK</v>
      </c>
      <c r="R711" t="str">
        <f>IF(ABS(N711-J711*M711)&lt;=J711*0.005+0.01,"OK","Check")</f>
        <v>OK</v>
      </c>
      <c r="S711" s="3">
        <f t="shared" si="11"/>
        <v>1</v>
      </c>
    </row>
    <row r="712" spans="1:19">
      <c r="A712" s="1">
        <v>46082</v>
      </c>
      <c r="B712" t="s">
        <v>265</v>
      </c>
      <c r="C712" t="s">
        <v>58</v>
      </c>
      <c r="D712" t="s">
        <v>59</v>
      </c>
      <c r="E712" t="s">
        <v>22</v>
      </c>
      <c r="F712" t="s">
        <v>23</v>
      </c>
      <c r="G712">
        <v>102</v>
      </c>
      <c r="H712">
        <v>347</v>
      </c>
      <c r="I712">
        <v>74</v>
      </c>
      <c r="J712">
        <v>375</v>
      </c>
      <c r="K712">
        <v>137</v>
      </c>
      <c r="L712" t="b">
        <v>0</v>
      </c>
      <c r="M712">
        <v>1920.61</v>
      </c>
      <c r="N712">
        <v>720229.61</v>
      </c>
      <c r="O712" t="s">
        <v>60</v>
      </c>
      <c r="P712" t="str">
        <f>IF(J712=G712+H712-I712,"OK","Check")</f>
        <v>OK</v>
      </c>
      <c r="Q712" t="str">
        <f>IF(AND(J712&lt;=K712,L712=TRUE),"OK",IF(AND(J712&gt;K712,L712=FALSE),"OK","Check"))</f>
        <v>OK</v>
      </c>
      <c r="R712" t="str">
        <f>IF(ABS(N712-J712*M712)&lt;=J712*0.005+0.01,"OK","Check")</f>
        <v>OK</v>
      </c>
      <c r="S712" s="3">
        <f t="shared" si="11"/>
        <v>1</v>
      </c>
    </row>
    <row r="713" spans="1:19">
      <c r="A713" s="1">
        <v>46082</v>
      </c>
      <c r="B713" t="s">
        <v>265</v>
      </c>
      <c r="C713" t="s">
        <v>61</v>
      </c>
      <c r="D713" t="s">
        <v>62</v>
      </c>
      <c r="E713" t="s">
        <v>22</v>
      </c>
      <c r="F713" t="s">
        <v>23</v>
      </c>
      <c r="G713">
        <v>593</v>
      </c>
      <c r="H713">
        <v>0</v>
      </c>
      <c r="I713">
        <v>154</v>
      </c>
      <c r="J713">
        <v>439</v>
      </c>
      <c r="K713">
        <v>244</v>
      </c>
      <c r="L713" t="b">
        <v>0</v>
      </c>
      <c r="M713">
        <v>25.33</v>
      </c>
      <c r="N713">
        <v>11120.15</v>
      </c>
      <c r="O713" t="s">
        <v>44</v>
      </c>
      <c r="P713" t="str">
        <f>IF(J713=G713+H713-I713,"OK","Check")</f>
        <v>OK</v>
      </c>
      <c r="Q713" t="str">
        <f>IF(AND(J713&lt;=K713,L713=TRUE),"OK",IF(AND(J713&gt;K713,L713=FALSE),"OK","Check"))</f>
        <v>OK</v>
      </c>
      <c r="R713" t="str">
        <f>IF(ABS(N713-J713*M713)&lt;=J713*0.005+0.01,"OK","Check")</f>
        <v>OK</v>
      </c>
      <c r="S713" s="3">
        <f t="shared" si="11"/>
        <v>1</v>
      </c>
    </row>
    <row r="714" spans="1:19">
      <c r="A714" s="1">
        <v>46082</v>
      </c>
      <c r="B714" t="s">
        <v>265</v>
      </c>
      <c r="C714" t="s">
        <v>63</v>
      </c>
      <c r="D714" t="s">
        <v>64</v>
      </c>
      <c r="E714" t="s">
        <v>22</v>
      </c>
      <c r="F714" t="s">
        <v>23</v>
      </c>
      <c r="G714">
        <v>69</v>
      </c>
      <c r="H714">
        <v>223</v>
      </c>
      <c r="I714">
        <v>76</v>
      </c>
      <c r="J714">
        <v>216</v>
      </c>
      <c r="K714">
        <v>58</v>
      </c>
      <c r="L714" t="b">
        <v>0</v>
      </c>
      <c r="M714">
        <v>118.06</v>
      </c>
      <c r="N714">
        <v>25501.39</v>
      </c>
      <c r="O714" t="s">
        <v>47</v>
      </c>
      <c r="P714" t="str">
        <f>IF(J714=G714+H714-I714,"OK","Check")</f>
        <v>OK</v>
      </c>
      <c r="Q714" t="str">
        <f>IF(AND(J714&lt;=K714,L714=TRUE),"OK",IF(AND(J714&gt;K714,L714=FALSE),"OK","Check"))</f>
        <v>OK</v>
      </c>
      <c r="R714" t="str">
        <f>IF(ABS(N714-J714*M714)&lt;=J714*0.005+0.01,"OK","Check")</f>
        <v>OK</v>
      </c>
      <c r="S714" s="3">
        <f t="shared" si="11"/>
        <v>1</v>
      </c>
    </row>
    <row r="715" spans="1:19">
      <c r="A715" s="1">
        <v>46082</v>
      </c>
      <c r="B715" t="s">
        <v>265</v>
      </c>
      <c r="C715" t="s">
        <v>65</v>
      </c>
      <c r="D715" t="s">
        <v>66</v>
      </c>
      <c r="E715" t="s">
        <v>22</v>
      </c>
      <c r="F715" t="s">
        <v>23</v>
      </c>
      <c r="G715">
        <v>237</v>
      </c>
      <c r="H715">
        <v>0</v>
      </c>
      <c r="I715">
        <v>56</v>
      </c>
      <c r="J715">
        <v>181</v>
      </c>
      <c r="K715">
        <v>70</v>
      </c>
      <c r="L715" t="b">
        <v>0</v>
      </c>
      <c r="M715">
        <v>74.239999999999995</v>
      </c>
      <c r="N715">
        <v>13437.44</v>
      </c>
      <c r="O715" t="s">
        <v>44</v>
      </c>
      <c r="P715" t="str">
        <f>IF(J715=G715+H715-I715,"OK","Check")</f>
        <v>OK</v>
      </c>
      <c r="Q715" t="str">
        <f>IF(AND(J715&lt;=K715,L715=TRUE),"OK",IF(AND(J715&gt;K715,L715=FALSE),"OK","Check"))</f>
        <v>OK</v>
      </c>
      <c r="R715" t="str">
        <f>IF(ABS(N715-J715*M715)&lt;=J715*0.005+0.01,"OK","Check")</f>
        <v>OK</v>
      </c>
      <c r="S715" s="3">
        <f t="shared" si="11"/>
        <v>1</v>
      </c>
    </row>
    <row r="716" spans="1:19">
      <c r="A716" s="1">
        <v>46082</v>
      </c>
      <c r="B716" t="s">
        <v>265</v>
      </c>
      <c r="C716" t="s">
        <v>69</v>
      </c>
      <c r="D716" t="s">
        <v>70</v>
      </c>
      <c r="E716" t="s">
        <v>71</v>
      </c>
      <c r="F716" t="s">
        <v>23</v>
      </c>
      <c r="G716">
        <v>199</v>
      </c>
      <c r="H716">
        <v>604</v>
      </c>
      <c r="I716">
        <v>247</v>
      </c>
      <c r="J716">
        <v>556</v>
      </c>
      <c r="K716">
        <v>182</v>
      </c>
      <c r="L716" t="b">
        <v>0</v>
      </c>
      <c r="M716">
        <v>95.95</v>
      </c>
      <c r="N716">
        <v>53348.79</v>
      </c>
      <c r="O716" t="s">
        <v>27</v>
      </c>
      <c r="P716" t="str">
        <f>IF(J716=G716+H716-I716,"OK","Check")</f>
        <v>OK</v>
      </c>
      <c r="Q716" t="str">
        <f>IF(AND(J716&lt;=K716,L716=TRUE),"OK",IF(AND(J716&gt;K716,L716=FALSE),"OK","Check"))</f>
        <v>OK</v>
      </c>
      <c r="R716" t="str">
        <f>IF(ABS(N716-J716*M716)&lt;=J716*0.005+0.01,"OK","Check")</f>
        <v>OK</v>
      </c>
      <c r="S716" s="3">
        <f t="shared" si="11"/>
        <v>1</v>
      </c>
    </row>
    <row r="717" spans="1:19">
      <c r="A717" s="1">
        <v>46082</v>
      </c>
      <c r="B717" t="s">
        <v>265</v>
      </c>
      <c r="C717" t="s">
        <v>76</v>
      </c>
      <c r="D717" t="s">
        <v>77</v>
      </c>
      <c r="E717" t="s">
        <v>71</v>
      </c>
      <c r="F717" t="s">
        <v>23</v>
      </c>
      <c r="G717">
        <v>202</v>
      </c>
      <c r="H717">
        <v>665</v>
      </c>
      <c r="I717">
        <v>114</v>
      </c>
      <c r="J717">
        <v>753</v>
      </c>
      <c r="K717">
        <v>258</v>
      </c>
      <c r="L717" t="b">
        <v>0</v>
      </c>
      <c r="M717">
        <v>1101.3399999999999</v>
      </c>
      <c r="N717">
        <v>829309.45</v>
      </c>
      <c r="O717" t="s">
        <v>37</v>
      </c>
      <c r="P717" t="str">
        <f>IF(J717=G717+H717-I717,"OK","Check")</f>
        <v>OK</v>
      </c>
      <c r="Q717" t="str">
        <f>IF(AND(J717&lt;=K717,L717=TRUE),"OK",IF(AND(J717&gt;K717,L717=FALSE),"OK","Check"))</f>
        <v>OK</v>
      </c>
      <c r="R717" t="str">
        <f>IF(ABS(N717-J717*M717)&lt;=J717*0.005+0.01,"OK","Check")</f>
        <v>OK</v>
      </c>
      <c r="S717" s="3">
        <f t="shared" si="11"/>
        <v>1</v>
      </c>
    </row>
    <row r="718" spans="1:19">
      <c r="A718" s="1">
        <v>46082</v>
      </c>
      <c r="B718" t="s">
        <v>265</v>
      </c>
      <c r="C718" t="s">
        <v>78</v>
      </c>
      <c r="D718" t="s">
        <v>79</v>
      </c>
      <c r="E718" t="s">
        <v>71</v>
      </c>
      <c r="F718" t="s">
        <v>23</v>
      </c>
      <c r="G718">
        <v>390</v>
      </c>
      <c r="H718">
        <v>507</v>
      </c>
      <c r="I718">
        <v>165</v>
      </c>
      <c r="J718">
        <v>732</v>
      </c>
      <c r="K718">
        <v>216</v>
      </c>
      <c r="L718" t="b">
        <v>0</v>
      </c>
      <c r="M718">
        <v>346.55</v>
      </c>
      <c r="N718">
        <v>253675.94</v>
      </c>
      <c r="O718" t="s">
        <v>47</v>
      </c>
      <c r="P718" t="str">
        <f>IF(J718=G718+H718-I718,"OK","Check")</f>
        <v>OK</v>
      </c>
      <c r="Q718" t="str">
        <f>IF(AND(J718&lt;=K718,L718=TRUE),"OK",IF(AND(J718&gt;K718,L718=FALSE),"OK","Check"))</f>
        <v>OK</v>
      </c>
      <c r="R718" t="str">
        <f>IF(ABS(N718-J718*M718)&lt;=J718*0.005+0.01,"OK","Check")</f>
        <v>OK</v>
      </c>
      <c r="S718" s="3">
        <f t="shared" si="11"/>
        <v>1</v>
      </c>
    </row>
    <row r="719" spans="1:19">
      <c r="A719" s="1">
        <v>46082</v>
      </c>
      <c r="B719" t="s">
        <v>265</v>
      </c>
      <c r="C719" t="s">
        <v>80</v>
      </c>
      <c r="D719" t="s">
        <v>81</v>
      </c>
      <c r="E719" t="s">
        <v>71</v>
      </c>
      <c r="F719" t="s">
        <v>23</v>
      </c>
      <c r="G719">
        <v>353</v>
      </c>
      <c r="H719">
        <v>0</v>
      </c>
      <c r="I719">
        <v>172</v>
      </c>
      <c r="J719">
        <v>181</v>
      </c>
      <c r="K719">
        <v>183</v>
      </c>
      <c r="L719" t="b">
        <v>1</v>
      </c>
      <c r="M719">
        <v>1805.75</v>
      </c>
      <c r="N719">
        <v>326840.34999999998</v>
      </c>
      <c r="O719" t="s">
        <v>32</v>
      </c>
      <c r="P719" t="str">
        <f>IF(J719=G719+H719-I719,"OK","Check")</f>
        <v>OK</v>
      </c>
      <c r="Q719" t="str">
        <f>IF(AND(J719&lt;=K719,L719=TRUE),"OK",IF(AND(J719&gt;K719,L719=FALSE),"OK","Check"))</f>
        <v>OK</v>
      </c>
      <c r="R719" t="str">
        <f>IF(ABS(N719-J719*M719)&lt;=J719*0.005+0.01,"OK","Check")</f>
        <v>OK</v>
      </c>
      <c r="S719" s="3">
        <f t="shared" si="11"/>
        <v>1</v>
      </c>
    </row>
    <row r="720" spans="1:19">
      <c r="A720" s="1">
        <v>46082</v>
      </c>
      <c r="B720" t="s">
        <v>265</v>
      </c>
      <c r="C720" t="s">
        <v>82</v>
      </c>
      <c r="D720" t="s">
        <v>83</v>
      </c>
      <c r="E720" t="s">
        <v>71</v>
      </c>
      <c r="F720" t="s">
        <v>23</v>
      </c>
      <c r="G720">
        <v>145</v>
      </c>
      <c r="H720">
        <v>491</v>
      </c>
      <c r="I720">
        <v>193</v>
      </c>
      <c r="J720">
        <v>443</v>
      </c>
      <c r="K720">
        <v>227</v>
      </c>
      <c r="L720" t="b">
        <v>0</v>
      </c>
      <c r="M720">
        <v>1694.63</v>
      </c>
      <c r="N720">
        <v>750720.26</v>
      </c>
      <c r="O720" t="s">
        <v>37</v>
      </c>
      <c r="P720" t="str">
        <f>IF(J720=G720+H720-I720,"OK","Check")</f>
        <v>OK</v>
      </c>
      <c r="Q720" t="str">
        <f>IF(AND(J720&lt;=K720,L720=TRUE),"OK",IF(AND(J720&gt;K720,L720=FALSE),"OK","Check"))</f>
        <v>OK</v>
      </c>
      <c r="R720" t="str">
        <f>IF(ABS(N720-J720*M720)&lt;=J720*0.005+0.01,"OK","Check")</f>
        <v>OK</v>
      </c>
      <c r="S720" s="3">
        <f t="shared" si="11"/>
        <v>1</v>
      </c>
    </row>
    <row r="721" spans="1:19">
      <c r="A721" s="1">
        <v>46082</v>
      </c>
      <c r="B721" t="s">
        <v>265</v>
      </c>
      <c r="C721" t="s">
        <v>90</v>
      </c>
      <c r="D721" t="s">
        <v>91</v>
      </c>
      <c r="E721" t="s">
        <v>71</v>
      </c>
      <c r="F721" t="s">
        <v>23</v>
      </c>
      <c r="G721">
        <v>534</v>
      </c>
      <c r="H721">
        <v>0</v>
      </c>
      <c r="I721">
        <v>121</v>
      </c>
      <c r="J721">
        <v>413</v>
      </c>
      <c r="K721">
        <v>173</v>
      </c>
      <c r="L721" t="b">
        <v>0</v>
      </c>
      <c r="M721">
        <v>1747.54</v>
      </c>
      <c r="N721">
        <v>721734.21</v>
      </c>
      <c r="O721" t="s">
        <v>32</v>
      </c>
      <c r="P721" t="str">
        <f>IF(J721=G721+H721-I721,"OK","Check")</f>
        <v>OK</v>
      </c>
      <c r="Q721" t="str">
        <f>IF(AND(J721&lt;=K721,L721=TRUE),"OK",IF(AND(J721&gt;K721,L721=FALSE),"OK","Check"))</f>
        <v>OK</v>
      </c>
      <c r="R721" t="str">
        <f>IF(ABS(N721-J721*M721)&lt;=J721*0.005+0.01,"OK","Check")</f>
        <v>OK</v>
      </c>
      <c r="S721" s="3">
        <f t="shared" si="11"/>
        <v>1</v>
      </c>
    </row>
    <row r="722" spans="1:19">
      <c r="A722" s="1">
        <v>46082</v>
      </c>
      <c r="B722" t="s">
        <v>265</v>
      </c>
      <c r="C722" t="s">
        <v>245</v>
      </c>
      <c r="D722" t="s">
        <v>246</v>
      </c>
      <c r="E722" t="s">
        <v>71</v>
      </c>
      <c r="F722" t="s">
        <v>23</v>
      </c>
      <c r="G722">
        <v>145</v>
      </c>
      <c r="H722">
        <v>347</v>
      </c>
      <c r="I722">
        <v>131</v>
      </c>
      <c r="J722">
        <v>361</v>
      </c>
      <c r="K722">
        <v>141</v>
      </c>
      <c r="L722" t="b">
        <v>0</v>
      </c>
      <c r="M722">
        <v>8131.36</v>
      </c>
      <c r="N722">
        <v>2935421.74</v>
      </c>
      <c r="O722" t="s">
        <v>27</v>
      </c>
      <c r="P722" t="str">
        <f>IF(J722=G722+H722-I722,"OK","Check")</f>
        <v>OK</v>
      </c>
      <c r="Q722" t="str">
        <f>IF(AND(J722&lt;=K722,L722=TRUE),"OK",IF(AND(J722&gt;K722,L722=FALSE),"OK","Check"))</f>
        <v>OK</v>
      </c>
      <c r="R722" t="str">
        <f>IF(ABS(N722-J722*M722)&lt;=J722*0.005+0.01,"OK","Check")</f>
        <v>OK</v>
      </c>
      <c r="S722" s="3">
        <f t="shared" si="11"/>
        <v>1</v>
      </c>
    </row>
    <row r="723" spans="1:19">
      <c r="A723" s="1">
        <v>46082</v>
      </c>
      <c r="B723" t="s">
        <v>265</v>
      </c>
      <c r="C723" t="s">
        <v>92</v>
      </c>
      <c r="D723" t="s">
        <v>93</v>
      </c>
      <c r="E723" t="s">
        <v>71</v>
      </c>
      <c r="F723" t="s">
        <v>23</v>
      </c>
      <c r="G723">
        <v>24</v>
      </c>
      <c r="H723">
        <v>74</v>
      </c>
      <c r="I723">
        <v>22</v>
      </c>
      <c r="J723">
        <v>76</v>
      </c>
      <c r="K723">
        <v>37</v>
      </c>
      <c r="L723" t="b">
        <v>0</v>
      </c>
      <c r="M723">
        <v>249.83</v>
      </c>
      <c r="N723">
        <v>18986.86</v>
      </c>
      <c r="O723" t="s">
        <v>24</v>
      </c>
      <c r="P723" t="str">
        <f>IF(J723=G723+H723-I723,"OK","Check")</f>
        <v>OK</v>
      </c>
      <c r="Q723" t="str">
        <f>IF(AND(J723&lt;=K723,L723=TRUE),"OK",IF(AND(J723&gt;K723,L723=FALSE),"OK","Check"))</f>
        <v>OK</v>
      </c>
      <c r="R723" t="str">
        <f>IF(ABS(N723-J723*M723)&lt;=J723*0.005+0.01,"OK","Check")</f>
        <v>OK</v>
      </c>
      <c r="S723" s="3">
        <f t="shared" si="11"/>
        <v>1</v>
      </c>
    </row>
    <row r="724" spans="1:19">
      <c r="A724" s="1">
        <v>46082</v>
      </c>
      <c r="B724" t="s">
        <v>265</v>
      </c>
      <c r="C724" t="s">
        <v>94</v>
      </c>
      <c r="D724" t="s">
        <v>95</v>
      </c>
      <c r="E724" t="s">
        <v>71</v>
      </c>
      <c r="F724" t="s">
        <v>23</v>
      </c>
      <c r="G724">
        <v>74</v>
      </c>
      <c r="H724">
        <v>0</v>
      </c>
      <c r="I724">
        <v>28</v>
      </c>
      <c r="J724">
        <v>46</v>
      </c>
      <c r="K724">
        <v>22</v>
      </c>
      <c r="L724" t="b">
        <v>0</v>
      </c>
      <c r="M724">
        <v>1311.9</v>
      </c>
      <c r="N724">
        <v>60347.56</v>
      </c>
      <c r="O724" t="s">
        <v>32</v>
      </c>
      <c r="P724" t="str">
        <f>IF(J724=G724+H724-I724,"OK","Check")</f>
        <v>OK</v>
      </c>
      <c r="Q724" t="str">
        <f>IF(AND(J724&lt;=K724,L724=TRUE),"OK",IF(AND(J724&gt;K724,L724=FALSE),"OK","Check"))</f>
        <v>OK</v>
      </c>
      <c r="R724" t="str">
        <f>IF(ABS(N724-J724*M724)&lt;=J724*0.005+0.01,"OK","Check")</f>
        <v>OK</v>
      </c>
      <c r="S724" s="3">
        <f t="shared" si="11"/>
        <v>1</v>
      </c>
    </row>
    <row r="725" spans="1:19">
      <c r="A725" s="1">
        <v>46082</v>
      </c>
      <c r="B725" t="s">
        <v>265</v>
      </c>
      <c r="C725" t="s">
        <v>96</v>
      </c>
      <c r="D725" t="s">
        <v>97</v>
      </c>
      <c r="E725" t="s">
        <v>71</v>
      </c>
      <c r="F725" t="s">
        <v>23</v>
      </c>
      <c r="G725">
        <v>94</v>
      </c>
      <c r="H725">
        <v>260</v>
      </c>
      <c r="I725">
        <v>110</v>
      </c>
      <c r="J725">
        <v>244</v>
      </c>
      <c r="K725">
        <v>180</v>
      </c>
      <c r="L725" t="b">
        <v>0</v>
      </c>
      <c r="M725">
        <v>670.83</v>
      </c>
      <c r="N725">
        <v>163682.32</v>
      </c>
      <c r="O725" t="s">
        <v>98</v>
      </c>
      <c r="P725" t="str">
        <f>IF(J725=G725+H725-I725,"OK","Check")</f>
        <v>OK</v>
      </c>
      <c r="Q725" t="str">
        <f>IF(AND(J725&lt;=K725,L725=TRUE),"OK",IF(AND(J725&gt;K725,L725=FALSE),"OK","Check"))</f>
        <v>OK</v>
      </c>
      <c r="R725" t="str">
        <f>IF(ABS(N725-J725*M725)&lt;=J725*0.005+0.01,"OK","Check")</f>
        <v>OK</v>
      </c>
      <c r="S725" s="3">
        <f t="shared" si="11"/>
        <v>1</v>
      </c>
    </row>
    <row r="726" spans="1:19">
      <c r="A726" s="1">
        <v>46082</v>
      </c>
      <c r="B726" t="s">
        <v>265</v>
      </c>
      <c r="C726" t="s">
        <v>99</v>
      </c>
      <c r="D726" t="s">
        <v>100</v>
      </c>
      <c r="E726" t="s">
        <v>71</v>
      </c>
      <c r="F726" t="s">
        <v>23</v>
      </c>
      <c r="G726">
        <v>75</v>
      </c>
      <c r="H726">
        <v>532</v>
      </c>
      <c r="I726">
        <v>143</v>
      </c>
      <c r="J726">
        <v>464</v>
      </c>
      <c r="K726">
        <v>158</v>
      </c>
      <c r="L726" t="b">
        <v>0</v>
      </c>
      <c r="M726">
        <v>3436.63</v>
      </c>
      <c r="N726">
        <v>1594597.26</v>
      </c>
      <c r="O726" t="s">
        <v>47</v>
      </c>
      <c r="P726" t="str">
        <f>IF(J726=G726+H726-I726,"OK","Check")</f>
        <v>OK</v>
      </c>
      <c r="Q726" t="str">
        <f>IF(AND(J726&lt;=K726,L726=TRUE),"OK",IF(AND(J726&gt;K726,L726=FALSE),"OK","Check"))</f>
        <v>OK</v>
      </c>
      <c r="R726" t="str">
        <f>IF(ABS(N726-J726*M726)&lt;=J726*0.005+0.01,"OK","Check")</f>
        <v>OK</v>
      </c>
      <c r="S726" s="3">
        <f t="shared" si="11"/>
        <v>1</v>
      </c>
    </row>
    <row r="727" spans="1:19">
      <c r="A727" s="1">
        <v>46082</v>
      </c>
      <c r="B727" t="s">
        <v>265</v>
      </c>
      <c r="C727" t="s">
        <v>101</v>
      </c>
      <c r="D727" t="s">
        <v>102</v>
      </c>
      <c r="E727" t="s">
        <v>71</v>
      </c>
      <c r="F727" t="s">
        <v>23</v>
      </c>
      <c r="G727">
        <v>124</v>
      </c>
      <c r="H727">
        <v>451</v>
      </c>
      <c r="I727">
        <v>167</v>
      </c>
      <c r="J727">
        <v>408</v>
      </c>
      <c r="K727">
        <v>198</v>
      </c>
      <c r="L727" t="b">
        <v>0</v>
      </c>
      <c r="M727">
        <v>58.48</v>
      </c>
      <c r="N727">
        <v>23861.74</v>
      </c>
      <c r="O727" t="s">
        <v>32</v>
      </c>
      <c r="P727" t="str">
        <f>IF(J727=G727+H727-I727,"OK","Check")</f>
        <v>OK</v>
      </c>
      <c r="Q727" t="str">
        <f>IF(AND(J727&lt;=K727,L727=TRUE),"OK",IF(AND(J727&gt;K727,L727=FALSE),"OK","Check"))</f>
        <v>OK</v>
      </c>
      <c r="R727" t="str">
        <f>IF(ABS(N727-J727*M727)&lt;=J727*0.005+0.01,"OK","Check")</f>
        <v>OK</v>
      </c>
      <c r="S727" s="3">
        <f t="shared" si="11"/>
        <v>1</v>
      </c>
    </row>
    <row r="728" spans="1:19">
      <c r="A728" s="1">
        <v>46082</v>
      </c>
      <c r="B728" t="s">
        <v>265</v>
      </c>
      <c r="C728" t="s">
        <v>247</v>
      </c>
      <c r="D728" t="s">
        <v>248</v>
      </c>
      <c r="E728" t="s">
        <v>71</v>
      </c>
      <c r="F728" t="s">
        <v>23</v>
      </c>
      <c r="G728">
        <v>794</v>
      </c>
      <c r="H728">
        <v>0</v>
      </c>
      <c r="I728">
        <v>149</v>
      </c>
      <c r="J728">
        <v>645</v>
      </c>
      <c r="K728">
        <v>260</v>
      </c>
      <c r="L728" t="b">
        <v>0</v>
      </c>
      <c r="M728">
        <v>270.33999999999997</v>
      </c>
      <c r="N728">
        <v>174366.31</v>
      </c>
      <c r="O728" t="s">
        <v>32</v>
      </c>
      <c r="P728" t="str">
        <f>IF(J728=G728+H728-I728,"OK","Check")</f>
        <v>OK</v>
      </c>
      <c r="Q728" t="str">
        <f>IF(AND(J728&lt;=K728,L728=TRUE),"OK",IF(AND(J728&gt;K728,L728=FALSE),"OK","Check"))</f>
        <v>OK</v>
      </c>
      <c r="R728" t="str">
        <f>IF(ABS(N728-J728*M728)&lt;=J728*0.005+0.01,"OK","Check")</f>
        <v>OK</v>
      </c>
      <c r="S728" s="3">
        <f t="shared" si="11"/>
        <v>1</v>
      </c>
    </row>
    <row r="729" spans="1:19">
      <c r="A729" s="1">
        <v>46082</v>
      </c>
      <c r="B729" t="s">
        <v>265</v>
      </c>
      <c r="C729" t="s">
        <v>103</v>
      </c>
      <c r="D729" t="s">
        <v>104</v>
      </c>
      <c r="E729" t="s">
        <v>71</v>
      </c>
      <c r="F729" t="s">
        <v>23</v>
      </c>
      <c r="G729">
        <v>299</v>
      </c>
      <c r="H729">
        <v>0</v>
      </c>
      <c r="I729">
        <v>277</v>
      </c>
      <c r="J729">
        <v>22</v>
      </c>
      <c r="K729">
        <v>246</v>
      </c>
      <c r="L729" t="b">
        <v>1</v>
      </c>
      <c r="M729">
        <v>566.4</v>
      </c>
      <c r="N729">
        <v>12460.81</v>
      </c>
      <c r="O729" t="s">
        <v>98</v>
      </c>
      <c r="P729" t="str">
        <f>IF(J729=G729+H729-I729,"OK","Check")</f>
        <v>OK</v>
      </c>
      <c r="Q729" t="str">
        <f>IF(AND(J729&lt;=K729,L729=TRUE),"OK",IF(AND(J729&gt;K729,L729=FALSE),"OK","Check"))</f>
        <v>OK</v>
      </c>
      <c r="R729" t="str">
        <f>IF(ABS(N729-J729*M729)&lt;=J729*0.005+0.01,"OK","Check")</f>
        <v>OK</v>
      </c>
      <c r="S729" s="3">
        <f t="shared" si="11"/>
        <v>1</v>
      </c>
    </row>
    <row r="730" spans="1:19">
      <c r="A730" s="1">
        <v>46082</v>
      </c>
      <c r="B730" t="s">
        <v>265</v>
      </c>
      <c r="C730" t="s">
        <v>105</v>
      </c>
      <c r="D730" t="s">
        <v>106</v>
      </c>
      <c r="E730" t="s">
        <v>71</v>
      </c>
      <c r="F730" t="s">
        <v>23</v>
      </c>
      <c r="G730">
        <v>485</v>
      </c>
      <c r="H730">
        <v>0</v>
      </c>
      <c r="I730">
        <v>79</v>
      </c>
      <c r="J730">
        <v>406</v>
      </c>
      <c r="K730">
        <v>165</v>
      </c>
      <c r="L730" t="b">
        <v>0</v>
      </c>
      <c r="M730">
        <v>2211.27</v>
      </c>
      <c r="N730">
        <v>897777.64</v>
      </c>
      <c r="O730" t="s">
        <v>32</v>
      </c>
      <c r="P730" t="str">
        <f>IF(J730=G730+H730-I730,"OK","Check")</f>
        <v>OK</v>
      </c>
      <c r="Q730" t="str">
        <f>IF(AND(J730&lt;=K730,L730=TRUE),"OK",IF(AND(J730&gt;K730,L730=FALSE),"OK","Check"))</f>
        <v>OK</v>
      </c>
      <c r="R730" t="str">
        <f>IF(ABS(N730-J730*M730)&lt;=J730*0.005+0.01,"OK","Check")</f>
        <v>OK</v>
      </c>
      <c r="S730" s="3">
        <f t="shared" si="11"/>
        <v>1</v>
      </c>
    </row>
    <row r="731" spans="1:19">
      <c r="A731" s="1">
        <v>46082</v>
      </c>
      <c r="B731" t="s">
        <v>265</v>
      </c>
      <c r="C731" t="s">
        <v>107</v>
      </c>
      <c r="D731" t="s">
        <v>108</v>
      </c>
      <c r="E731" t="s">
        <v>109</v>
      </c>
      <c r="F731" t="s">
        <v>110</v>
      </c>
      <c r="G731">
        <v>181</v>
      </c>
      <c r="H731">
        <v>305</v>
      </c>
      <c r="I731">
        <v>186</v>
      </c>
      <c r="J731">
        <v>300</v>
      </c>
      <c r="K731">
        <v>190</v>
      </c>
      <c r="L731" t="b">
        <v>0</v>
      </c>
      <c r="M731">
        <v>91.89</v>
      </c>
      <c r="N731">
        <v>27566.83</v>
      </c>
      <c r="O731" t="s">
        <v>24</v>
      </c>
      <c r="P731" t="str">
        <f>IF(J731=G731+H731-I731,"OK","Check")</f>
        <v>OK</v>
      </c>
      <c r="Q731" t="str">
        <f>IF(AND(J731&lt;=K731,L731=TRUE),"OK",IF(AND(J731&gt;K731,L731=FALSE),"OK","Check"))</f>
        <v>OK</v>
      </c>
      <c r="R731" t="str">
        <f>IF(ABS(N731-J731*M731)&lt;=J731*0.005+0.01,"OK","Check")</f>
        <v>OK</v>
      </c>
      <c r="S731" s="3">
        <f t="shared" si="11"/>
        <v>1</v>
      </c>
    </row>
    <row r="732" spans="1:19">
      <c r="A732" s="1">
        <v>46082</v>
      </c>
      <c r="B732" t="s">
        <v>265</v>
      </c>
      <c r="C732" t="s">
        <v>111</v>
      </c>
      <c r="D732" t="s">
        <v>112</v>
      </c>
      <c r="E732" t="s">
        <v>109</v>
      </c>
      <c r="F732" t="s">
        <v>110</v>
      </c>
      <c r="G732">
        <v>14</v>
      </c>
      <c r="H732">
        <v>64</v>
      </c>
      <c r="I732">
        <v>31</v>
      </c>
      <c r="J732">
        <v>47</v>
      </c>
      <c r="K732">
        <v>39</v>
      </c>
      <c r="L732" t="b">
        <v>0</v>
      </c>
      <c r="M732">
        <v>450.61</v>
      </c>
      <c r="N732">
        <v>21178.47</v>
      </c>
      <c r="O732" t="s">
        <v>98</v>
      </c>
      <c r="P732" t="str">
        <f>IF(J732=G732+H732-I732,"OK","Check")</f>
        <v>OK</v>
      </c>
      <c r="Q732" t="str">
        <f>IF(AND(J732&lt;=K732,L732=TRUE),"OK",IF(AND(J732&gt;K732,L732=FALSE),"OK","Check"))</f>
        <v>OK</v>
      </c>
      <c r="R732" t="str">
        <f>IF(ABS(N732-J732*M732)&lt;=J732*0.005+0.01,"OK","Check")</f>
        <v>OK</v>
      </c>
      <c r="S732" s="3">
        <f t="shared" si="11"/>
        <v>1</v>
      </c>
    </row>
    <row r="733" spans="1:19">
      <c r="A733" s="1">
        <v>46082</v>
      </c>
      <c r="B733" t="s">
        <v>265</v>
      </c>
      <c r="C733" t="s">
        <v>113</v>
      </c>
      <c r="D733" t="s">
        <v>114</v>
      </c>
      <c r="E733" t="s">
        <v>109</v>
      </c>
      <c r="F733" t="s">
        <v>110</v>
      </c>
      <c r="G733">
        <v>95</v>
      </c>
      <c r="H733">
        <v>268</v>
      </c>
      <c r="I733">
        <v>97</v>
      </c>
      <c r="J733">
        <v>266</v>
      </c>
      <c r="K733">
        <v>131</v>
      </c>
      <c r="L733" t="b">
        <v>0</v>
      </c>
      <c r="M733">
        <v>128.63</v>
      </c>
      <c r="N733">
        <v>34214.83</v>
      </c>
      <c r="O733" t="s">
        <v>27</v>
      </c>
      <c r="P733" t="str">
        <f>IF(J733=G733+H733-I733,"OK","Check")</f>
        <v>OK</v>
      </c>
      <c r="Q733" t="str">
        <f>IF(AND(J733&lt;=K733,L733=TRUE),"OK",IF(AND(J733&gt;K733,L733=FALSE),"OK","Check"))</f>
        <v>OK</v>
      </c>
      <c r="R733" t="str">
        <f>IF(ABS(N733-J733*M733)&lt;=J733*0.005+0.01,"OK","Check")</f>
        <v>OK</v>
      </c>
      <c r="S733" s="3">
        <f t="shared" si="11"/>
        <v>1</v>
      </c>
    </row>
    <row r="734" spans="1:19">
      <c r="A734" s="1">
        <v>46082</v>
      </c>
      <c r="B734" t="s">
        <v>265</v>
      </c>
      <c r="C734" t="s">
        <v>115</v>
      </c>
      <c r="D734" t="s">
        <v>116</v>
      </c>
      <c r="E734" t="s">
        <v>109</v>
      </c>
      <c r="F734" t="s">
        <v>110</v>
      </c>
      <c r="G734">
        <v>1127</v>
      </c>
      <c r="H734">
        <v>0</v>
      </c>
      <c r="I734">
        <v>194</v>
      </c>
      <c r="J734">
        <v>933</v>
      </c>
      <c r="K734">
        <v>202</v>
      </c>
      <c r="L734" t="b">
        <v>0</v>
      </c>
      <c r="M734">
        <v>617.78</v>
      </c>
      <c r="N734">
        <v>576388.06999999995</v>
      </c>
      <c r="O734" t="s">
        <v>44</v>
      </c>
      <c r="P734" t="str">
        <f>IF(J734=G734+H734-I734,"OK","Check")</f>
        <v>OK</v>
      </c>
      <c r="Q734" t="str">
        <f>IF(AND(J734&lt;=K734,L734=TRUE),"OK",IF(AND(J734&gt;K734,L734=FALSE),"OK","Check"))</f>
        <v>OK</v>
      </c>
      <c r="R734" t="str">
        <f>IF(ABS(N734-J734*M734)&lt;=J734*0.005+0.01,"OK","Check")</f>
        <v>OK</v>
      </c>
      <c r="S734" s="3">
        <f t="shared" si="11"/>
        <v>1</v>
      </c>
    </row>
    <row r="735" spans="1:19">
      <c r="A735" s="1">
        <v>46082</v>
      </c>
      <c r="B735" t="s">
        <v>265</v>
      </c>
      <c r="C735" t="s">
        <v>117</v>
      </c>
      <c r="D735" t="s">
        <v>118</v>
      </c>
      <c r="E735" t="s">
        <v>109</v>
      </c>
      <c r="F735" t="s">
        <v>110</v>
      </c>
      <c r="G735">
        <v>561</v>
      </c>
      <c r="H735">
        <v>0</v>
      </c>
      <c r="I735">
        <v>195</v>
      </c>
      <c r="J735">
        <v>366</v>
      </c>
      <c r="K735">
        <v>315</v>
      </c>
      <c r="L735" t="b">
        <v>0</v>
      </c>
      <c r="M735">
        <v>45.24</v>
      </c>
      <c r="N735">
        <v>16557.64</v>
      </c>
      <c r="O735" t="s">
        <v>32</v>
      </c>
      <c r="P735" t="str">
        <f>IF(J735=G735+H735-I735,"OK","Check")</f>
        <v>OK</v>
      </c>
      <c r="Q735" t="str">
        <f>IF(AND(J735&lt;=K735,L735=TRUE),"OK",IF(AND(J735&gt;K735,L735=FALSE),"OK","Check"))</f>
        <v>OK</v>
      </c>
      <c r="R735" t="str">
        <f>IF(ABS(N735-J735*M735)&lt;=J735*0.005+0.01,"OK","Check")</f>
        <v>OK</v>
      </c>
      <c r="S735" s="3">
        <f t="shared" si="11"/>
        <v>1</v>
      </c>
    </row>
    <row r="736" spans="1:19">
      <c r="A736" s="1">
        <v>46082</v>
      </c>
      <c r="B736" t="s">
        <v>265</v>
      </c>
      <c r="C736" t="s">
        <v>121</v>
      </c>
      <c r="D736" t="s">
        <v>122</v>
      </c>
      <c r="E736" t="s">
        <v>109</v>
      </c>
      <c r="F736" t="s">
        <v>110</v>
      </c>
      <c r="G736">
        <v>112</v>
      </c>
      <c r="H736">
        <v>244</v>
      </c>
      <c r="I736">
        <v>78</v>
      </c>
      <c r="J736">
        <v>278</v>
      </c>
      <c r="K736">
        <v>121</v>
      </c>
      <c r="L736" t="b">
        <v>0</v>
      </c>
      <c r="M736">
        <v>41.64</v>
      </c>
      <c r="N736">
        <v>11577.22</v>
      </c>
      <c r="O736" t="s">
        <v>47</v>
      </c>
      <c r="P736" t="str">
        <f>IF(J736=G736+H736-I736,"OK","Check")</f>
        <v>OK</v>
      </c>
      <c r="Q736" t="str">
        <f>IF(AND(J736&lt;=K736,L736=TRUE),"OK",IF(AND(J736&gt;K736,L736=FALSE),"OK","Check"))</f>
        <v>OK</v>
      </c>
      <c r="R736" t="str">
        <f>IF(ABS(N736-J736*M736)&lt;=J736*0.005+0.01,"OK","Check")</f>
        <v>OK</v>
      </c>
      <c r="S736" s="3">
        <f t="shared" si="11"/>
        <v>1</v>
      </c>
    </row>
    <row r="737" spans="1:19">
      <c r="A737" s="1">
        <v>46082</v>
      </c>
      <c r="B737" t="s">
        <v>265</v>
      </c>
      <c r="C737" t="s">
        <v>123</v>
      </c>
      <c r="D737" t="s">
        <v>124</v>
      </c>
      <c r="E737" t="s">
        <v>109</v>
      </c>
      <c r="F737" t="s">
        <v>110</v>
      </c>
      <c r="G737">
        <v>64</v>
      </c>
      <c r="H737">
        <v>115</v>
      </c>
      <c r="I737">
        <v>55</v>
      </c>
      <c r="J737">
        <v>124</v>
      </c>
      <c r="K737">
        <v>54</v>
      </c>
      <c r="L737" t="b">
        <v>0</v>
      </c>
      <c r="M737">
        <v>160.26</v>
      </c>
      <c r="N737">
        <v>19872.41</v>
      </c>
      <c r="O737" t="s">
        <v>24</v>
      </c>
      <c r="P737" t="str">
        <f>IF(J737=G737+H737-I737,"OK","Check")</f>
        <v>OK</v>
      </c>
      <c r="Q737" t="str">
        <f>IF(AND(J737&lt;=K737,L737=TRUE),"OK",IF(AND(J737&gt;K737,L737=FALSE),"OK","Check"))</f>
        <v>OK</v>
      </c>
      <c r="R737" t="str">
        <f>IF(ABS(N737-J737*M737)&lt;=J737*0.005+0.01,"OK","Check")</f>
        <v>OK</v>
      </c>
      <c r="S737" s="3">
        <f t="shared" si="11"/>
        <v>1</v>
      </c>
    </row>
    <row r="738" spans="1:19">
      <c r="A738" s="1">
        <v>46082</v>
      </c>
      <c r="B738" t="s">
        <v>265</v>
      </c>
      <c r="C738" t="s">
        <v>125</v>
      </c>
      <c r="D738" t="s">
        <v>126</v>
      </c>
      <c r="E738" t="s">
        <v>109</v>
      </c>
      <c r="F738" t="s">
        <v>110</v>
      </c>
      <c r="G738">
        <v>25</v>
      </c>
      <c r="H738">
        <v>89</v>
      </c>
      <c r="I738">
        <v>24</v>
      </c>
      <c r="J738">
        <v>90</v>
      </c>
      <c r="K738">
        <v>38</v>
      </c>
      <c r="L738" t="b">
        <v>0</v>
      </c>
      <c r="M738">
        <v>133.07</v>
      </c>
      <c r="N738">
        <v>11976.24</v>
      </c>
      <c r="O738" t="s">
        <v>47</v>
      </c>
      <c r="P738" t="str">
        <f>IF(J738=G738+H738-I738,"OK","Check")</f>
        <v>OK</v>
      </c>
      <c r="Q738" t="str">
        <f>IF(AND(J738&lt;=K738,L738=TRUE),"OK",IF(AND(J738&gt;K738,L738=FALSE),"OK","Check"))</f>
        <v>OK</v>
      </c>
      <c r="R738" t="str">
        <f>IF(ABS(N738-J738*M738)&lt;=J738*0.005+0.01,"OK","Check")</f>
        <v>OK</v>
      </c>
      <c r="S738" s="3">
        <f t="shared" si="11"/>
        <v>1</v>
      </c>
    </row>
    <row r="739" spans="1:19">
      <c r="A739" s="1">
        <v>46082</v>
      </c>
      <c r="B739" t="s">
        <v>265</v>
      </c>
      <c r="C739" t="s">
        <v>127</v>
      </c>
      <c r="D739" t="s">
        <v>128</v>
      </c>
      <c r="E739" t="s">
        <v>109</v>
      </c>
      <c r="F739" t="s">
        <v>110</v>
      </c>
      <c r="G739">
        <v>131</v>
      </c>
      <c r="H739">
        <v>408</v>
      </c>
      <c r="I739">
        <v>150</v>
      </c>
      <c r="J739">
        <v>389</v>
      </c>
      <c r="K739">
        <v>160</v>
      </c>
      <c r="L739" t="b">
        <v>0</v>
      </c>
      <c r="M739">
        <v>681.87</v>
      </c>
      <c r="N739">
        <v>265246.83</v>
      </c>
      <c r="O739" t="s">
        <v>44</v>
      </c>
      <c r="P739" t="str">
        <f>IF(J739=G739+H739-I739,"OK","Check")</f>
        <v>OK</v>
      </c>
      <c r="Q739" t="str">
        <f>IF(AND(J739&lt;=K739,L739=TRUE),"OK",IF(AND(J739&gt;K739,L739=FALSE),"OK","Check"))</f>
        <v>OK</v>
      </c>
      <c r="R739" t="str">
        <f>IF(ABS(N739-J739*M739)&lt;=J739*0.005+0.01,"OK","Check")</f>
        <v>OK</v>
      </c>
      <c r="S739" s="3">
        <f t="shared" si="11"/>
        <v>1</v>
      </c>
    </row>
    <row r="740" spans="1:19">
      <c r="A740" s="1">
        <v>46082</v>
      </c>
      <c r="B740" t="s">
        <v>265</v>
      </c>
      <c r="C740" t="s">
        <v>131</v>
      </c>
      <c r="D740" t="s">
        <v>132</v>
      </c>
      <c r="E740" t="s">
        <v>109</v>
      </c>
      <c r="F740" t="s">
        <v>110</v>
      </c>
      <c r="G740">
        <v>107</v>
      </c>
      <c r="H740">
        <v>254</v>
      </c>
      <c r="I740">
        <v>119</v>
      </c>
      <c r="J740">
        <v>242</v>
      </c>
      <c r="K740">
        <v>121</v>
      </c>
      <c r="L740" t="b">
        <v>0</v>
      </c>
      <c r="M740">
        <v>1949.76</v>
      </c>
      <c r="N740">
        <v>471842.44</v>
      </c>
      <c r="O740" t="s">
        <v>24</v>
      </c>
      <c r="P740" t="str">
        <f>IF(J740=G740+H740-I740,"OK","Check")</f>
        <v>OK</v>
      </c>
      <c r="Q740" t="str">
        <f>IF(AND(J740&lt;=K740,L740=TRUE),"OK",IF(AND(J740&gt;K740,L740=FALSE),"OK","Check"))</f>
        <v>OK</v>
      </c>
      <c r="R740" t="str">
        <f>IF(ABS(N740-J740*M740)&lt;=J740*0.005+0.01,"OK","Check")</f>
        <v>OK</v>
      </c>
      <c r="S740" s="3">
        <f t="shared" si="11"/>
        <v>1</v>
      </c>
    </row>
    <row r="741" spans="1:19">
      <c r="A741" s="1">
        <v>46082</v>
      </c>
      <c r="B741" t="s">
        <v>265</v>
      </c>
      <c r="C741" t="s">
        <v>133</v>
      </c>
      <c r="D741" t="s">
        <v>134</v>
      </c>
      <c r="E741" t="s">
        <v>109</v>
      </c>
      <c r="F741" t="s">
        <v>110</v>
      </c>
      <c r="G741">
        <v>353</v>
      </c>
      <c r="H741">
        <v>0</v>
      </c>
      <c r="I741">
        <v>66</v>
      </c>
      <c r="J741">
        <v>287</v>
      </c>
      <c r="K741">
        <v>121</v>
      </c>
      <c r="L741" t="b">
        <v>0</v>
      </c>
      <c r="M741">
        <v>20.34</v>
      </c>
      <c r="N741">
        <v>5837.65</v>
      </c>
      <c r="O741" t="s">
        <v>98</v>
      </c>
      <c r="P741" t="str">
        <f>IF(J741=G741+H741-I741,"OK","Check")</f>
        <v>OK</v>
      </c>
      <c r="Q741" t="str">
        <f>IF(AND(J741&lt;=K741,L741=TRUE),"OK",IF(AND(J741&gt;K741,L741=FALSE),"OK","Check"))</f>
        <v>OK</v>
      </c>
      <c r="R741" t="str">
        <f>IF(ABS(N741-J741*M741)&lt;=J741*0.005+0.01,"OK","Check")</f>
        <v>OK</v>
      </c>
      <c r="S741" s="3">
        <f t="shared" si="11"/>
        <v>1</v>
      </c>
    </row>
    <row r="742" spans="1:19">
      <c r="A742" s="1">
        <v>46082</v>
      </c>
      <c r="B742" t="s">
        <v>265</v>
      </c>
      <c r="C742" t="s">
        <v>135</v>
      </c>
      <c r="D742" t="s">
        <v>136</v>
      </c>
      <c r="E742" t="s">
        <v>109</v>
      </c>
      <c r="F742" t="s">
        <v>110</v>
      </c>
      <c r="G742">
        <v>199</v>
      </c>
      <c r="H742">
        <v>342</v>
      </c>
      <c r="I742">
        <v>215</v>
      </c>
      <c r="J742">
        <v>326</v>
      </c>
      <c r="K742">
        <v>190</v>
      </c>
      <c r="L742" t="b">
        <v>0</v>
      </c>
      <c r="M742">
        <v>102.56</v>
      </c>
      <c r="N742">
        <v>33433.42</v>
      </c>
      <c r="O742" t="s">
        <v>32</v>
      </c>
      <c r="P742" t="str">
        <f>IF(J742=G742+H742-I742,"OK","Check")</f>
        <v>OK</v>
      </c>
      <c r="Q742" t="str">
        <f>IF(AND(J742&lt;=K742,L742=TRUE),"OK",IF(AND(J742&gt;K742,L742=FALSE),"OK","Check"))</f>
        <v>OK</v>
      </c>
      <c r="R742" t="str">
        <f>IF(ABS(N742-J742*M742)&lt;=J742*0.005+0.01,"OK","Check")</f>
        <v>OK</v>
      </c>
      <c r="S742" s="3">
        <f t="shared" si="11"/>
        <v>1</v>
      </c>
    </row>
    <row r="743" spans="1:19">
      <c r="A743" s="1">
        <v>46082</v>
      </c>
      <c r="B743" t="s">
        <v>265</v>
      </c>
      <c r="C743" t="s">
        <v>137</v>
      </c>
      <c r="D743" t="s">
        <v>138</v>
      </c>
      <c r="E743" t="s">
        <v>109</v>
      </c>
      <c r="F743" t="s">
        <v>110</v>
      </c>
      <c r="G743">
        <v>59</v>
      </c>
      <c r="H743">
        <v>213</v>
      </c>
      <c r="I743">
        <v>68</v>
      </c>
      <c r="J743">
        <v>204</v>
      </c>
      <c r="K743">
        <v>67</v>
      </c>
      <c r="L743" t="b">
        <v>0</v>
      </c>
      <c r="M743">
        <v>66.459999999999994</v>
      </c>
      <c r="N743">
        <v>13557.39</v>
      </c>
      <c r="O743" t="s">
        <v>27</v>
      </c>
      <c r="P743" t="str">
        <f>IF(J743=G743+H743-I743,"OK","Check")</f>
        <v>OK</v>
      </c>
      <c r="Q743" t="str">
        <f>IF(AND(J743&lt;=K743,L743=TRUE),"OK",IF(AND(J743&gt;K743,L743=FALSE),"OK","Check"))</f>
        <v>OK</v>
      </c>
      <c r="R743" t="str">
        <f>IF(ABS(N743-J743*M743)&lt;=J743*0.005+0.01,"OK","Check")</f>
        <v>OK</v>
      </c>
      <c r="S743" s="3">
        <f t="shared" si="11"/>
        <v>1</v>
      </c>
    </row>
    <row r="744" spans="1:19">
      <c r="A744" s="1">
        <v>46082</v>
      </c>
      <c r="B744" t="s">
        <v>265</v>
      </c>
      <c r="C744" t="s">
        <v>139</v>
      </c>
      <c r="D744" t="s">
        <v>140</v>
      </c>
      <c r="E744" t="s">
        <v>109</v>
      </c>
      <c r="F744" t="s">
        <v>110</v>
      </c>
      <c r="G744">
        <v>54</v>
      </c>
      <c r="H744">
        <v>204</v>
      </c>
      <c r="I744">
        <v>69</v>
      </c>
      <c r="J744">
        <v>189</v>
      </c>
      <c r="K744">
        <v>106</v>
      </c>
      <c r="L744" t="b">
        <v>0</v>
      </c>
      <c r="M744">
        <v>255.29</v>
      </c>
      <c r="N744">
        <v>48248.88</v>
      </c>
      <c r="O744" t="s">
        <v>32</v>
      </c>
      <c r="P744" t="str">
        <f>IF(J744=G744+H744-I744,"OK","Check")</f>
        <v>OK</v>
      </c>
      <c r="Q744" t="str">
        <f>IF(AND(J744&lt;=K744,L744=TRUE),"OK",IF(AND(J744&gt;K744,L744=FALSE),"OK","Check"))</f>
        <v>OK</v>
      </c>
      <c r="R744" t="str">
        <f>IF(ABS(N744-J744*M744)&lt;=J744*0.005+0.01,"OK","Check")</f>
        <v>OK</v>
      </c>
      <c r="S744" s="3">
        <f t="shared" si="11"/>
        <v>1</v>
      </c>
    </row>
    <row r="745" spans="1:19">
      <c r="A745" s="1">
        <v>46082</v>
      </c>
      <c r="B745" t="s">
        <v>265</v>
      </c>
      <c r="C745" t="s">
        <v>141</v>
      </c>
      <c r="D745" t="s">
        <v>142</v>
      </c>
      <c r="E745" t="s">
        <v>109</v>
      </c>
      <c r="F745" t="s">
        <v>110</v>
      </c>
      <c r="G745">
        <v>352</v>
      </c>
      <c r="H745">
        <v>0</v>
      </c>
      <c r="I745">
        <v>178</v>
      </c>
      <c r="J745">
        <v>174</v>
      </c>
      <c r="K745">
        <v>211</v>
      </c>
      <c r="L745" t="b">
        <v>1</v>
      </c>
      <c r="M745">
        <v>89.41</v>
      </c>
      <c r="N745">
        <v>15557.43</v>
      </c>
      <c r="O745" t="s">
        <v>37</v>
      </c>
      <c r="P745" t="str">
        <f>IF(J745=G745+H745-I745,"OK","Check")</f>
        <v>OK</v>
      </c>
      <c r="Q745" t="str">
        <f>IF(AND(J745&lt;=K745,L745=TRUE),"OK",IF(AND(J745&gt;K745,L745=FALSE),"OK","Check"))</f>
        <v>OK</v>
      </c>
      <c r="R745" t="str">
        <f>IF(ABS(N745-J745*M745)&lt;=J745*0.005+0.01,"OK","Check")</f>
        <v>OK</v>
      </c>
      <c r="S745" s="3">
        <f t="shared" si="11"/>
        <v>1</v>
      </c>
    </row>
    <row r="746" spans="1:19">
      <c r="A746" s="1">
        <v>46082</v>
      </c>
      <c r="B746" t="s">
        <v>265</v>
      </c>
      <c r="C746" t="s">
        <v>143</v>
      </c>
      <c r="D746" t="s">
        <v>144</v>
      </c>
      <c r="E746" t="s">
        <v>109</v>
      </c>
      <c r="F746" t="s">
        <v>110</v>
      </c>
      <c r="G746">
        <v>134</v>
      </c>
      <c r="H746">
        <v>0</v>
      </c>
      <c r="I746">
        <v>24</v>
      </c>
      <c r="J746">
        <v>110</v>
      </c>
      <c r="K746">
        <v>42</v>
      </c>
      <c r="L746" t="b">
        <v>0</v>
      </c>
      <c r="M746">
        <v>402.3</v>
      </c>
      <c r="N746">
        <v>44253.29</v>
      </c>
      <c r="O746" t="s">
        <v>24</v>
      </c>
      <c r="P746" t="str">
        <f>IF(J746=G746+H746-I746,"OK","Check")</f>
        <v>OK</v>
      </c>
      <c r="Q746" t="str">
        <f>IF(AND(J746&lt;=K746,L746=TRUE),"OK",IF(AND(J746&gt;K746,L746=FALSE),"OK","Check"))</f>
        <v>OK</v>
      </c>
      <c r="R746" t="str">
        <f>IF(ABS(N746-J746*M746)&lt;=J746*0.005+0.01,"OK","Check")</f>
        <v>OK</v>
      </c>
      <c r="S746" s="3">
        <f t="shared" si="11"/>
        <v>1</v>
      </c>
    </row>
    <row r="747" spans="1:19">
      <c r="A747" s="1">
        <v>46082</v>
      </c>
      <c r="B747" t="s">
        <v>265</v>
      </c>
      <c r="C747" t="s">
        <v>145</v>
      </c>
      <c r="D747" t="s">
        <v>146</v>
      </c>
      <c r="E747" t="s">
        <v>109</v>
      </c>
      <c r="F747" t="s">
        <v>110</v>
      </c>
      <c r="G747">
        <v>105</v>
      </c>
      <c r="H747">
        <v>239</v>
      </c>
      <c r="I747">
        <v>91</v>
      </c>
      <c r="J747">
        <v>253</v>
      </c>
      <c r="K747">
        <v>72</v>
      </c>
      <c r="L747" t="b">
        <v>0</v>
      </c>
      <c r="M747">
        <v>70.3</v>
      </c>
      <c r="N747">
        <v>17785.04</v>
      </c>
      <c r="O747" t="s">
        <v>37</v>
      </c>
      <c r="P747" t="str">
        <f>IF(J747=G747+H747-I747,"OK","Check")</f>
        <v>OK</v>
      </c>
      <c r="Q747" t="str">
        <f>IF(AND(J747&lt;=K747,L747=TRUE),"OK",IF(AND(J747&gt;K747,L747=FALSE),"OK","Check"))</f>
        <v>OK</v>
      </c>
      <c r="R747" t="str">
        <f>IF(ABS(N747-J747*M747)&lt;=J747*0.005+0.01,"OK","Check")</f>
        <v>OK</v>
      </c>
      <c r="S747" s="3">
        <f t="shared" si="11"/>
        <v>1</v>
      </c>
    </row>
    <row r="748" spans="1:19">
      <c r="A748" s="1">
        <v>46082</v>
      </c>
      <c r="B748" t="s">
        <v>265</v>
      </c>
      <c r="C748" t="s">
        <v>147</v>
      </c>
      <c r="D748" t="s">
        <v>148</v>
      </c>
      <c r="E748" t="s">
        <v>109</v>
      </c>
      <c r="F748" t="s">
        <v>110</v>
      </c>
      <c r="G748">
        <v>366</v>
      </c>
      <c r="H748">
        <v>0</v>
      </c>
      <c r="I748">
        <v>117</v>
      </c>
      <c r="J748">
        <v>249</v>
      </c>
      <c r="K748">
        <v>246</v>
      </c>
      <c r="L748" t="b">
        <v>0</v>
      </c>
      <c r="M748">
        <v>308.64999999999998</v>
      </c>
      <c r="N748">
        <v>76853.490000000005</v>
      </c>
      <c r="O748" t="s">
        <v>98</v>
      </c>
      <c r="P748" t="str">
        <f>IF(J748=G748+H748-I748,"OK","Check")</f>
        <v>OK</v>
      </c>
      <c r="Q748" t="str">
        <f>IF(AND(J748&lt;=K748,L748=TRUE),"OK",IF(AND(J748&gt;K748,L748=FALSE),"OK","Check"))</f>
        <v>OK</v>
      </c>
      <c r="R748" t="str">
        <f>IF(ABS(N748-J748*M748)&lt;=J748*0.005+0.01,"OK","Check")</f>
        <v>OK</v>
      </c>
      <c r="S748" s="3">
        <f t="shared" si="11"/>
        <v>1</v>
      </c>
    </row>
    <row r="749" spans="1:19">
      <c r="A749" s="1">
        <v>46082</v>
      </c>
      <c r="B749" t="s">
        <v>265</v>
      </c>
      <c r="C749" t="s">
        <v>149</v>
      </c>
      <c r="D749" t="s">
        <v>150</v>
      </c>
      <c r="E749" t="s">
        <v>151</v>
      </c>
      <c r="F749" t="s">
        <v>23</v>
      </c>
      <c r="G749">
        <v>535</v>
      </c>
      <c r="H749">
        <v>0</v>
      </c>
      <c r="I749">
        <v>198</v>
      </c>
      <c r="J749">
        <v>337</v>
      </c>
      <c r="K749">
        <v>205</v>
      </c>
      <c r="L749" t="b">
        <v>0</v>
      </c>
      <c r="M749">
        <v>244.94</v>
      </c>
      <c r="N749">
        <v>82545.09</v>
      </c>
      <c r="O749" t="s">
        <v>32</v>
      </c>
      <c r="P749" t="str">
        <f>IF(J749=G749+H749-I749,"OK","Check")</f>
        <v>OK</v>
      </c>
      <c r="Q749" t="str">
        <f>IF(AND(J749&lt;=K749,L749=TRUE),"OK",IF(AND(J749&gt;K749,L749=FALSE),"OK","Check"))</f>
        <v>OK</v>
      </c>
      <c r="R749" t="str">
        <f>IF(ABS(N749-J749*M749)&lt;=J749*0.005+0.01,"OK","Check")</f>
        <v>OK</v>
      </c>
      <c r="S749" s="3">
        <f t="shared" si="11"/>
        <v>1</v>
      </c>
    </row>
    <row r="750" spans="1:19">
      <c r="A750" s="1">
        <v>46082</v>
      </c>
      <c r="B750" t="s">
        <v>265</v>
      </c>
      <c r="C750" t="s">
        <v>152</v>
      </c>
      <c r="D750" t="s">
        <v>153</v>
      </c>
      <c r="E750" t="s">
        <v>151</v>
      </c>
      <c r="F750" t="s">
        <v>23</v>
      </c>
      <c r="G750">
        <v>145</v>
      </c>
      <c r="H750">
        <v>0</v>
      </c>
      <c r="I750">
        <v>50</v>
      </c>
      <c r="J750">
        <v>95</v>
      </c>
      <c r="K750">
        <v>58</v>
      </c>
      <c r="L750" t="b">
        <v>0</v>
      </c>
      <c r="M750">
        <v>1219.48</v>
      </c>
      <c r="N750">
        <v>115850.66</v>
      </c>
      <c r="O750" t="s">
        <v>98</v>
      </c>
      <c r="P750" t="str">
        <f>IF(J750=G750+H750-I750,"OK","Check")</f>
        <v>OK</v>
      </c>
      <c r="Q750" t="str">
        <f>IF(AND(J750&lt;=K750,L750=TRUE),"OK",IF(AND(J750&gt;K750,L750=FALSE),"OK","Check"))</f>
        <v>OK</v>
      </c>
      <c r="R750" t="str">
        <f>IF(ABS(N750-J750*M750)&lt;=J750*0.005+0.01,"OK","Check")</f>
        <v>OK</v>
      </c>
      <c r="S750" s="3">
        <f t="shared" si="11"/>
        <v>1</v>
      </c>
    </row>
    <row r="751" spans="1:19">
      <c r="A751" s="1">
        <v>46082</v>
      </c>
      <c r="B751" t="s">
        <v>265</v>
      </c>
      <c r="C751" t="s">
        <v>154</v>
      </c>
      <c r="D751" t="s">
        <v>155</v>
      </c>
      <c r="E751" t="s">
        <v>151</v>
      </c>
      <c r="F751" t="s">
        <v>23</v>
      </c>
      <c r="G751">
        <v>82</v>
      </c>
      <c r="H751">
        <v>205</v>
      </c>
      <c r="I751">
        <v>108</v>
      </c>
      <c r="J751">
        <v>179</v>
      </c>
      <c r="K751">
        <v>123</v>
      </c>
      <c r="L751" t="b">
        <v>0</v>
      </c>
      <c r="M751">
        <v>328.49</v>
      </c>
      <c r="N751">
        <v>58799.89</v>
      </c>
      <c r="O751" t="s">
        <v>60</v>
      </c>
      <c r="P751" t="str">
        <f>IF(J751=G751+H751-I751,"OK","Check")</f>
        <v>OK</v>
      </c>
      <c r="Q751" t="str">
        <f>IF(AND(J751&lt;=K751,L751=TRUE),"OK",IF(AND(J751&gt;K751,L751=FALSE),"OK","Check"))</f>
        <v>OK</v>
      </c>
      <c r="R751" t="str">
        <f>IF(ABS(N751-J751*M751)&lt;=J751*0.005+0.01,"OK","Check")</f>
        <v>OK</v>
      </c>
      <c r="S751" s="3">
        <f t="shared" si="11"/>
        <v>1</v>
      </c>
    </row>
    <row r="752" spans="1:19">
      <c r="A752" s="1">
        <v>46082</v>
      </c>
      <c r="B752" t="s">
        <v>265</v>
      </c>
      <c r="C752" t="s">
        <v>156</v>
      </c>
      <c r="D752" t="s">
        <v>157</v>
      </c>
      <c r="E752" t="s">
        <v>151</v>
      </c>
      <c r="F752" t="s">
        <v>23</v>
      </c>
      <c r="G752">
        <v>57</v>
      </c>
      <c r="H752">
        <v>0</v>
      </c>
      <c r="I752">
        <v>35</v>
      </c>
      <c r="J752">
        <v>22</v>
      </c>
      <c r="K752">
        <v>33</v>
      </c>
      <c r="L752" t="b">
        <v>1</v>
      </c>
      <c r="M752">
        <v>1553.05</v>
      </c>
      <c r="N752">
        <v>34167.19</v>
      </c>
      <c r="O752" t="s">
        <v>32</v>
      </c>
      <c r="P752" t="str">
        <f>IF(J752=G752+H752-I752,"OK","Check")</f>
        <v>OK</v>
      </c>
      <c r="Q752" t="str">
        <f>IF(AND(J752&lt;=K752,L752=TRUE),"OK",IF(AND(J752&gt;K752,L752=FALSE),"OK","Check"))</f>
        <v>OK</v>
      </c>
      <c r="R752" t="str">
        <f>IF(ABS(N752-J752*M752)&lt;=J752*0.005+0.01,"OK","Check")</f>
        <v>OK</v>
      </c>
      <c r="S752" s="3">
        <f t="shared" si="11"/>
        <v>1</v>
      </c>
    </row>
    <row r="753" spans="1:19">
      <c r="A753" s="1">
        <v>46082</v>
      </c>
      <c r="B753" t="s">
        <v>265</v>
      </c>
      <c r="C753" t="s">
        <v>158</v>
      </c>
      <c r="D753" t="s">
        <v>159</v>
      </c>
      <c r="E753" t="s">
        <v>151</v>
      </c>
      <c r="F753" t="s">
        <v>23</v>
      </c>
      <c r="G753">
        <v>203</v>
      </c>
      <c r="H753">
        <v>0</v>
      </c>
      <c r="I753">
        <v>155</v>
      </c>
      <c r="J753">
        <v>48</v>
      </c>
      <c r="K753">
        <v>164</v>
      </c>
      <c r="L753" t="b">
        <v>1</v>
      </c>
      <c r="M753">
        <v>41.26</v>
      </c>
      <c r="N753">
        <v>1980.33</v>
      </c>
      <c r="O753" t="s">
        <v>37</v>
      </c>
      <c r="P753" t="str">
        <f>IF(J753=G753+H753-I753,"OK","Check")</f>
        <v>OK</v>
      </c>
      <c r="Q753" t="str">
        <f>IF(AND(J753&lt;=K753,L753=TRUE),"OK",IF(AND(J753&gt;K753,L753=FALSE),"OK","Check"))</f>
        <v>OK</v>
      </c>
      <c r="R753" t="str">
        <f>IF(ABS(N753-J753*M753)&lt;=J753*0.005+0.01,"OK","Check")</f>
        <v>OK</v>
      </c>
      <c r="S753" s="3">
        <f t="shared" si="11"/>
        <v>1</v>
      </c>
    </row>
    <row r="754" spans="1:19">
      <c r="A754" s="1">
        <v>46082</v>
      </c>
      <c r="B754" t="s">
        <v>265</v>
      </c>
      <c r="C754" t="s">
        <v>160</v>
      </c>
      <c r="D754" t="s">
        <v>161</v>
      </c>
      <c r="E754" t="s">
        <v>151</v>
      </c>
      <c r="F754" t="s">
        <v>23</v>
      </c>
      <c r="G754">
        <v>146</v>
      </c>
      <c r="H754">
        <v>684</v>
      </c>
      <c r="I754">
        <v>208</v>
      </c>
      <c r="J754">
        <v>622</v>
      </c>
      <c r="K754">
        <v>267</v>
      </c>
      <c r="L754" t="b">
        <v>0</v>
      </c>
      <c r="M754">
        <v>215.04</v>
      </c>
      <c r="N754">
        <v>133757.57999999999</v>
      </c>
      <c r="O754" t="s">
        <v>24</v>
      </c>
      <c r="P754" t="str">
        <f>IF(J754=G754+H754-I754,"OK","Check")</f>
        <v>OK</v>
      </c>
      <c r="Q754" t="str">
        <f>IF(AND(J754&lt;=K754,L754=TRUE),"OK",IF(AND(J754&gt;K754,L754=FALSE),"OK","Check"))</f>
        <v>OK</v>
      </c>
      <c r="R754" t="str">
        <f>IF(ABS(N754-J754*M754)&lt;=J754*0.005+0.01,"OK","Check")</f>
        <v>OK</v>
      </c>
      <c r="S754" s="3">
        <f t="shared" si="11"/>
        <v>1</v>
      </c>
    </row>
    <row r="755" spans="1:19">
      <c r="A755" s="1">
        <v>46082</v>
      </c>
      <c r="B755" t="s">
        <v>265</v>
      </c>
      <c r="C755" t="s">
        <v>162</v>
      </c>
      <c r="D755" t="s">
        <v>163</v>
      </c>
      <c r="E755" t="s">
        <v>151</v>
      </c>
      <c r="F755" t="s">
        <v>23</v>
      </c>
      <c r="G755">
        <v>145</v>
      </c>
      <c r="H755">
        <v>228</v>
      </c>
      <c r="I755">
        <v>74</v>
      </c>
      <c r="J755">
        <v>299</v>
      </c>
      <c r="K755">
        <v>121</v>
      </c>
      <c r="L755" t="b">
        <v>0</v>
      </c>
      <c r="M755">
        <v>216.21</v>
      </c>
      <c r="N755">
        <v>64647.16</v>
      </c>
      <c r="O755" t="s">
        <v>37</v>
      </c>
      <c r="P755" t="str">
        <f>IF(J755=G755+H755-I755,"OK","Check")</f>
        <v>OK</v>
      </c>
      <c r="Q755" t="str">
        <f>IF(AND(J755&lt;=K755,L755=TRUE),"OK",IF(AND(J755&gt;K755,L755=FALSE),"OK","Check"))</f>
        <v>OK</v>
      </c>
      <c r="R755" t="str">
        <f>IF(ABS(N755-J755*M755)&lt;=J755*0.005+0.01,"OK","Check")</f>
        <v>OK</v>
      </c>
      <c r="S755" s="3">
        <f t="shared" si="11"/>
        <v>1</v>
      </c>
    </row>
    <row r="756" spans="1:19">
      <c r="A756" s="1">
        <v>46082</v>
      </c>
      <c r="B756" t="s">
        <v>265</v>
      </c>
      <c r="C756" t="s">
        <v>164</v>
      </c>
      <c r="D756" t="s">
        <v>165</v>
      </c>
      <c r="E756" t="s">
        <v>151</v>
      </c>
      <c r="F756" t="s">
        <v>23</v>
      </c>
      <c r="G756">
        <v>52</v>
      </c>
      <c r="H756">
        <v>145</v>
      </c>
      <c r="I756">
        <v>35</v>
      </c>
      <c r="J756">
        <v>162</v>
      </c>
      <c r="K756">
        <v>77</v>
      </c>
      <c r="L756" t="b">
        <v>0</v>
      </c>
      <c r="M756">
        <v>1049.95</v>
      </c>
      <c r="N756">
        <v>170091.61</v>
      </c>
      <c r="O756" t="s">
        <v>98</v>
      </c>
      <c r="P756" t="str">
        <f>IF(J756=G756+H756-I756,"OK","Check")</f>
        <v>OK</v>
      </c>
      <c r="Q756" t="str">
        <f>IF(AND(J756&lt;=K756,L756=TRUE),"OK",IF(AND(J756&gt;K756,L756=FALSE),"OK","Check"))</f>
        <v>OK</v>
      </c>
      <c r="R756" t="str">
        <f>IF(ABS(N756-J756*M756)&lt;=J756*0.005+0.01,"OK","Check")</f>
        <v>OK</v>
      </c>
      <c r="S756" s="3">
        <f t="shared" si="11"/>
        <v>1</v>
      </c>
    </row>
    <row r="757" spans="1:19">
      <c r="A757" s="1">
        <v>46082</v>
      </c>
      <c r="B757" t="s">
        <v>265</v>
      </c>
      <c r="C757" t="s">
        <v>166</v>
      </c>
      <c r="D757" t="s">
        <v>167</v>
      </c>
      <c r="E757" t="s">
        <v>151</v>
      </c>
      <c r="F757" t="s">
        <v>23</v>
      </c>
      <c r="G757">
        <v>10</v>
      </c>
      <c r="H757">
        <v>90</v>
      </c>
      <c r="I757">
        <v>34</v>
      </c>
      <c r="J757">
        <v>66</v>
      </c>
      <c r="K757">
        <v>23</v>
      </c>
      <c r="L757" t="b">
        <v>0</v>
      </c>
      <c r="M757">
        <v>130.66999999999999</v>
      </c>
      <c r="N757">
        <v>8624.15</v>
      </c>
      <c r="O757" t="s">
        <v>44</v>
      </c>
      <c r="P757" t="str">
        <f>IF(J757=G757+H757-I757,"OK","Check")</f>
        <v>OK</v>
      </c>
      <c r="Q757" t="str">
        <f>IF(AND(J757&lt;=K757,L757=TRUE),"OK",IF(AND(J757&gt;K757,L757=FALSE),"OK","Check"))</f>
        <v>OK</v>
      </c>
      <c r="R757" t="str">
        <f>IF(ABS(N757-J757*M757)&lt;=J757*0.005+0.01,"OK","Check")</f>
        <v>OK</v>
      </c>
      <c r="S757" s="3">
        <f t="shared" si="11"/>
        <v>1</v>
      </c>
    </row>
    <row r="758" spans="1:19">
      <c r="A758" s="1">
        <v>46082</v>
      </c>
      <c r="B758" t="s">
        <v>265</v>
      </c>
      <c r="C758" t="s">
        <v>168</v>
      </c>
      <c r="D758" t="s">
        <v>169</v>
      </c>
      <c r="E758" t="s">
        <v>151</v>
      </c>
      <c r="F758" t="s">
        <v>23</v>
      </c>
      <c r="G758">
        <v>57</v>
      </c>
      <c r="H758">
        <v>208</v>
      </c>
      <c r="I758">
        <v>86</v>
      </c>
      <c r="J758">
        <v>179</v>
      </c>
      <c r="K758">
        <v>105</v>
      </c>
      <c r="L758" t="b">
        <v>0</v>
      </c>
      <c r="M758">
        <v>707.73</v>
      </c>
      <c r="N758">
        <v>126683.66</v>
      </c>
      <c r="O758" t="s">
        <v>27</v>
      </c>
      <c r="P758" t="str">
        <f>IF(J758=G758+H758-I758,"OK","Check")</f>
        <v>OK</v>
      </c>
      <c r="Q758" t="str">
        <f>IF(AND(J758&lt;=K758,L758=TRUE),"OK",IF(AND(J758&gt;K758,L758=FALSE),"OK","Check"))</f>
        <v>OK</v>
      </c>
      <c r="R758" t="str">
        <f>IF(ABS(N758-J758*M758)&lt;=J758*0.005+0.01,"OK","Check")</f>
        <v>OK</v>
      </c>
      <c r="S758" s="3">
        <f t="shared" si="11"/>
        <v>1</v>
      </c>
    </row>
    <row r="759" spans="1:19">
      <c r="A759" s="1">
        <v>46082</v>
      </c>
      <c r="B759" t="s">
        <v>265</v>
      </c>
      <c r="C759" t="s">
        <v>170</v>
      </c>
      <c r="D759" t="s">
        <v>171</v>
      </c>
      <c r="E759" t="s">
        <v>151</v>
      </c>
      <c r="F759" t="s">
        <v>23</v>
      </c>
      <c r="G759">
        <v>731</v>
      </c>
      <c r="H759">
        <v>0</v>
      </c>
      <c r="I759">
        <v>89</v>
      </c>
      <c r="J759">
        <v>642</v>
      </c>
      <c r="K759">
        <v>276</v>
      </c>
      <c r="L759" t="b">
        <v>0</v>
      </c>
      <c r="M759">
        <v>3095.16</v>
      </c>
      <c r="N759">
        <v>1987090.91</v>
      </c>
      <c r="O759" t="s">
        <v>47</v>
      </c>
      <c r="P759" t="str">
        <f>IF(J759=G759+H759-I759,"OK","Check")</f>
        <v>OK</v>
      </c>
      <c r="Q759" t="str">
        <f>IF(AND(J759&lt;=K759,L759=TRUE),"OK",IF(AND(J759&gt;K759,L759=FALSE),"OK","Check"))</f>
        <v>OK</v>
      </c>
      <c r="R759" t="str">
        <f>IF(ABS(N759-J759*M759)&lt;=J759*0.005+0.01,"OK","Check")</f>
        <v>OK</v>
      </c>
      <c r="S759" s="3">
        <f t="shared" si="11"/>
        <v>1</v>
      </c>
    </row>
    <row r="760" spans="1:19">
      <c r="A760" s="1">
        <v>46082</v>
      </c>
      <c r="B760" t="s">
        <v>265</v>
      </c>
      <c r="C760" t="s">
        <v>174</v>
      </c>
      <c r="D760" t="s">
        <v>175</v>
      </c>
      <c r="E760" t="s">
        <v>151</v>
      </c>
      <c r="F760" t="s">
        <v>23</v>
      </c>
      <c r="G760">
        <v>29</v>
      </c>
      <c r="H760">
        <v>422</v>
      </c>
      <c r="I760">
        <v>149</v>
      </c>
      <c r="J760">
        <v>302</v>
      </c>
      <c r="K760">
        <v>113</v>
      </c>
      <c r="L760" t="b">
        <v>0</v>
      </c>
      <c r="M760">
        <v>2233.9</v>
      </c>
      <c r="N760">
        <v>674638.02</v>
      </c>
      <c r="O760" t="s">
        <v>27</v>
      </c>
      <c r="P760" t="str">
        <f>IF(J760=G760+H760-I760,"OK","Check")</f>
        <v>OK</v>
      </c>
      <c r="Q760" t="str">
        <f>IF(AND(J760&lt;=K760,L760=TRUE),"OK",IF(AND(J760&gt;K760,L760=FALSE),"OK","Check"))</f>
        <v>OK</v>
      </c>
      <c r="R760" t="str">
        <f>IF(ABS(N760-J760*M760)&lt;=J760*0.005+0.01,"OK","Check")</f>
        <v>OK</v>
      </c>
      <c r="S760" s="3">
        <f t="shared" si="11"/>
        <v>1</v>
      </c>
    </row>
    <row r="761" spans="1:19">
      <c r="A761" s="1">
        <v>46082</v>
      </c>
      <c r="B761" t="s">
        <v>265</v>
      </c>
      <c r="C761" t="s">
        <v>176</v>
      </c>
      <c r="D761" t="s">
        <v>177</v>
      </c>
      <c r="E761" t="s">
        <v>151</v>
      </c>
      <c r="F761" t="s">
        <v>23</v>
      </c>
      <c r="G761">
        <v>217</v>
      </c>
      <c r="H761">
        <v>0</v>
      </c>
      <c r="I761">
        <v>160</v>
      </c>
      <c r="J761">
        <v>57</v>
      </c>
      <c r="K761">
        <v>108</v>
      </c>
      <c r="L761" t="b">
        <v>1</v>
      </c>
      <c r="M761">
        <v>65.59</v>
      </c>
      <c r="N761">
        <v>3738.44</v>
      </c>
      <c r="O761" t="s">
        <v>27</v>
      </c>
      <c r="P761" t="str">
        <f>IF(J761=G761+H761-I761,"OK","Check")</f>
        <v>OK</v>
      </c>
      <c r="Q761" t="str">
        <f>IF(AND(J761&lt;=K761,L761=TRUE),"OK",IF(AND(J761&gt;K761,L761=FALSE),"OK","Check"))</f>
        <v>OK</v>
      </c>
      <c r="R761" t="str">
        <f>IF(ABS(N761-J761*M761)&lt;=J761*0.005+0.01,"OK","Check")</f>
        <v>OK</v>
      </c>
      <c r="S761" s="3">
        <f t="shared" si="11"/>
        <v>1</v>
      </c>
    </row>
    <row r="762" spans="1:19">
      <c r="A762" s="1">
        <v>46082</v>
      </c>
      <c r="B762" t="s">
        <v>265</v>
      </c>
      <c r="C762" t="s">
        <v>178</v>
      </c>
      <c r="D762" t="s">
        <v>179</v>
      </c>
      <c r="E762" t="s">
        <v>151</v>
      </c>
      <c r="F762" t="s">
        <v>23</v>
      </c>
      <c r="G762">
        <v>148</v>
      </c>
      <c r="H762">
        <v>400</v>
      </c>
      <c r="I762">
        <v>136</v>
      </c>
      <c r="J762">
        <v>412</v>
      </c>
      <c r="K762">
        <v>195</v>
      </c>
      <c r="L762" t="b">
        <v>0</v>
      </c>
      <c r="M762">
        <v>346.66</v>
      </c>
      <c r="N762">
        <v>142824.46</v>
      </c>
      <c r="O762" t="s">
        <v>32</v>
      </c>
      <c r="P762" t="str">
        <f>IF(J762=G762+H762-I762,"OK","Check")</f>
        <v>OK</v>
      </c>
      <c r="Q762" t="str">
        <f>IF(AND(J762&lt;=K762,L762=TRUE),"OK",IF(AND(J762&gt;K762,L762=FALSE),"OK","Check"))</f>
        <v>OK</v>
      </c>
      <c r="R762" t="str">
        <f>IF(ABS(N762-J762*M762)&lt;=J762*0.005+0.01,"OK","Check")</f>
        <v>OK</v>
      </c>
      <c r="S762" s="3">
        <f t="shared" si="11"/>
        <v>1</v>
      </c>
    </row>
    <row r="763" spans="1:19">
      <c r="A763" s="1">
        <v>46082</v>
      </c>
      <c r="B763" t="s">
        <v>265</v>
      </c>
      <c r="C763" t="s">
        <v>180</v>
      </c>
      <c r="D763" t="s">
        <v>181</v>
      </c>
      <c r="E763" t="s">
        <v>151</v>
      </c>
      <c r="F763" t="s">
        <v>23</v>
      </c>
      <c r="G763">
        <v>286</v>
      </c>
      <c r="H763">
        <v>0</v>
      </c>
      <c r="I763">
        <v>118</v>
      </c>
      <c r="J763">
        <v>168</v>
      </c>
      <c r="K763">
        <v>179</v>
      </c>
      <c r="L763" t="b">
        <v>1</v>
      </c>
      <c r="M763">
        <v>50.4</v>
      </c>
      <c r="N763">
        <v>8466.7099999999991</v>
      </c>
      <c r="O763" t="s">
        <v>44</v>
      </c>
      <c r="P763" t="str">
        <f>IF(J763=G763+H763-I763,"OK","Check")</f>
        <v>OK</v>
      </c>
      <c r="Q763" t="str">
        <f>IF(AND(J763&lt;=K763,L763=TRUE),"OK",IF(AND(J763&gt;K763,L763=FALSE),"OK","Check"))</f>
        <v>OK</v>
      </c>
      <c r="R763" t="str">
        <f>IF(ABS(N763-J763*M763)&lt;=J763*0.005+0.01,"OK","Check")</f>
        <v>OK</v>
      </c>
      <c r="S763" s="3">
        <f t="shared" si="11"/>
        <v>1</v>
      </c>
    </row>
    <row r="764" spans="1:19">
      <c r="A764" s="1">
        <v>46082</v>
      </c>
      <c r="B764" t="s">
        <v>265</v>
      </c>
      <c r="C764" t="s">
        <v>182</v>
      </c>
      <c r="D764" t="s">
        <v>183</v>
      </c>
      <c r="E764" t="s">
        <v>151</v>
      </c>
      <c r="F764" t="s">
        <v>23</v>
      </c>
      <c r="G764">
        <v>197</v>
      </c>
      <c r="H764">
        <v>348</v>
      </c>
      <c r="I764">
        <v>76</v>
      </c>
      <c r="J764">
        <v>469</v>
      </c>
      <c r="K764">
        <v>176</v>
      </c>
      <c r="L764" t="b">
        <v>0</v>
      </c>
      <c r="M764">
        <v>266.95</v>
      </c>
      <c r="N764">
        <v>125198.04</v>
      </c>
      <c r="O764" t="s">
        <v>32</v>
      </c>
      <c r="P764" t="str">
        <f>IF(J764=G764+H764-I764,"OK","Check")</f>
        <v>OK</v>
      </c>
      <c r="Q764" t="str">
        <f>IF(AND(J764&lt;=K764,L764=TRUE),"OK",IF(AND(J764&gt;K764,L764=FALSE),"OK","Check"))</f>
        <v>OK</v>
      </c>
      <c r="R764" t="str">
        <f>IF(ABS(N764-J764*M764)&lt;=J764*0.005+0.01,"OK","Check")</f>
        <v>OK</v>
      </c>
      <c r="S764" s="3">
        <f t="shared" si="11"/>
        <v>1</v>
      </c>
    </row>
    <row r="765" spans="1:19">
      <c r="A765" s="1">
        <v>46082</v>
      </c>
      <c r="B765" t="s">
        <v>265</v>
      </c>
      <c r="C765" t="s">
        <v>251</v>
      </c>
      <c r="D765" t="s">
        <v>252</v>
      </c>
      <c r="E765" t="s">
        <v>151</v>
      </c>
      <c r="F765" t="s">
        <v>23</v>
      </c>
      <c r="G765">
        <v>66</v>
      </c>
      <c r="H765">
        <v>201</v>
      </c>
      <c r="I765">
        <v>113</v>
      </c>
      <c r="J765">
        <v>154</v>
      </c>
      <c r="K765">
        <v>125</v>
      </c>
      <c r="L765" t="b">
        <v>0</v>
      </c>
      <c r="M765">
        <v>87.27</v>
      </c>
      <c r="N765">
        <v>13439.81</v>
      </c>
      <c r="O765" t="s">
        <v>44</v>
      </c>
      <c r="P765" t="str">
        <f>IF(J765=G765+H765-I765,"OK","Check")</f>
        <v>OK</v>
      </c>
      <c r="Q765" t="str">
        <f>IF(AND(J765&lt;=K765,L765=TRUE),"OK",IF(AND(J765&gt;K765,L765=FALSE),"OK","Check"))</f>
        <v>OK</v>
      </c>
      <c r="R765" t="str">
        <f>IF(ABS(N765-J765*M765)&lt;=J765*0.005+0.01,"OK","Check")</f>
        <v>OK</v>
      </c>
      <c r="S765" s="3">
        <f t="shared" si="11"/>
        <v>1</v>
      </c>
    </row>
    <row r="766" spans="1:19">
      <c r="A766" s="1">
        <v>46082</v>
      </c>
      <c r="B766" t="s">
        <v>265</v>
      </c>
      <c r="C766" t="s">
        <v>184</v>
      </c>
      <c r="D766" t="s">
        <v>185</v>
      </c>
      <c r="E766" t="s">
        <v>151</v>
      </c>
      <c r="F766" t="s">
        <v>23</v>
      </c>
      <c r="G766">
        <v>65</v>
      </c>
      <c r="H766">
        <v>175</v>
      </c>
      <c r="I766">
        <v>56</v>
      </c>
      <c r="J766">
        <v>184</v>
      </c>
      <c r="K766">
        <v>109</v>
      </c>
      <c r="L766" t="b">
        <v>0</v>
      </c>
      <c r="M766">
        <v>415.36</v>
      </c>
      <c r="N766">
        <v>76425.429999999993</v>
      </c>
      <c r="O766" t="s">
        <v>60</v>
      </c>
      <c r="P766" t="str">
        <f>IF(J766=G766+H766-I766,"OK","Check")</f>
        <v>OK</v>
      </c>
      <c r="Q766" t="str">
        <f>IF(AND(J766&lt;=K766,L766=TRUE),"OK",IF(AND(J766&gt;K766,L766=FALSE),"OK","Check"))</f>
        <v>OK</v>
      </c>
      <c r="R766" t="str">
        <f>IF(ABS(N766-J766*M766)&lt;=J766*0.005+0.01,"OK","Check")</f>
        <v>OK</v>
      </c>
      <c r="S766" s="3">
        <f t="shared" si="11"/>
        <v>1</v>
      </c>
    </row>
    <row r="767" spans="1:19">
      <c r="A767" s="1">
        <v>46082</v>
      </c>
      <c r="B767" t="s">
        <v>265</v>
      </c>
      <c r="C767" t="s">
        <v>186</v>
      </c>
      <c r="D767" t="s">
        <v>187</v>
      </c>
      <c r="E767" t="s">
        <v>188</v>
      </c>
      <c r="F767" t="s">
        <v>23</v>
      </c>
      <c r="G767">
        <v>367</v>
      </c>
      <c r="H767">
        <v>450</v>
      </c>
      <c r="I767">
        <v>132</v>
      </c>
      <c r="J767">
        <v>685</v>
      </c>
      <c r="K767">
        <v>156</v>
      </c>
      <c r="L767" t="b">
        <v>0</v>
      </c>
      <c r="M767">
        <v>109.7</v>
      </c>
      <c r="N767">
        <v>75144.66</v>
      </c>
      <c r="O767" t="s">
        <v>24</v>
      </c>
      <c r="P767" t="str">
        <f>IF(J767=G767+H767-I767,"OK","Check")</f>
        <v>OK</v>
      </c>
      <c r="Q767" t="str">
        <f>IF(AND(J767&lt;=K767,L767=TRUE),"OK",IF(AND(J767&gt;K767,L767=FALSE),"OK","Check"))</f>
        <v>OK</v>
      </c>
      <c r="R767" t="str">
        <f>IF(ABS(N767-J767*M767)&lt;=J767*0.005+0.01,"OK","Check")</f>
        <v>OK</v>
      </c>
      <c r="S767" s="3">
        <f t="shared" si="11"/>
        <v>1</v>
      </c>
    </row>
    <row r="768" spans="1:19">
      <c r="A768" s="1">
        <v>46082</v>
      </c>
      <c r="B768" t="s">
        <v>265</v>
      </c>
      <c r="C768" t="s">
        <v>189</v>
      </c>
      <c r="D768" t="s">
        <v>190</v>
      </c>
      <c r="E768" t="s">
        <v>188</v>
      </c>
      <c r="F768" t="s">
        <v>23</v>
      </c>
      <c r="G768">
        <v>61</v>
      </c>
      <c r="H768">
        <v>296</v>
      </c>
      <c r="I768">
        <v>80</v>
      </c>
      <c r="J768">
        <v>277</v>
      </c>
      <c r="K768">
        <v>119</v>
      </c>
      <c r="L768" t="b">
        <v>0</v>
      </c>
      <c r="M768">
        <v>568.53</v>
      </c>
      <c r="N768">
        <v>157483.99</v>
      </c>
      <c r="O768" t="s">
        <v>98</v>
      </c>
      <c r="P768" t="str">
        <f>IF(J768=G768+H768-I768,"OK","Check")</f>
        <v>OK</v>
      </c>
      <c r="Q768" t="str">
        <f>IF(AND(J768&lt;=K768,L768=TRUE),"OK",IF(AND(J768&gt;K768,L768=FALSE),"OK","Check"))</f>
        <v>OK</v>
      </c>
      <c r="R768" t="str">
        <f>IF(ABS(N768-J768*M768)&lt;=J768*0.005+0.01,"OK","Check")</f>
        <v>OK</v>
      </c>
      <c r="S768" s="3">
        <f t="shared" si="11"/>
        <v>1</v>
      </c>
    </row>
    <row r="769" spans="1:19">
      <c r="A769" s="1">
        <v>46082</v>
      </c>
      <c r="B769" t="s">
        <v>265</v>
      </c>
      <c r="C769" t="s">
        <v>191</v>
      </c>
      <c r="D769" t="s">
        <v>192</v>
      </c>
      <c r="E769" t="s">
        <v>188</v>
      </c>
      <c r="F769" t="s">
        <v>23</v>
      </c>
      <c r="G769">
        <v>118</v>
      </c>
      <c r="H769">
        <v>163</v>
      </c>
      <c r="I769">
        <v>61</v>
      </c>
      <c r="J769">
        <v>220</v>
      </c>
      <c r="K769">
        <v>103</v>
      </c>
      <c r="L769" t="b">
        <v>0</v>
      </c>
      <c r="M769">
        <v>101.9</v>
      </c>
      <c r="N769">
        <v>22418.65</v>
      </c>
      <c r="O769" t="s">
        <v>98</v>
      </c>
      <c r="P769" t="str">
        <f>IF(J769=G769+H769-I769,"OK","Check")</f>
        <v>OK</v>
      </c>
      <c r="Q769" t="str">
        <f>IF(AND(J769&lt;=K769,L769=TRUE),"OK",IF(AND(J769&gt;K769,L769=FALSE),"OK","Check"))</f>
        <v>OK</v>
      </c>
      <c r="R769" t="str">
        <f>IF(ABS(N769-J769*M769)&lt;=J769*0.005+0.01,"OK","Check")</f>
        <v>OK</v>
      </c>
      <c r="S769" s="3">
        <f t="shared" si="11"/>
        <v>1</v>
      </c>
    </row>
    <row r="770" spans="1:19">
      <c r="A770" s="1">
        <v>46082</v>
      </c>
      <c r="B770" t="s">
        <v>265</v>
      </c>
      <c r="C770" t="s">
        <v>193</v>
      </c>
      <c r="D770" t="s">
        <v>194</v>
      </c>
      <c r="E770" t="s">
        <v>188</v>
      </c>
      <c r="F770" t="s">
        <v>23</v>
      </c>
      <c r="G770">
        <v>127</v>
      </c>
      <c r="H770">
        <v>640</v>
      </c>
      <c r="I770">
        <v>317</v>
      </c>
      <c r="J770">
        <v>450</v>
      </c>
      <c r="K770">
        <v>191</v>
      </c>
      <c r="L770" t="b">
        <v>0</v>
      </c>
      <c r="M770">
        <v>444.14</v>
      </c>
      <c r="N770">
        <v>199864.52</v>
      </c>
      <c r="O770" t="s">
        <v>27</v>
      </c>
      <c r="P770" t="str">
        <f>IF(J770=G770+H770-I770,"OK","Check")</f>
        <v>OK</v>
      </c>
      <c r="Q770" t="str">
        <f>IF(AND(J770&lt;=K770,L770=TRUE),"OK",IF(AND(J770&gt;K770,L770=FALSE),"OK","Check"))</f>
        <v>OK</v>
      </c>
      <c r="R770" t="str">
        <f>IF(ABS(N770-J770*M770)&lt;=J770*0.005+0.01,"OK","Check")</f>
        <v>OK</v>
      </c>
      <c r="S770" s="3">
        <f t="shared" ref="S770:S833" si="12">COUNTIFS(A:A,A770,B:B,B770,C:C,C770)</f>
        <v>1</v>
      </c>
    </row>
    <row r="771" spans="1:19">
      <c r="A771" s="1">
        <v>46082</v>
      </c>
      <c r="B771" t="s">
        <v>265</v>
      </c>
      <c r="C771" t="s">
        <v>195</v>
      </c>
      <c r="D771" t="s">
        <v>196</v>
      </c>
      <c r="E771" t="s">
        <v>188</v>
      </c>
      <c r="F771" t="s">
        <v>23</v>
      </c>
      <c r="G771">
        <v>239</v>
      </c>
      <c r="H771">
        <v>0</v>
      </c>
      <c r="I771">
        <v>89</v>
      </c>
      <c r="J771">
        <v>150</v>
      </c>
      <c r="K771">
        <v>90</v>
      </c>
      <c r="L771" t="b">
        <v>0</v>
      </c>
      <c r="M771">
        <v>67.19</v>
      </c>
      <c r="N771">
        <v>10079.14</v>
      </c>
      <c r="O771" t="s">
        <v>47</v>
      </c>
      <c r="P771" t="str">
        <f>IF(J771=G771+H771-I771,"OK","Check")</f>
        <v>OK</v>
      </c>
      <c r="Q771" t="str">
        <f>IF(AND(J771&lt;=K771,L771=TRUE),"OK",IF(AND(J771&gt;K771,L771=FALSE),"OK","Check"))</f>
        <v>OK</v>
      </c>
      <c r="R771" t="str">
        <f>IF(ABS(N771-J771*M771)&lt;=J771*0.005+0.01,"OK","Check")</f>
        <v>OK</v>
      </c>
      <c r="S771" s="3">
        <f t="shared" si="12"/>
        <v>1</v>
      </c>
    </row>
    <row r="772" spans="1:19">
      <c r="A772" s="1">
        <v>46082</v>
      </c>
      <c r="B772" t="s">
        <v>265</v>
      </c>
      <c r="C772" t="s">
        <v>253</v>
      </c>
      <c r="D772" t="s">
        <v>254</v>
      </c>
      <c r="E772" t="s">
        <v>188</v>
      </c>
      <c r="F772" t="s">
        <v>23</v>
      </c>
      <c r="G772">
        <v>29</v>
      </c>
      <c r="H772">
        <v>117</v>
      </c>
      <c r="I772">
        <v>43</v>
      </c>
      <c r="J772">
        <v>103</v>
      </c>
      <c r="K772">
        <v>34</v>
      </c>
      <c r="L772" t="b">
        <v>0</v>
      </c>
      <c r="M772">
        <v>329.79</v>
      </c>
      <c r="N772">
        <v>33968</v>
      </c>
      <c r="O772" t="s">
        <v>60</v>
      </c>
      <c r="P772" t="str">
        <f>IF(J772=G772+H772-I772,"OK","Check")</f>
        <v>OK</v>
      </c>
      <c r="Q772" t="str">
        <f>IF(AND(J772&lt;=K772,L772=TRUE),"OK",IF(AND(J772&gt;K772,L772=FALSE),"OK","Check"))</f>
        <v>OK</v>
      </c>
      <c r="R772" t="str">
        <f>IF(ABS(N772-J772*M772)&lt;=J772*0.005+0.01,"OK","Check")</f>
        <v>OK</v>
      </c>
      <c r="S772" s="3">
        <f t="shared" si="12"/>
        <v>1</v>
      </c>
    </row>
    <row r="773" spans="1:19">
      <c r="A773" s="1">
        <v>46082</v>
      </c>
      <c r="B773" t="s">
        <v>265</v>
      </c>
      <c r="C773" t="s">
        <v>197</v>
      </c>
      <c r="D773" t="s">
        <v>198</v>
      </c>
      <c r="E773" t="s">
        <v>188</v>
      </c>
      <c r="F773" t="s">
        <v>23</v>
      </c>
      <c r="G773">
        <v>211</v>
      </c>
      <c r="H773">
        <v>0</v>
      </c>
      <c r="I773">
        <v>71</v>
      </c>
      <c r="J773">
        <v>140</v>
      </c>
      <c r="K773">
        <v>92</v>
      </c>
      <c r="L773" t="b">
        <v>0</v>
      </c>
      <c r="M773">
        <v>107.13</v>
      </c>
      <c r="N773">
        <v>14997.6</v>
      </c>
      <c r="O773" t="s">
        <v>98</v>
      </c>
      <c r="P773" t="str">
        <f>IF(J773=G773+H773-I773,"OK","Check")</f>
        <v>OK</v>
      </c>
      <c r="Q773" t="str">
        <f>IF(AND(J773&lt;=K773,L773=TRUE),"OK",IF(AND(J773&gt;K773,L773=FALSE),"OK","Check"))</f>
        <v>OK</v>
      </c>
      <c r="R773" t="str">
        <f>IF(ABS(N773-J773*M773)&lt;=J773*0.005+0.01,"OK","Check")</f>
        <v>OK</v>
      </c>
      <c r="S773" s="3">
        <f t="shared" si="12"/>
        <v>1</v>
      </c>
    </row>
    <row r="774" spans="1:19">
      <c r="A774" s="1">
        <v>46082</v>
      </c>
      <c r="B774" t="s">
        <v>265</v>
      </c>
      <c r="C774" t="s">
        <v>199</v>
      </c>
      <c r="D774" t="s">
        <v>200</v>
      </c>
      <c r="E774" t="s">
        <v>188</v>
      </c>
      <c r="F774" t="s">
        <v>23</v>
      </c>
      <c r="G774">
        <v>510</v>
      </c>
      <c r="H774">
        <v>0</v>
      </c>
      <c r="I774">
        <v>84</v>
      </c>
      <c r="J774">
        <v>426</v>
      </c>
      <c r="K774">
        <v>135</v>
      </c>
      <c r="L774" t="b">
        <v>0</v>
      </c>
      <c r="M774">
        <v>507.62</v>
      </c>
      <c r="N774">
        <v>216246.67</v>
      </c>
      <c r="O774" t="s">
        <v>98</v>
      </c>
      <c r="P774" t="str">
        <f>IF(J774=G774+H774-I774,"OK","Check")</f>
        <v>OK</v>
      </c>
      <c r="Q774" t="str">
        <f>IF(AND(J774&lt;=K774,L774=TRUE),"OK",IF(AND(J774&gt;K774,L774=FALSE),"OK","Check"))</f>
        <v>OK</v>
      </c>
      <c r="R774" t="str">
        <f>IF(ABS(N774-J774*M774)&lt;=J774*0.005+0.01,"OK","Check")</f>
        <v>OK</v>
      </c>
      <c r="S774" s="3">
        <f t="shared" si="12"/>
        <v>1</v>
      </c>
    </row>
    <row r="775" spans="1:19">
      <c r="A775" s="1">
        <v>46082</v>
      </c>
      <c r="B775" t="s">
        <v>265</v>
      </c>
      <c r="C775" t="s">
        <v>201</v>
      </c>
      <c r="D775" t="s">
        <v>202</v>
      </c>
      <c r="E775" t="s">
        <v>188</v>
      </c>
      <c r="F775" t="s">
        <v>23</v>
      </c>
      <c r="G775">
        <v>0</v>
      </c>
      <c r="H775">
        <v>323</v>
      </c>
      <c r="I775">
        <v>90</v>
      </c>
      <c r="J775">
        <v>233</v>
      </c>
      <c r="K775">
        <v>138</v>
      </c>
      <c r="L775" t="b">
        <v>0</v>
      </c>
      <c r="M775">
        <v>860.43</v>
      </c>
      <c r="N775">
        <v>200480.84</v>
      </c>
      <c r="O775" t="s">
        <v>47</v>
      </c>
      <c r="P775" t="str">
        <f>IF(J775=G775+H775-I775,"OK","Check")</f>
        <v>OK</v>
      </c>
      <c r="Q775" t="str">
        <f>IF(AND(J775&lt;=K775,L775=TRUE),"OK",IF(AND(J775&gt;K775,L775=FALSE),"OK","Check"))</f>
        <v>OK</v>
      </c>
      <c r="R775" t="str">
        <f>IF(ABS(N775-J775*M775)&lt;=J775*0.005+0.01,"OK","Check")</f>
        <v>OK</v>
      </c>
      <c r="S775" s="3">
        <f t="shared" si="12"/>
        <v>1</v>
      </c>
    </row>
    <row r="776" spans="1:19">
      <c r="A776" s="1">
        <v>46082</v>
      </c>
      <c r="B776" t="s">
        <v>265</v>
      </c>
      <c r="C776" t="s">
        <v>203</v>
      </c>
      <c r="D776" t="s">
        <v>204</v>
      </c>
      <c r="E776" t="s">
        <v>188</v>
      </c>
      <c r="F776" t="s">
        <v>23</v>
      </c>
      <c r="G776">
        <v>362</v>
      </c>
      <c r="H776">
        <v>0</v>
      </c>
      <c r="I776">
        <v>245</v>
      </c>
      <c r="J776">
        <v>117</v>
      </c>
      <c r="K776">
        <v>240</v>
      </c>
      <c r="L776" t="b">
        <v>1</v>
      </c>
      <c r="M776">
        <v>4160.68</v>
      </c>
      <c r="N776">
        <v>486799.22</v>
      </c>
      <c r="O776" t="s">
        <v>47</v>
      </c>
      <c r="P776" t="str">
        <f>IF(J776=G776+H776-I776,"OK","Check")</f>
        <v>OK</v>
      </c>
      <c r="Q776" t="str">
        <f>IF(AND(J776&lt;=K776,L776=TRUE),"OK",IF(AND(J776&gt;K776,L776=FALSE),"OK","Check"))</f>
        <v>OK</v>
      </c>
      <c r="R776" t="str">
        <f>IF(ABS(N776-J776*M776)&lt;=J776*0.005+0.01,"OK","Check")</f>
        <v>OK</v>
      </c>
      <c r="S776" s="3">
        <f t="shared" si="12"/>
        <v>1</v>
      </c>
    </row>
    <row r="777" spans="1:19">
      <c r="A777" s="1">
        <v>46082</v>
      </c>
      <c r="B777" t="s">
        <v>265</v>
      </c>
      <c r="C777" t="s">
        <v>205</v>
      </c>
      <c r="D777" t="s">
        <v>206</v>
      </c>
      <c r="E777" t="s">
        <v>188</v>
      </c>
      <c r="F777" t="s">
        <v>23</v>
      </c>
      <c r="G777">
        <v>82</v>
      </c>
      <c r="H777">
        <v>224</v>
      </c>
      <c r="I777">
        <v>97</v>
      </c>
      <c r="J777">
        <v>209</v>
      </c>
      <c r="K777">
        <v>72</v>
      </c>
      <c r="L777" t="b">
        <v>0</v>
      </c>
      <c r="M777">
        <v>92.31</v>
      </c>
      <c r="N777">
        <v>19292.93</v>
      </c>
      <c r="O777" t="s">
        <v>98</v>
      </c>
      <c r="P777" t="str">
        <f>IF(J777=G777+H777-I777,"OK","Check")</f>
        <v>OK</v>
      </c>
      <c r="Q777" t="str">
        <f>IF(AND(J777&lt;=K777,L777=TRUE),"OK",IF(AND(J777&gt;K777,L777=FALSE),"OK","Check"))</f>
        <v>OK</v>
      </c>
      <c r="R777" t="str">
        <f>IF(ABS(N777-J777*M777)&lt;=J777*0.005+0.01,"OK","Check")</f>
        <v>OK</v>
      </c>
      <c r="S777" s="3">
        <f t="shared" si="12"/>
        <v>1</v>
      </c>
    </row>
    <row r="778" spans="1:19">
      <c r="A778" s="1">
        <v>46082</v>
      </c>
      <c r="B778" t="s">
        <v>265</v>
      </c>
      <c r="C778" t="s">
        <v>255</v>
      </c>
      <c r="D778" t="s">
        <v>256</v>
      </c>
      <c r="E778" t="s">
        <v>188</v>
      </c>
      <c r="F778" t="s">
        <v>23</v>
      </c>
      <c r="G778">
        <v>558</v>
      </c>
      <c r="H778">
        <v>0</v>
      </c>
      <c r="I778">
        <v>119</v>
      </c>
      <c r="J778">
        <v>439</v>
      </c>
      <c r="K778">
        <v>168</v>
      </c>
      <c r="L778" t="b">
        <v>0</v>
      </c>
      <c r="M778">
        <v>421.48</v>
      </c>
      <c r="N778">
        <v>185028.6</v>
      </c>
      <c r="O778" t="s">
        <v>37</v>
      </c>
      <c r="P778" t="str">
        <f>IF(J778=G778+H778-I778,"OK","Check")</f>
        <v>OK</v>
      </c>
      <c r="Q778" t="str">
        <f>IF(AND(J778&lt;=K778,L778=TRUE),"OK",IF(AND(J778&gt;K778,L778=FALSE),"OK","Check"))</f>
        <v>OK</v>
      </c>
      <c r="R778" t="str">
        <f>IF(ABS(N778-J778*M778)&lt;=J778*0.005+0.01,"OK","Check")</f>
        <v>OK</v>
      </c>
      <c r="S778" s="3">
        <f t="shared" si="12"/>
        <v>1</v>
      </c>
    </row>
    <row r="779" spans="1:19">
      <c r="A779" s="1">
        <v>46082</v>
      </c>
      <c r="B779" t="s">
        <v>265</v>
      </c>
      <c r="C779" t="s">
        <v>207</v>
      </c>
      <c r="D779" t="s">
        <v>208</v>
      </c>
      <c r="E779" t="s">
        <v>188</v>
      </c>
      <c r="F779" t="s">
        <v>23</v>
      </c>
      <c r="G779">
        <v>136</v>
      </c>
      <c r="H779">
        <v>314</v>
      </c>
      <c r="I779">
        <v>96</v>
      </c>
      <c r="J779">
        <v>354</v>
      </c>
      <c r="K779">
        <v>146</v>
      </c>
      <c r="L779" t="b">
        <v>0</v>
      </c>
      <c r="M779">
        <v>79.3</v>
      </c>
      <c r="N779">
        <v>28071</v>
      </c>
      <c r="O779" t="s">
        <v>47</v>
      </c>
      <c r="P779" t="str">
        <f>IF(J779=G779+H779-I779,"OK","Check")</f>
        <v>OK</v>
      </c>
      <c r="Q779" t="str">
        <f>IF(AND(J779&lt;=K779,L779=TRUE),"OK",IF(AND(J779&gt;K779,L779=FALSE),"OK","Check"))</f>
        <v>OK</v>
      </c>
      <c r="R779" t="str">
        <f>IF(ABS(N779-J779*M779)&lt;=J779*0.005+0.01,"OK","Check")</f>
        <v>OK</v>
      </c>
      <c r="S779" s="3">
        <f t="shared" si="12"/>
        <v>1</v>
      </c>
    </row>
    <row r="780" spans="1:19">
      <c r="A780" s="1">
        <v>46082</v>
      </c>
      <c r="B780" t="s">
        <v>265</v>
      </c>
      <c r="C780" t="s">
        <v>209</v>
      </c>
      <c r="D780" t="s">
        <v>210</v>
      </c>
      <c r="E780" t="s">
        <v>188</v>
      </c>
      <c r="F780" t="s">
        <v>23</v>
      </c>
      <c r="G780">
        <v>136</v>
      </c>
      <c r="H780">
        <v>0</v>
      </c>
      <c r="I780">
        <v>55</v>
      </c>
      <c r="J780">
        <v>81</v>
      </c>
      <c r="K780">
        <v>97</v>
      </c>
      <c r="L780" t="b">
        <v>1</v>
      </c>
      <c r="M780">
        <v>324.29000000000002</v>
      </c>
      <c r="N780">
        <v>26267.7</v>
      </c>
      <c r="O780" t="s">
        <v>37</v>
      </c>
      <c r="P780" t="str">
        <f>IF(J780=G780+H780-I780,"OK","Check")</f>
        <v>OK</v>
      </c>
      <c r="Q780" t="str">
        <f>IF(AND(J780&lt;=K780,L780=TRUE),"OK",IF(AND(J780&gt;K780,L780=FALSE),"OK","Check"))</f>
        <v>OK</v>
      </c>
      <c r="R780" t="str">
        <f>IF(ABS(N780-J780*M780)&lt;=J780*0.005+0.01,"OK","Check")</f>
        <v>OK</v>
      </c>
      <c r="S780" s="3">
        <f t="shared" si="12"/>
        <v>1</v>
      </c>
    </row>
    <row r="781" spans="1:19">
      <c r="A781" s="1">
        <v>46082</v>
      </c>
      <c r="B781" t="s">
        <v>265</v>
      </c>
      <c r="C781" t="s">
        <v>266</v>
      </c>
      <c r="D781" t="s">
        <v>267</v>
      </c>
      <c r="E781" t="s">
        <v>188</v>
      </c>
      <c r="F781" t="s">
        <v>23</v>
      </c>
      <c r="G781">
        <v>175</v>
      </c>
      <c r="H781">
        <v>397</v>
      </c>
      <c r="I781">
        <v>120</v>
      </c>
      <c r="J781">
        <v>452</v>
      </c>
      <c r="K781">
        <v>109</v>
      </c>
      <c r="L781" t="b">
        <v>0</v>
      </c>
      <c r="M781">
        <v>104.46</v>
      </c>
      <c r="N781">
        <v>47217.7</v>
      </c>
      <c r="O781" t="s">
        <v>24</v>
      </c>
      <c r="P781" t="str">
        <f>IF(J781=G781+H781-I781,"OK","Check")</f>
        <v>OK</v>
      </c>
      <c r="Q781" t="str">
        <f>IF(AND(J781&lt;=K781,L781=TRUE),"OK",IF(AND(J781&gt;K781,L781=FALSE),"OK","Check"))</f>
        <v>OK</v>
      </c>
      <c r="R781" t="str">
        <f>IF(ABS(N781-J781*M781)&lt;=J781*0.005+0.01,"OK","Check")</f>
        <v>OK</v>
      </c>
      <c r="S781" s="3">
        <f t="shared" si="12"/>
        <v>1</v>
      </c>
    </row>
    <row r="782" spans="1:19">
      <c r="A782" s="1">
        <v>46082</v>
      </c>
      <c r="B782" t="s">
        <v>265</v>
      </c>
      <c r="C782" t="s">
        <v>211</v>
      </c>
      <c r="D782" t="s">
        <v>212</v>
      </c>
      <c r="E782" t="s">
        <v>188</v>
      </c>
      <c r="F782" t="s">
        <v>23</v>
      </c>
      <c r="G782">
        <v>84</v>
      </c>
      <c r="H782">
        <v>251</v>
      </c>
      <c r="I782">
        <v>44</v>
      </c>
      <c r="J782">
        <v>291</v>
      </c>
      <c r="K782">
        <v>107</v>
      </c>
      <c r="L782" t="b">
        <v>0</v>
      </c>
      <c r="M782">
        <v>422.63</v>
      </c>
      <c r="N782">
        <v>122984.88</v>
      </c>
      <c r="O782" t="s">
        <v>60</v>
      </c>
      <c r="P782" t="str">
        <f>IF(J782=G782+H782-I782,"OK","Check")</f>
        <v>OK</v>
      </c>
      <c r="Q782" t="str">
        <f>IF(AND(J782&lt;=K782,L782=TRUE),"OK",IF(AND(J782&gt;K782,L782=FALSE),"OK","Check"))</f>
        <v>OK</v>
      </c>
      <c r="R782" t="str">
        <f>IF(ABS(N782-J782*M782)&lt;=J782*0.005+0.01,"OK","Check")</f>
        <v>OK</v>
      </c>
      <c r="S782" s="3">
        <f t="shared" si="12"/>
        <v>1</v>
      </c>
    </row>
    <row r="783" spans="1:19">
      <c r="A783" s="1">
        <v>46082</v>
      </c>
      <c r="B783" t="s">
        <v>265</v>
      </c>
      <c r="C783" t="s">
        <v>268</v>
      </c>
      <c r="D783" t="s">
        <v>269</v>
      </c>
      <c r="E783" t="s">
        <v>188</v>
      </c>
      <c r="F783" t="s">
        <v>23</v>
      </c>
      <c r="G783">
        <v>352</v>
      </c>
      <c r="H783">
        <v>0</v>
      </c>
      <c r="I783">
        <v>223</v>
      </c>
      <c r="J783">
        <v>129</v>
      </c>
      <c r="K783">
        <v>231</v>
      </c>
      <c r="L783" t="b">
        <v>1</v>
      </c>
      <c r="M783">
        <v>39.08</v>
      </c>
      <c r="N783">
        <v>5041.87</v>
      </c>
      <c r="O783" t="s">
        <v>47</v>
      </c>
      <c r="P783" t="str">
        <f>IF(J783=G783+H783-I783,"OK","Check")</f>
        <v>OK</v>
      </c>
      <c r="Q783" t="str">
        <f>IF(AND(J783&lt;=K783,L783=TRUE),"OK",IF(AND(J783&gt;K783,L783=FALSE),"OK","Check"))</f>
        <v>OK</v>
      </c>
      <c r="R783" t="str">
        <f>IF(ABS(N783-J783*M783)&lt;=J783*0.005+0.01,"OK","Check")</f>
        <v>OK</v>
      </c>
      <c r="S783" s="3">
        <f t="shared" si="12"/>
        <v>1</v>
      </c>
    </row>
    <row r="784" spans="1:19">
      <c r="A784" s="1">
        <v>46082</v>
      </c>
      <c r="B784" t="s">
        <v>265</v>
      </c>
      <c r="C784" t="s">
        <v>270</v>
      </c>
      <c r="D784" t="s">
        <v>271</v>
      </c>
      <c r="E784" t="s">
        <v>188</v>
      </c>
      <c r="F784" t="s">
        <v>23</v>
      </c>
      <c r="G784">
        <v>692</v>
      </c>
      <c r="H784">
        <v>0</v>
      </c>
      <c r="I784">
        <v>181</v>
      </c>
      <c r="J784">
        <v>511</v>
      </c>
      <c r="K784">
        <v>275</v>
      </c>
      <c r="L784" t="b">
        <v>0</v>
      </c>
      <c r="M784">
        <v>185.88</v>
      </c>
      <c r="N784">
        <v>94982.46</v>
      </c>
      <c r="O784" t="s">
        <v>24</v>
      </c>
      <c r="P784" t="str">
        <f>IF(J784=G784+H784-I784,"OK","Check")</f>
        <v>OK</v>
      </c>
      <c r="Q784" t="str">
        <f>IF(AND(J784&lt;=K784,L784=TRUE),"OK",IF(AND(J784&gt;K784,L784=FALSE),"OK","Check"))</f>
        <v>OK</v>
      </c>
      <c r="R784" t="str">
        <f>IF(ABS(N784-J784*M784)&lt;=J784*0.005+0.01,"OK","Check")</f>
        <v>OK</v>
      </c>
      <c r="S784" s="3">
        <f t="shared" si="12"/>
        <v>1</v>
      </c>
    </row>
    <row r="785" spans="1:19">
      <c r="A785" s="1">
        <v>46082</v>
      </c>
      <c r="B785" t="s">
        <v>265</v>
      </c>
      <c r="C785" t="s">
        <v>213</v>
      </c>
      <c r="D785" t="s">
        <v>214</v>
      </c>
      <c r="E785" t="s">
        <v>188</v>
      </c>
      <c r="F785" t="s">
        <v>23</v>
      </c>
      <c r="G785">
        <v>447</v>
      </c>
      <c r="H785">
        <v>0</v>
      </c>
      <c r="I785">
        <v>150</v>
      </c>
      <c r="J785">
        <v>297</v>
      </c>
      <c r="K785">
        <v>97</v>
      </c>
      <c r="L785" t="b">
        <v>0</v>
      </c>
      <c r="M785">
        <v>329.28</v>
      </c>
      <c r="N785">
        <v>97794.79</v>
      </c>
      <c r="O785" t="s">
        <v>44</v>
      </c>
      <c r="P785" t="str">
        <f>IF(J785=G785+H785-I785,"OK","Check")</f>
        <v>OK</v>
      </c>
      <c r="Q785" t="str">
        <f>IF(AND(J785&lt;=K785,L785=TRUE),"OK",IF(AND(J785&gt;K785,L785=FALSE),"OK","Check"))</f>
        <v>OK</v>
      </c>
      <c r="R785" t="str">
        <f>IF(ABS(N785-J785*M785)&lt;=J785*0.005+0.01,"OK","Check")</f>
        <v>OK</v>
      </c>
      <c r="S785" s="3">
        <f t="shared" si="12"/>
        <v>1</v>
      </c>
    </row>
    <row r="786" spans="1:19">
      <c r="A786" s="1">
        <v>46082</v>
      </c>
      <c r="B786" t="s">
        <v>265</v>
      </c>
      <c r="C786" t="s">
        <v>217</v>
      </c>
      <c r="D786" t="s">
        <v>218</v>
      </c>
      <c r="E786" t="s">
        <v>219</v>
      </c>
      <c r="F786" t="s">
        <v>23</v>
      </c>
      <c r="G786">
        <v>179</v>
      </c>
      <c r="H786">
        <v>0</v>
      </c>
      <c r="I786">
        <v>72</v>
      </c>
      <c r="J786">
        <v>107</v>
      </c>
      <c r="K786">
        <v>125</v>
      </c>
      <c r="L786" t="b">
        <v>1</v>
      </c>
      <c r="M786">
        <v>18.2</v>
      </c>
      <c r="N786">
        <v>1947.7</v>
      </c>
      <c r="O786" t="s">
        <v>37</v>
      </c>
      <c r="P786" t="str">
        <f>IF(J786=G786+H786-I786,"OK","Check")</f>
        <v>OK</v>
      </c>
      <c r="Q786" t="str">
        <f>IF(AND(J786&lt;=K786,L786=TRUE),"OK",IF(AND(J786&gt;K786,L786=FALSE),"OK","Check"))</f>
        <v>OK</v>
      </c>
      <c r="R786" t="str">
        <f>IF(ABS(N786-J786*M786)&lt;=J786*0.005+0.01,"OK","Check")</f>
        <v>OK</v>
      </c>
      <c r="S786" s="3">
        <f t="shared" si="12"/>
        <v>1</v>
      </c>
    </row>
    <row r="787" spans="1:19">
      <c r="A787" s="1">
        <v>46082</v>
      </c>
      <c r="B787" t="s">
        <v>265</v>
      </c>
      <c r="C787" t="s">
        <v>220</v>
      </c>
      <c r="D787" t="s">
        <v>221</v>
      </c>
      <c r="E787" t="s">
        <v>219</v>
      </c>
      <c r="F787" t="s">
        <v>23</v>
      </c>
      <c r="G787">
        <v>232</v>
      </c>
      <c r="H787">
        <v>0</v>
      </c>
      <c r="I787">
        <v>78</v>
      </c>
      <c r="J787">
        <v>154</v>
      </c>
      <c r="K787">
        <v>101</v>
      </c>
      <c r="L787" t="b">
        <v>0</v>
      </c>
      <c r="M787">
        <v>91.34</v>
      </c>
      <c r="N787">
        <v>14066.2</v>
      </c>
      <c r="O787" t="s">
        <v>60</v>
      </c>
      <c r="P787" t="str">
        <f>IF(J787=G787+H787-I787,"OK","Check")</f>
        <v>OK</v>
      </c>
      <c r="Q787" t="str">
        <f>IF(AND(J787&lt;=K787,L787=TRUE),"OK",IF(AND(J787&gt;K787,L787=FALSE),"OK","Check"))</f>
        <v>OK</v>
      </c>
      <c r="R787" t="str">
        <f>IF(ABS(N787-J787*M787)&lt;=J787*0.005+0.01,"OK","Check")</f>
        <v>OK</v>
      </c>
      <c r="S787" s="3">
        <f t="shared" si="12"/>
        <v>1</v>
      </c>
    </row>
    <row r="788" spans="1:19">
      <c r="A788" s="1">
        <v>46082</v>
      </c>
      <c r="B788" t="s">
        <v>265</v>
      </c>
      <c r="C788" t="s">
        <v>222</v>
      </c>
      <c r="D788" t="s">
        <v>223</v>
      </c>
      <c r="E788" t="s">
        <v>219</v>
      </c>
      <c r="F788" t="s">
        <v>23</v>
      </c>
      <c r="G788">
        <v>50</v>
      </c>
      <c r="H788">
        <v>510</v>
      </c>
      <c r="I788">
        <v>168</v>
      </c>
      <c r="J788">
        <v>392</v>
      </c>
      <c r="K788">
        <v>168</v>
      </c>
      <c r="L788" t="b">
        <v>0</v>
      </c>
      <c r="M788">
        <v>45.21</v>
      </c>
      <c r="N788">
        <v>17721.54</v>
      </c>
      <c r="O788" t="s">
        <v>37</v>
      </c>
      <c r="P788" t="str">
        <f>IF(J788=G788+H788-I788,"OK","Check")</f>
        <v>OK</v>
      </c>
      <c r="Q788" t="str">
        <f>IF(AND(J788&lt;=K788,L788=TRUE),"OK",IF(AND(J788&gt;K788,L788=FALSE),"OK","Check"))</f>
        <v>OK</v>
      </c>
      <c r="R788" t="str">
        <f>IF(ABS(N788-J788*M788)&lt;=J788*0.005+0.01,"OK","Check")</f>
        <v>OK</v>
      </c>
      <c r="S788" s="3">
        <f t="shared" si="12"/>
        <v>1</v>
      </c>
    </row>
    <row r="789" spans="1:19">
      <c r="A789" s="1">
        <v>46082</v>
      </c>
      <c r="B789" t="s">
        <v>265</v>
      </c>
      <c r="C789" t="s">
        <v>224</v>
      </c>
      <c r="D789" t="s">
        <v>225</v>
      </c>
      <c r="E789" t="s">
        <v>219</v>
      </c>
      <c r="F789" t="s">
        <v>23</v>
      </c>
      <c r="G789">
        <v>66</v>
      </c>
      <c r="H789">
        <v>364</v>
      </c>
      <c r="I789">
        <v>123</v>
      </c>
      <c r="J789">
        <v>307</v>
      </c>
      <c r="K789">
        <v>160</v>
      </c>
      <c r="L789" t="b">
        <v>0</v>
      </c>
      <c r="M789">
        <v>205.72</v>
      </c>
      <c r="N789">
        <v>63156.83</v>
      </c>
      <c r="O789" t="s">
        <v>44</v>
      </c>
      <c r="P789" t="str">
        <f>IF(J789=G789+H789-I789,"OK","Check")</f>
        <v>OK</v>
      </c>
      <c r="Q789" t="str">
        <f>IF(AND(J789&lt;=K789,L789=TRUE),"OK",IF(AND(J789&gt;K789,L789=FALSE),"OK","Check"))</f>
        <v>OK</v>
      </c>
      <c r="R789" t="str">
        <f>IF(ABS(N789-J789*M789)&lt;=J789*0.005+0.01,"OK","Check")</f>
        <v>OK</v>
      </c>
      <c r="S789" s="3">
        <f t="shared" si="12"/>
        <v>1</v>
      </c>
    </row>
    <row r="790" spans="1:19">
      <c r="A790" s="1">
        <v>46082</v>
      </c>
      <c r="B790" t="s">
        <v>265</v>
      </c>
      <c r="C790" t="s">
        <v>272</v>
      </c>
      <c r="D790" t="s">
        <v>273</v>
      </c>
      <c r="E790" t="s">
        <v>219</v>
      </c>
      <c r="F790" t="s">
        <v>23</v>
      </c>
      <c r="G790">
        <v>159</v>
      </c>
      <c r="H790">
        <v>0</v>
      </c>
      <c r="I790">
        <v>116</v>
      </c>
      <c r="J790">
        <v>43</v>
      </c>
      <c r="K790">
        <v>115</v>
      </c>
      <c r="L790" t="b">
        <v>1</v>
      </c>
      <c r="M790">
        <v>1778.24</v>
      </c>
      <c r="N790">
        <v>76464.44</v>
      </c>
      <c r="O790" t="s">
        <v>98</v>
      </c>
      <c r="P790" t="str">
        <f>IF(J790=G790+H790-I790,"OK","Check")</f>
        <v>OK</v>
      </c>
      <c r="Q790" t="str">
        <f>IF(AND(J790&lt;=K790,L790=TRUE),"OK",IF(AND(J790&gt;K790,L790=FALSE),"OK","Check"))</f>
        <v>OK</v>
      </c>
      <c r="R790" t="str">
        <f>IF(ABS(N790-J790*M790)&lt;=J790*0.005+0.01,"OK","Check")</f>
        <v>OK</v>
      </c>
      <c r="S790" s="3">
        <f t="shared" si="12"/>
        <v>1</v>
      </c>
    </row>
    <row r="791" spans="1:19">
      <c r="A791" s="1">
        <v>46082</v>
      </c>
      <c r="B791" t="s">
        <v>265</v>
      </c>
      <c r="C791" t="s">
        <v>228</v>
      </c>
      <c r="D791" t="s">
        <v>229</v>
      </c>
      <c r="E791" t="s">
        <v>219</v>
      </c>
      <c r="F791" t="s">
        <v>23</v>
      </c>
      <c r="G791">
        <v>215</v>
      </c>
      <c r="H791">
        <v>445</v>
      </c>
      <c r="I791">
        <v>20</v>
      </c>
      <c r="J791">
        <v>640</v>
      </c>
      <c r="K791">
        <v>233</v>
      </c>
      <c r="L791" t="b">
        <v>0</v>
      </c>
      <c r="M791">
        <v>40.89</v>
      </c>
      <c r="N791">
        <v>26171.81</v>
      </c>
      <c r="O791" t="s">
        <v>44</v>
      </c>
      <c r="P791" t="str">
        <f>IF(J791=G791+H791-I791,"OK","Check")</f>
        <v>OK</v>
      </c>
      <c r="Q791" t="str">
        <f>IF(AND(J791&lt;=K791,L791=TRUE),"OK",IF(AND(J791&gt;K791,L791=FALSE),"OK","Check"))</f>
        <v>OK</v>
      </c>
      <c r="R791" t="str">
        <f>IF(ABS(N791-J791*M791)&lt;=J791*0.005+0.01,"OK","Check")</f>
        <v>OK</v>
      </c>
      <c r="S791" s="3">
        <f t="shared" si="12"/>
        <v>1</v>
      </c>
    </row>
    <row r="792" spans="1:19">
      <c r="A792" s="1">
        <v>46082</v>
      </c>
      <c r="B792" t="s">
        <v>265</v>
      </c>
      <c r="C792" t="s">
        <v>230</v>
      </c>
      <c r="D792" t="s">
        <v>231</v>
      </c>
      <c r="E792" t="s">
        <v>219</v>
      </c>
      <c r="F792" t="s">
        <v>23</v>
      </c>
      <c r="G792">
        <v>197</v>
      </c>
      <c r="H792">
        <v>331</v>
      </c>
      <c r="I792">
        <v>131</v>
      </c>
      <c r="J792">
        <v>397</v>
      </c>
      <c r="K792">
        <v>165</v>
      </c>
      <c r="L792" t="b">
        <v>0</v>
      </c>
      <c r="M792">
        <v>219.94</v>
      </c>
      <c r="N792">
        <v>87318.01</v>
      </c>
      <c r="O792" t="s">
        <v>32</v>
      </c>
      <c r="P792" t="str">
        <f>IF(J792=G792+H792-I792,"OK","Check")</f>
        <v>OK</v>
      </c>
      <c r="Q792" t="str">
        <f>IF(AND(J792&lt;=K792,L792=TRUE),"OK",IF(AND(J792&gt;K792,L792=FALSE),"OK","Check"))</f>
        <v>OK</v>
      </c>
      <c r="R792" t="str">
        <f>IF(ABS(N792-J792*M792)&lt;=J792*0.005+0.01,"OK","Check")</f>
        <v>OK</v>
      </c>
      <c r="S792" s="3">
        <f t="shared" si="12"/>
        <v>1</v>
      </c>
    </row>
    <row r="793" spans="1:19">
      <c r="A793" s="1">
        <v>46082</v>
      </c>
      <c r="B793" t="s">
        <v>265</v>
      </c>
      <c r="C793" t="s">
        <v>232</v>
      </c>
      <c r="D793" t="s">
        <v>233</v>
      </c>
      <c r="E793" t="s">
        <v>219</v>
      </c>
      <c r="F793" t="s">
        <v>23</v>
      </c>
      <c r="G793">
        <v>207</v>
      </c>
      <c r="H793">
        <v>424</v>
      </c>
      <c r="I793">
        <v>135</v>
      </c>
      <c r="J793">
        <v>496</v>
      </c>
      <c r="K793">
        <v>174</v>
      </c>
      <c r="L793" t="b">
        <v>0</v>
      </c>
      <c r="M793">
        <v>151.21</v>
      </c>
      <c r="N793">
        <v>75000.27</v>
      </c>
      <c r="O793" t="s">
        <v>32</v>
      </c>
      <c r="P793" t="str">
        <f>IF(J793=G793+H793-I793,"OK","Check")</f>
        <v>OK</v>
      </c>
      <c r="Q793" t="str">
        <f>IF(AND(J793&lt;=K793,L793=TRUE),"OK",IF(AND(J793&gt;K793,L793=FALSE),"OK","Check"))</f>
        <v>OK</v>
      </c>
      <c r="R793" t="str">
        <f>IF(ABS(N793-J793*M793)&lt;=J793*0.005+0.01,"OK","Check")</f>
        <v>OK</v>
      </c>
      <c r="S793" s="3">
        <f t="shared" si="12"/>
        <v>1</v>
      </c>
    </row>
    <row r="794" spans="1:19">
      <c r="A794" s="1">
        <v>46082</v>
      </c>
      <c r="B794" t="s">
        <v>265</v>
      </c>
      <c r="C794" t="s">
        <v>234</v>
      </c>
      <c r="D794" t="s">
        <v>235</v>
      </c>
      <c r="E794" t="s">
        <v>219</v>
      </c>
      <c r="F794" t="s">
        <v>23</v>
      </c>
      <c r="G794">
        <v>266</v>
      </c>
      <c r="H794">
        <v>0</v>
      </c>
      <c r="I794">
        <v>142</v>
      </c>
      <c r="J794">
        <v>124</v>
      </c>
      <c r="K794">
        <v>177</v>
      </c>
      <c r="L794" t="b">
        <v>1</v>
      </c>
      <c r="M794">
        <v>2242.19</v>
      </c>
      <c r="N794">
        <v>278031.40000000002</v>
      </c>
      <c r="O794" t="s">
        <v>47</v>
      </c>
      <c r="P794" t="str">
        <f>IF(J794=G794+H794-I794,"OK","Check")</f>
        <v>OK</v>
      </c>
      <c r="Q794" t="str">
        <f>IF(AND(J794&lt;=K794,L794=TRUE),"OK",IF(AND(J794&gt;K794,L794=FALSE),"OK","Check"))</f>
        <v>OK</v>
      </c>
      <c r="R794" t="str">
        <f>IF(ABS(N794-J794*M794)&lt;=J794*0.005+0.01,"OK","Check")</f>
        <v>OK</v>
      </c>
      <c r="S794" s="3">
        <f t="shared" si="12"/>
        <v>1</v>
      </c>
    </row>
    <row r="795" spans="1:19">
      <c r="A795" s="1">
        <v>46082</v>
      </c>
      <c r="B795" t="s">
        <v>265</v>
      </c>
      <c r="C795" t="s">
        <v>261</v>
      </c>
      <c r="D795" t="s">
        <v>262</v>
      </c>
      <c r="E795" t="s">
        <v>219</v>
      </c>
      <c r="F795" t="s">
        <v>23</v>
      </c>
      <c r="G795">
        <v>715</v>
      </c>
      <c r="H795">
        <v>0</v>
      </c>
      <c r="I795">
        <v>158</v>
      </c>
      <c r="J795">
        <v>557</v>
      </c>
      <c r="K795">
        <v>127</v>
      </c>
      <c r="L795" t="b">
        <v>0</v>
      </c>
      <c r="M795">
        <v>277.42</v>
      </c>
      <c r="N795">
        <v>154522.26999999999</v>
      </c>
      <c r="O795" t="s">
        <v>60</v>
      </c>
      <c r="P795" t="str">
        <f>IF(J795=G795+H795-I795,"OK","Check")</f>
        <v>OK</v>
      </c>
      <c r="Q795" t="str">
        <f>IF(AND(J795&lt;=K795,L795=TRUE),"OK",IF(AND(J795&gt;K795,L795=FALSE),"OK","Check"))</f>
        <v>OK</v>
      </c>
      <c r="R795" t="str">
        <f>IF(ABS(N795-J795*M795)&lt;=J795*0.005+0.01,"OK","Check")</f>
        <v>OK</v>
      </c>
      <c r="S795" s="3">
        <f t="shared" si="12"/>
        <v>1</v>
      </c>
    </row>
    <row r="796" spans="1:19">
      <c r="A796" s="1">
        <v>46082</v>
      </c>
      <c r="B796" t="s">
        <v>265</v>
      </c>
      <c r="C796" t="s">
        <v>274</v>
      </c>
      <c r="D796" t="s">
        <v>275</v>
      </c>
      <c r="E796" t="s">
        <v>219</v>
      </c>
      <c r="F796" t="s">
        <v>23</v>
      </c>
      <c r="G796">
        <v>8</v>
      </c>
      <c r="H796">
        <v>55</v>
      </c>
      <c r="I796">
        <v>21</v>
      </c>
      <c r="J796">
        <v>42</v>
      </c>
      <c r="K796">
        <v>19</v>
      </c>
      <c r="L796" t="b">
        <v>0</v>
      </c>
      <c r="M796">
        <v>230.68</v>
      </c>
      <c r="N796">
        <v>9688.6200000000008</v>
      </c>
      <c r="O796" t="s">
        <v>60</v>
      </c>
      <c r="P796" t="str">
        <f>IF(J796=G796+H796-I796,"OK","Check")</f>
        <v>OK</v>
      </c>
      <c r="Q796" t="str">
        <f>IF(AND(J796&lt;=K796,L796=TRUE),"OK",IF(AND(J796&gt;K796,L796=FALSE),"OK","Check"))</f>
        <v>OK</v>
      </c>
      <c r="R796" t="str">
        <f>IF(ABS(N796-J796*M796)&lt;=J796*0.005+0.01,"OK","Check")</f>
        <v>OK</v>
      </c>
      <c r="S796" s="3">
        <f t="shared" si="12"/>
        <v>1</v>
      </c>
    </row>
    <row r="797" spans="1:19">
      <c r="A797" s="1">
        <v>46082</v>
      </c>
      <c r="B797" t="s">
        <v>265</v>
      </c>
      <c r="C797" t="s">
        <v>236</v>
      </c>
      <c r="D797" t="s">
        <v>237</v>
      </c>
      <c r="E797" t="s">
        <v>219</v>
      </c>
      <c r="F797" t="s">
        <v>23</v>
      </c>
      <c r="G797">
        <v>204</v>
      </c>
      <c r="H797">
        <v>0</v>
      </c>
      <c r="I797">
        <v>101</v>
      </c>
      <c r="J797">
        <v>103</v>
      </c>
      <c r="K797">
        <v>133</v>
      </c>
      <c r="L797" t="b">
        <v>1</v>
      </c>
      <c r="M797">
        <v>1100.3499999999999</v>
      </c>
      <c r="N797">
        <v>113335.89</v>
      </c>
      <c r="O797" t="s">
        <v>98</v>
      </c>
      <c r="P797" t="str">
        <f>IF(J797=G797+H797-I797,"OK","Check")</f>
        <v>OK</v>
      </c>
      <c r="Q797" t="str">
        <f>IF(AND(J797&lt;=K797,L797=TRUE),"OK",IF(AND(J797&gt;K797,L797=FALSE),"OK","Check"))</f>
        <v>OK</v>
      </c>
      <c r="R797" t="str">
        <f>IF(ABS(N797-J797*M797)&lt;=J797*0.005+0.01,"OK","Check")</f>
        <v>OK</v>
      </c>
      <c r="S797" s="3">
        <f t="shared" si="12"/>
        <v>1</v>
      </c>
    </row>
    <row r="798" spans="1:19">
      <c r="A798" s="1">
        <v>46082</v>
      </c>
      <c r="B798" t="s">
        <v>265</v>
      </c>
      <c r="C798" t="s">
        <v>263</v>
      </c>
      <c r="D798" t="s">
        <v>264</v>
      </c>
      <c r="E798" t="s">
        <v>219</v>
      </c>
      <c r="F798" t="s">
        <v>23</v>
      </c>
      <c r="G798">
        <v>492</v>
      </c>
      <c r="H798">
        <v>0</v>
      </c>
      <c r="I798">
        <v>183</v>
      </c>
      <c r="J798">
        <v>309</v>
      </c>
      <c r="K798">
        <v>139</v>
      </c>
      <c r="L798" t="b">
        <v>0</v>
      </c>
      <c r="M798">
        <v>33.29</v>
      </c>
      <c r="N798">
        <v>10286.06</v>
      </c>
      <c r="O798" t="s">
        <v>27</v>
      </c>
      <c r="P798" t="str">
        <f>IF(J798=G798+H798-I798,"OK","Check")</f>
        <v>OK</v>
      </c>
      <c r="Q798" t="str">
        <f>IF(AND(J798&lt;=K798,L798=TRUE),"OK",IF(AND(J798&gt;K798,L798=FALSE),"OK","Check"))</f>
        <v>OK</v>
      </c>
      <c r="R798" t="str">
        <f>IF(ABS(N798-J798*M798)&lt;=J798*0.005+0.01,"OK","Check")</f>
        <v>OK</v>
      </c>
      <c r="S798" s="3">
        <f t="shared" si="12"/>
        <v>1</v>
      </c>
    </row>
    <row r="799" spans="1:19">
      <c r="A799" s="1">
        <v>46082</v>
      </c>
      <c r="B799" t="s">
        <v>265</v>
      </c>
      <c r="C799" t="s">
        <v>238</v>
      </c>
      <c r="D799" t="s">
        <v>239</v>
      </c>
      <c r="E799" t="s">
        <v>219</v>
      </c>
      <c r="F799" t="s">
        <v>23</v>
      </c>
      <c r="G799">
        <v>53</v>
      </c>
      <c r="H799">
        <v>240</v>
      </c>
      <c r="I799">
        <v>53</v>
      </c>
      <c r="J799">
        <v>240</v>
      </c>
      <c r="K799">
        <v>103</v>
      </c>
      <c r="L799" t="b">
        <v>0</v>
      </c>
      <c r="M799">
        <v>155.13999999999999</v>
      </c>
      <c r="N799">
        <v>37234.1</v>
      </c>
      <c r="O799" t="s">
        <v>32</v>
      </c>
      <c r="P799" t="str">
        <f>IF(J799=G799+H799-I799,"OK","Check")</f>
        <v>OK</v>
      </c>
      <c r="Q799" t="str">
        <f>IF(AND(J799&lt;=K799,L799=TRUE),"OK",IF(AND(J799&gt;K799,L799=FALSE),"OK","Check"))</f>
        <v>OK</v>
      </c>
      <c r="R799" t="str">
        <f>IF(ABS(N799-J799*M799)&lt;=J799*0.005+0.01,"OK","Check")</f>
        <v>OK</v>
      </c>
      <c r="S799" s="3">
        <f t="shared" si="12"/>
        <v>1</v>
      </c>
    </row>
    <row r="800" spans="1:19">
      <c r="A800" s="1">
        <v>46082</v>
      </c>
      <c r="B800" t="s">
        <v>265</v>
      </c>
      <c r="C800" t="s">
        <v>240</v>
      </c>
      <c r="D800" t="s">
        <v>241</v>
      </c>
      <c r="E800" t="s">
        <v>219</v>
      </c>
      <c r="F800" t="s">
        <v>23</v>
      </c>
      <c r="G800">
        <v>171</v>
      </c>
      <c r="H800">
        <v>0</v>
      </c>
      <c r="I800">
        <v>39</v>
      </c>
      <c r="J800">
        <v>132</v>
      </c>
      <c r="K800">
        <v>72</v>
      </c>
      <c r="L800" t="b">
        <v>0</v>
      </c>
      <c r="M800">
        <v>58.29</v>
      </c>
      <c r="N800">
        <v>7693.84</v>
      </c>
      <c r="O800" t="s">
        <v>27</v>
      </c>
      <c r="P800" t="str">
        <f>IF(J800=G800+H800-I800,"OK","Check")</f>
        <v>OK</v>
      </c>
      <c r="Q800" t="str">
        <f>IF(AND(J800&lt;=K800,L800=TRUE),"OK",IF(AND(J800&gt;K800,L800=FALSE),"OK","Check"))</f>
        <v>OK</v>
      </c>
      <c r="R800" t="str">
        <f>IF(ABS(N800-J800*M800)&lt;=J800*0.005+0.01,"OK","Check")</f>
        <v>OK</v>
      </c>
      <c r="S800" s="3">
        <f t="shared" si="12"/>
        <v>1</v>
      </c>
    </row>
    <row r="801" spans="1:19">
      <c r="A801" s="1">
        <v>46082</v>
      </c>
      <c r="B801" t="s">
        <v>265</v>
      </c>
      <c r="C801" t="s">
        <v>242</v>
      </c>
      <c r="D801" t="s">
        <v>243</v>
      </c>
      <c r="E801" t="s">
        <v>219</v>
      </c>
      <c r="F801" t="s">
        <v>23</v>
      </c>
      <c r="G801">
        <v>109</v>
      </c>
      <c r="H801">
        <v>539</v>
      </c>
      <c r="I801">
        <v>238</v>
      </c>
      <c r="J801">
        <v>410</v>
      </c>
      <c r="K801">
        <v>226</v>
      </c>
      <c r="L801" t="b">
        <v>0</v>
      </c>
      <c r="M801">
        <v>288.88</v>
      </c>
      <c r="N801">
        <v>118442.41</v>
      </c>
      <c r="O801" t="s">
        <v>60</v>
      </c>
      <c r="P801" t="str">
        <f>IF(J801=G801+H801-I801,"OK","Check")</f>
        <v>OK</v>
      </c>
      <c r="Q801" t="str">
        <f>IF(AND(J801&lt;=K801,L801=TRUE),"OK",IF(AND(J801&gt;K801,L801=FALSE),"OK","Check"))</f>
        <v>OK</v>
      </c>
      <c r="R801" t="str">
        <f>IF(ABS(N801-J801*M801)&lt;=J801*0.005+0.01,"OK","Check")</f>
        <v>OK</v>
      </c>
      <c r="S801" s="3">
        <f t="shared" si="12"/>
        <v>1</v>
      </c>
    </row>
    <row r="802" spans="1:19">
      <c r="A802" s="1">
        <v>46082</v>
      </c>
      <c r="B802" t="s">
        <v>276</v>
      </c>
      <c r="C802" t="s">
        <v>20</v>
      </c>
      <c r="D802" t="s">
        <v>21</v>
      </c>
      <c r="E802" t="s">
        <v>22</v>
      </c>
      <c r="F802" t="s">
        <v>23</v>
      </c>
      <c r="G802">
        <v>66</v>
      </c>
      <c r="H802">
        <v>343</v>
      </c>
      <c r="I802">
        <v>135</v>
      </c>
      <c r="J802">
        <v>274</v>
      </c>
      <c r="K802">
        <v>130</v>
      </c>
      <c r="L802" t="b">
        <v>0</v>
      </c>
      <c r="M802">
        <v>265.55</v>
      </c>
      <c r="N802">
        <v>72760.56</v>
      </c>
      <c r="O802" t="s">
        <v>24</v>
      </c>
      <c r="P802" t="str">
        <f>IF(J802=G802+H802-I802,"OK","Check")</f>
        <v>OK</v>
      </c>
      <c r="Q802" t="str">
        <f>IF(AND(J802&lt;=K802,L802=TRUE),"OK",IF(AND(J802&gt;K802,L802=FALSE),"OK","Check"))</f>
        <v>OK</v>
      </c>
      <c r="R802" t="str">
        <f>IF(ABS(N802-J802*M802)&lt;=J802*0.005+0.01,"OK","Check")</f>
        <v>OK</v>
      </c>
      <c r="S802" s="3">
        <f t="shared" si="12"/>
        <v>1</v>
      </c>
    </row>
    <row r="803" spans="1:19">
      <c r="A803" s="1">
        <v>46082</v>
      </c>
      <c r="B803" t="s">
        <v>276</v>
      </c>
      <c r="C803" t="s">
        <v>25</v>
      </c>
      <c r="D803" t="s">
        <v>26</v>
      </c>
      <c r="E803" t="s">
        <v>22</v>
      </c>
      <c r="F803" t="s">
        <v>23</v>
      </c>
      <c r="G803">
        <v>183</v>
      </c>
      <c r="H803">
        <v>0</v>
      </c>
      <c r="I803">
        <v>47</v>
      </c>
      <c r="J803">
        <v>136</v>
      </c>
      <c r="K803">
        <v>90</v>
      </c>
      <c r="L803" t="b">
        <v>0</v>
      </c>
      <c r="M803">
        <v>1157.3</v>
      </c>
      <c r="N803">
        <v>157393.45000000001</v>
      </c>
      <c r="O803" t="s">
        <v>27</v>
      </c>
      <c r="P803" t="str">
        <f>IF(J803=G803+H803-I803,"OK","Check")</f>
        <v>OK</v>
      </c>
      <c r="Q803" t="str">
        <f>IF(AND(J803&lt;=K803,L803=TRUE),"OK",IF(AND(J803&gt;K803,L803=FALSE),"OK","Check"))</f>
        <v>OK</v>
      </c>
      <c r="R803" t="str">
        <f>IF(ABS(N803-J803*M803)&lt;=J803*0.005+0.01,"OK","Check")</f>
        <v>OK</v>
      </c>
      <c r="S803" s="3">
        <f t="shared" si="12"/>
        <v>1</v>
      </c>
    </row>
    <row r="804" spans="1:19">
      <c r="A804" s="1">
        <v>46082</v>
      </c>
      <c r="B804" t="s">
        <v>276</v>
      </c>
      <c r="C804" t="s">
        <v>28</v>
      </c>
      <c r="D804" t="s">
        <v>29</v>
      </c>
      <c r="E804" t="s">
        <v>22</v>
      </c>
      <c r="F804" t="s">
        <v>23</v>
      </c>
      <c r="G804">
        <v>24</v>
      </c>
      <c r="H804">
        <v>183</v>
      </c>
      <c r="I804">
        <v>67</v>
      </c>
      <c r="J804">
        <v>140</v>
      </c>
      <c r="K804">
        <v>74</v>
      </c>
      <c r="L804" t="b">
        <v>0</v>
      </c>
      <c r="M804">
        <v>87.96</v>
      </c>
      <c r="N804">
        <v>12314.79</v>
      </c>
      <c r="O804" t="s">
        <v>24</v>
      </c>
      <c r="P804" t="str">
        <f>IF(J804=G804+H804-I804,"OK","Check")</f>
        <v>OK</v>
      </c>
      <c r="Q804" t="str">
        <f>IF(AND(J804&lt;=K804,L804=TRUE),"OK",IF(AND(J804&gt;K804,L804=FALSE),"OK","Check"))</f>
        <v>OK</v>
      </c>
      <c r="R804" t="str">
        <f>IF(ABS(N804-J804*M804)&lt;=J804*0.005+0.01,"OK","Check")</f>
        <v>OK</v>
      </c>
      <c r="S804" s="3">
        <f t="shared" si="12"/>
        <v>1</v>
      </c>
    </row>
    <row r="805" spans="1:19">
      <c r="A805" s="1">
        <v>46082</v>
      </c>
      <c r="B805" t="s">
        <v>276</v>
      </c>
      <c r="C805" t="s">
        <v>30</v>
      </c>
      <c r="D805" t="s">
        <v>31</v>
      </c>
      <c r="E805" t="s">
        <v>22</v>
      </c>
      <c r="F805" t="s">
        <v>23</v>
      </c>
      <c r="G805">
        <v>516</v>
      </c>
      <c r="H805">
        <v>0</v>
      </c>
      <c r="I805">
        <v>175</v>
      </c>
      <c r="J805">
        <v>341</v>
      </c>
      <c r="K805">
        <v>280</v>
      </c>
      <c r="L805" t="b">
        <v>0</v>
      </c>
      <c r="M805">
        <v>384.58</v>
      </c>
      <c r="N805">
        <v>131143.4</v>
      </c>
      <c r="O805" t="s">
        <v>32</v>
      </c>
      <c r="P805" t="str">
        <f>IF(J805=G805+H805-I805,"OK","Check")</f>
        <v>OK</v>
      </c>
      <c r="Q805" t="str">
        <f>IF(AND(J805&lt;=K805,L805=TRUE),"OK",IF(AND(J805&gt;K805,L805=FALSE),"OK","Check"))</f>
        <v>OK</v>
      </c>
      <c r="R805" t="str">
        <f>IF(ABS(N805-J805*M805)&lt;=J805*0.005+0.01,"OK","Check")</f>
        <v>OK</v>
      </c>
      <c r="S805" s="3">
        <f t="shared" si="12"/>
        <v>1</v>
      </c>
    </row>
    <row r="806" spans="1:19">
      <c r="A806" s="1">
        <v>46082</v>
      </c>
      <c r="B806" t="s">
        <v>276</v>
      </c>
      <c r="C806" t="s">
        <v>33</v>
      </c>
      <c r="D806" t="s">
        <v>34</v>
      </c>
      <c r="E806" t="s">
        <v>22</v>
      </c>
      <c r="F806" t="s">
        <v>23</v>
      </c>
      <c r="G806">
        <v>285</v>
      </c>
      <c r="H806">
        <v>0</v>
      </c>
      <c r="I806">
        <v>101</v>
      </c>
      <c r="J806">
        <v>184</v>
      </c>
      <c r="K806">
        <v>163</v>
      </c>
      <c r="L806" t="b">
        <v>0</v>
      </c>
      <c r="M806">
        <v>128.57</v>
      </c>
      <c r="N806">
        <v>23656.240000000002</v>
      </c>
      <c r="O806" t="s">
        <v>24</v>
      </c>
      <c r="P806" t="str">
        <f>IF(J806=G806+H806-I806,"OK","Check")</f>
        <v>OK</v>
      </c>
      <c r="Q806" t="str">
        <f>IF(AND(J806&lt;=K806,L806=TRUE),"OK",IF(AND(J806&gt;K806,L806=FALSE),"OK","Check"))</f>
        <v>OK</v>
      </c>
      <c r="R806" t="str">
        <f>IF(ABS(N806-J806*M806)&lt;=J806*0.005+0.01,"OK","Check")</f>
        <v>OK</v>
      </c>
      <c r="S806" s="3">
        <f t="shared" si="12"/>
        <v>1</v>
      </c>
    </row>
    <row r="807" spans="1:19">
      <c r="A807" s="1">
        <v>46082</v>
      </c>
      <c r="B807" t="s">
        <v>276</v>
      </c>
      <c r="C807" t="s">
        <v>35</v>
      </c>
      <c r="D807" t="s">
        <v>36</v>
      </c>
      <c r="E807" t="s">
        <v>22</v>
      </c>
      <c r="F807" t="s">
        <v>23</v>
      </c>
      <c r="G807">
        <v>740</v>
      </c>
      <c r="H807">
        <v>0</v>
      </c>
      <c r="I807">
        <v>138</v>
      </c>
      <c r="J807">
        <v>602</v>
      </c>
      <c r="K807">
        <v>287</v>
      </c>
      <c r="L807" t="b">
        <v>0</v>
      </c>
      <c r="M807">
        <v>530.49</v>
      </c>
      <c r="N807">
        <v>319352.78000000003</v>
      </c>
      <c r="O807" t="s">
        <v>37</v>
      </c>
      <c r="P807" t="str">
        <f>IF(J807=G807+H807-I807,"OK","Check")</f>
        <v>OK</v>
      </c>
      <c r="Q807" t="str">
        <f>IF(AND(J807&lt;=K807,L807=TRUE),"OK",IF(AND(J807&gt;K807,L807=FALSE),"OK","Check"))</f>
        <v>OK</v>
      </c>
      <c r="R807" t="str">
        <f>IF(ABS(N807-J807*M807)&lt;=J807*0.005+0.01,"OK","Check")</f>
        <v>OK</v>
      </c>
      <c r="S807" s="3">
        <f t="shared" si="12"/>
        <v>1</v>
      </c>
    </row>
    <row r="808" spans="1:19">
      <c r="A808" s="1">
        <v>46082</v>
      </c>
      <c r="B808" t="s">
        <v>276</v>
      </c>
      <c r="C808" t="s">
        <v>40</v>
      </c>
      <c r="D808" t="s">
        <v>41</v>
      </c>
      <c r="E808" t="s">
        <v>22</v>
      </c>
      <c r="F808" t="s">
        <v>23</v>
      </c>
      <c r="G808">
        <v>127</v>
      </c>
      <c r="H808">
        <v>532</v>
      </c>
      <c r="I808">
        <v>162</v>
      </c>
      <c r="J808">
        <v>497</v>
      </c>
      <c r="K808">
        <v>168</v>
      </c>
      <c r="L808" t="b">
        <v>0</v>
      </c>
      <c r="M808">
        <v>331.94</v>
      </c>
      <c r="N808">
        <v>164972.91</v>
      </c>
      <c r="O808" t="s">
        <v>24</v>
      </c>
      <c r="P808" t="str">
        <f>IF(J808=G808+H808-I808,"OK","Check")</f>
        <v>OK</v>
      </c>
      <c r="Q808" t="str">
        <f>IF(AND(J808&lt;=K808,L808=TRUE),"OK",IF(AND(J808&gt;K808,L808=FALSE),"OK","Check"))</f>
        <v>OK</v>
      </c>
      <c r="R808" t="str">
        <f>IF(ABS(N808-J808*M808)&lt;=J808*0.005+0.01,"OK","Check")</f>
        <v>OK</v>
      </c>
      <c r="S808" s="3">
        <f t="shared" si="12"/>
        <v>1</v>
      </c>
    </row>
    <row r="809" spans="1:19">
      <c r="A809" s="1">
        <v>46082</v>
      </c>
      <c r="B809" t="s">
        <v>276</v>
      </c>
      <c r="C809" t="s">
        <v>42</v>
      </c>
      <c r="D809" t="s">
        <v>43</v>
      </c>
      <c r="E809" t="s">
        <v>22</v>
      </c>
      <c r="F809" t="s">
        <v>23</v>
      </c>
      <c r="G809">
        <v>82</v>
      </c>
      <c r="H809">
        <v>231</v>
      </c>
      <c r="I809">
        <v>68</v>
      </c>
      <c r="J809">
        <v>245</v>
      </c>
      <c r="K809">
        <v>106</v>
      </c>
      <c r="L809" t="b">
        <v>0</v>
      </c>
      <c r="M809">
        <v>173.97</v>
      </c>
      <c r="N809">
        <v>42622.65</v>
      </c>
      <c r="O809" t="s">
        <v>44</v>
      </c>
      <c r="P809" t="str">
        <f>IF(J809=G809+H809-I809,"OK","Check")</f>
        <v>OK</v>
      </c>
      <c r="Q809" t="str">
        <f>IF(AND(J809&lt;=K809,L809=TRUE),"OK",IF(AND(J809&gt;K809,L809=FALSE),"OK","Check"))</f>
        <v>OK</v>
      </c>
      <c r="R809" t="str">
        <f>IF(ABS(N809-J809*M809)&lt;=J809*0.005+0.01,"OK","Check")</f>
        <v>OK</v>
      </c>
      <c r="S809" s="3">
        <f t="shared" si="12"/>
        <v>1</v>
      </c>
    </row>
    <row r="810" spans="1:19">
      <c r="A810" s="1">
        <v>46082</v>
      </c>
      <c r="B810" t="s">
        <v>276</v>
      </c>
      <c r="C810" t="s">
        <v>45</v>
      </c>
      <c r="D810" t="s">
        <v>46</v>
      </c>
      <c r="E810" t="s">
        <v>22</v>
      </c>
      <c r="F810" t="s">
        <v>23</v>
      </c>
      <c r="G810">
        <v>242</v>
      </c>
      <c r="H810">
        <v>0</v>
      </c>
      <c r="I810">
        <v>161</v>
      </c>
      <c r="J810">
        <v>81</v>
      </c>
      <c r="K810">
        <v>141</v>
      </c>
      <c r="L810" t="b">
        <v>1</v>
      </c>
      <c r="M810">
        <v>754.35</v>
      </c>
      <c r="N810">
        <v>61102.37</v>
      </c>
      <c r="O810" t="s">
        <v>47</v>
      </c>
      <c r="P810" t="str">
        <f>IF(J810=G810+H810-I810,"OK","Check")</f>
        <v>OK</v>
      </c>
      <c r="Q810" t="str">
        <f>IF(AND(J810&lt;=K810,L810=TRUE),"OK",IF(AND(J810&gt;K810,L810=FALSE),"OK","Check"))</f>
        <v>OK</v>
      </c>
      <c r="R810" t="str">
        <f>IF(ABS(N810-J810*M810)&lt;=J810*0.005+0.01,"OK","Check")</f>
        <v>OK</v>
      </c>
      <c r="S810" s="3">
        <f t="shared" si="12"/>
        <v>1</v>
      </c>
    </row>
    <row r="811" spans="1:19">
      <c r="A811" s="1">
        <v>46082</v>
      </c>
      <c r="B811" t="s">
        <v>276</v>
      </c>
      <c r="C811" t="s">
        <v>48</v>
      </c>
      <c r="D811" t="s">
        <v>49</v>
      </c>
      <c r="E811" t="s">
        <v>22</v>
      </c>
      <c r="F811" t="s">
        <v>23</v>
      </c>
      <c r="G811">
        <v>63</v>
      </c>
      <c r="H811">
        <v>150</v>
      </c>
      <c r="I811">
        <v>82</v>
      </c>
      <c r="J811">
        <v>131</v>
      </c>
      <c r="K811">
        <v>82</v>
      </c>
      <c r="L811" t="b">
        <v>0</v>
      </c>
      <c r="M811">
        <v>62.14</v>
      </c>
      <c r="N811">
        <v>8140.54</v>
      </c>
      <c r="O811" t="s">
        <v>44</v>
      </c>
      <c r="P811" t="str">
        <f>IF(J811=G811+H811-I811,"OK","Check")</f>
        <v>OK</v>
      </c>
      <c r="Q811" t="str">
        <f>IF(AND(J811&lt;=K811,L811=TRUE),"OK",IF(AND(J811&gt;K811,L811=FALSE),"OK","Check"))</f>
        <v>OK</v>
      </c>
      <c r="R811" t="str">
        <f>IF(ABS(N811-J811*M811)&lt;=J811*0.005+0.01,"OK","Check")</f>
        <v>OK</v>
      </c>
      <c r="S811" s="3">
        <f t="shared" si="12"/>
        <v>1</v>
      </c>
    </row>
    <row r="812" spans="1:19">
      <c r="A812" s="1">
        <v>46082</v>
      </c>
      <c r="B812" t="s">
        <v>276</v>
      </c>
      <c r="C812" t="s">
        <v>50</v>
      </c>
      <c r="D812" t="s">
        <v>51</v>
      </c>
      <c r="E812" t="s">
        <v>22</v>
      </c>
      <c r="F812" t="s">
        <v>23</v>
      </c>
      <c r="G812">
        <v>29</v>
      </c>
      <c r="H812">
        <v>55</v>
      </c>
      <c r="I812">
        <v>28</v>
      </c>
      <c r="J812">
        <v>56</v>
      </c>
      <c r="K812">
        <v>28</v>
      </c>
      <c r="L812" t="b">
        <v>0</v>
      </c>
      <c r="M812">
        <v>254.63</v>
      </c>
      <c r="N812">
        <v>14259.05</v>
      </c>
      <c r="O812" t="s">
        <v>24</v>
      </c>
      <c r="P812" t="str">
        <f>IF(J812=G812+H812-I812,"OK","Check")</f>
        <v>OK</v>
      </c>
      <c r="Q812" t="str">
        <f>IF(AND(J812&lt;=K812,L812=TRUE),"OK",IF(AND(J812&gt;K812,L812=FALSE),"OK","Check"))</f>
        <v>OK</v>
      </c>
      <c r="R812" t="str">
        <f>IF(ABS(N812-J812*M812)&lt;=J812*0.005+0.01,"OK","Check")</f>
        <v>OK</v>
      </c>
      <c r="S812" s="3">
        <f t="shared" si="12"/>
        <v>1</v>
      </c>
    </row>
    <row r="813" spans="1:19">
      <c r="A813" s="1">
        <v>46082</v>
      </c>
      <c r="B813" t="s">
        <v>276</v>
      </c>
      <c r="C813" t="s">
        <v>52</v>
      </c>
      <c r="D813" t="s">
        <v>53</v>
      </c>
      <c r="E813" t="s">
        <v>22</v>
      </c>
      <c r="F813" t="s">
        <v>23</v>
      </c>
      <c r="G813">
        <v>143</v>
      </c>
      <c r="H813">
        <v>461</v>
      </c>
      <c r="I813">
        <v>99</v>
      </c>
      <c r="J813">
        <v>505</v>
      </c>
      <c r="K813">
        <v>139</v>
      </c>
      <c r="L813" t="b">
        <v>0</v>
      </c>
      <c r="M813">
        <v>60.31</v>
      </c>
      <c r="N813">
        <v>30458.99</v>
      </c>
      <c r="O813" t="s">
        <v>47</v>
      </c>
      <c r="P813" t="str">
        <f>IF(J813=G813+H813-I813,"OK","Check")</f>
        <v>OK</v>
      </c>
      <c r="Q813" t="str">
        <f>IF(AND(J813&lt;=K813,L813=TRUE),"OK",IF(AND(J813&gt;K813,L813=FALSE),"OK","Check"))</f>
        <v>OK</v>
      </c>
      <c r="R813" t="str">
        <f>IF(ABS(N813-J813*M813)&lt;=J813*0.005+0.01,"OK","Check")</f>
        <v>OK</v>
      </c>
      <c r="S813" s="3">
        <f t="shared" si="12"/>
        <v>1</v>
      </c>
    </row>
    <row r="814" spans="1:19">
      <c r="A814" s="1">
        <v>46082</v>
      </c>
      <c r="B814" t="s">
        <v>276</v>
      </c>
      <c r="C814" t="s">
        <v>54</v>
      </c>
      <c r="D814" t="s">
        <v>55</v>
      </c>
      <c r="E814" t="s">
        <v>22</v>
      </c>
      <c r="F814" t="s">
        <v>23</v>
      </c>
      <c r="G814">
        <v>181</v>
      </c>
      <c r="H814">
        <v>0</v>
      </c>
      <c r="I814">
        <v>82</v>
      </c>
      <c r="J814">
        <v>99</v>
      </c>
      <c r="K814">
        <v>143</v>
      </c>
      <c r="L814" t="b">
        <v>1</v>
      </c>
      <c r="M814">
        <v>253.98</v>
      </c>
      <c r="N814">
        <v>25144.1</v>
      </c>
      <c r="O814" t="s">
        <v>44</v>
      </c>
      <c r="P814" t="str">
        <f>IF(J814=G814+H814-I814,"OK","Check")</f>
        <v>OK</v>
      </c>
      <c r="Q814" t="str">
        <f>IF(AND(J814&lt;=K814,L814=TRUE),"OK",IF(AND(J814&gt;K814,L814=FALSE),"OK","Check"))</f>
        <v>OK</v>
      </c>
      <c r="R814" t="str">
        <f>IF(ABS(N814-J814*M814)&lt;=J814*0.005+0.01,"OK","Check")</f>
        <v>OK</v>
      </c>
      <c r="S814" s="3">
        <f t="shared" si="12"/>
        <v>1</v>
      </c>
    </row>
    <row r="815" spans="1:19">
      <c r="A815" s="1">
        <v>46082</v>
      </c>
      <c r="B815" t="s">
        <v>276</v>
      </c>
      <c r="C815" t="s">
        <v>56</v>
      </c>
      <c r="D815" t="s">
        <v>57</v>
      </c>
      <c r="E815" t="s">
        <v>22</v>
      </c>
      <c r="F815" t="s">
        <v>23</v>
      </c>
      <c r="G815">
        <v>134</v>
      </c>
      <c r="H815">
        <v>0</v>
      </c>
      <c r="I815">
        <v>55</v>
      </c>
      <c r="J815">
        <v>79</v>
      </c>
      <c r="K815">
        <v>82</v>
      </c>
      <c r="L815" t="b">
        <v>1</v>
      </c>
      <c r="M815">
        <v>464.04</v>
      </c>
      <c r="N815">
        <v>36659.410000000003</v>
      </c>
      <c r="O815" t="s">
        <v>24</v>
      </c>
      <c r="P815" t="str">
        <f>IF(J815=G815+H815-I815,"OK","Check")</f>
        <v>OK</v>
      </c>
      <c r="Q815" t="str">
        <f>IF(AND(J815&lt;=K815,L815=TRUE),"OK",IF(AND(J815&gt;K815,L815=FALSE),"OK","Check"))</f>
        <v>OK</v>
      </c>
      <c r="R815" t="str">
        <f>IF(ABS(N815-J815*M815)&lt;=J815*0.005+0.01,"OK","Check")</f>
        <v>OK</v>
      </c>
      <c r="S815" s="3">
        <f t="shared" si="12"/>
        <v>1</v>
      </c>
    </row>
    <row r="816" spans="1:19">
      <c r="A816" s="1">
        <v>46082</v>
      </c>
      <c r="B816" t="s">
        <v>276</v>
      </c>
      <c r="C816" t="s">
        <v>58</v>
      </c>
      <c r="D816" t="s">
        <v>59</v>
      </c>
      <c r="E816" t="s">
        <v>22</v>
      </c>
      <c r="F816" t="s">
        <v>23</v>
      </c>
      <c r="G816">
        <v>854</v>
      </c>
      <c r="H816">
        <v>0</v>
      </c>
      <c r="I816">
        <v>264</v>
      </c>
      <c r="J816">
        <v>590</v>
      </c>
      <c r="K816">
        <v>173</v>
      </c>
      <c r="L816" t="b">
        <v>0</v>
      </c>
      <c r="M816">
        <v>2099.83</v>
      </c>
      <c r="N816">
        <v>1238901.6299999999</v>
      </c>
      <c r="O816" t="s">
        <v>60</v>
      </c>
      <c r="P816" t="str">
        <f>IF(J816=G816+H816-I816,"OK","Check")</f>
        <v>OK</v>
      </c>
      <c r="Q816" t="str">
        <f>IF(AND(J816&lt;=K816,L816=TRUE),"OK",IF(AND(J816&gt;K816,L816=FALSE),"OK","Check"))</f>
        <v>OK</v>
      </c>
      <c r="R816" t="str">
        <f>IF(ABS(N816-J816*M816)&lt;=J816*0.005+0.01,"OK","Check")</f>
        <v>OK</v>
      </c>
      <c r="S816" s="3">
        <f t="shared" si="12"/>
        <v>1</v>
      </c>
    </row>
    <row r="817" spans="1:19">
      <c r="A817" s="1">
        <v>46082</v>
      </c>
      <c r="B817" t="s">
        <v>276</v>
      </c>
      <c r="C817" t="s">
        <v>61</v>
      </c>
      <c r="D817" t="s">
        <v>62</v>
      </c>
      <c r="E817" t="s">
        <v>22</v>
      </c>
      <c r="F817" t="s">
        <v>23</v>
      </c>
      <c r="G817">
        <v>317</v>
      </c>
      <c r="H817">
        <v>0</v>
      </c>
      <c r="I817">
        <v>228</v>
      </c>
      <c r="J817">
        <v>89</v>
      </c>
      <c r="K817">
        <v>237</v>
      </c>
      <c r="L817" t="b">
        <v>1</v>
      </c>
      <c r="M817">
        <v>23.64</v>
      </c>
      <c r="N817">
        <v>2103.63</v>
      </c>
      <c r="O817" t="s">
        <v>44</v>
      </c>
      <c r="P817" t="str">
        <f>IF(J817=G817+H817-I817,"OK","Check")</f>
        <v>OK</v>
      </c>
      <c r="Q817" t="str">
        <f>IF(AND(J817&lt;=K817,L817=TRUE),"OK",IF(AND(J817&gt;K817,L817=FALSE),"OK","Check"))</f>
        <v>OK</v>
      </c>
      <c r="R817" t="str">
        <f>IF(ABS(N817-J817*M817)&lt;=J817*0.005+0.01,"OK","Check")</f>
        <v>OK</v>
      </c>
      <c r="S817" s="3">
        <f t="shared" si="12"/>
        <v>1</v>
      </c>
    </row>
    <row r="818" spans="1:19">
      <c r="A818" s="1">
        <v>46082</v>
      </c>
      <c r="B818" t="s">
        <v>276</v>
      </c>
      <c r="C818" t="s">
        <v>63</v>
      </c>
      <c r="D818" t="s">
        <v>64</v>
      </c>
      <c r="E818" t="s">
        <v>22</v>
      </c>
      <c r="F818" t="s">
        <v>23</v>
      </c>
      <c r="G818">
        <v>443</v>
      </c>
      <c r="H818">
        <v>604</v>
      </c>
      <c r="I818">
        <v>120</v>
      </c>
      <c r="J818">
        <v>927</v>
      </c>
      <c r="K818">
        <v>180</v>
      </c>
      <c r="L818" t="b">
        <v>0</v>
      </c>
      <c r="M818">
        <v>127.52</v>
      </c>
      <c r="N818">
        <v>118213.34</v>
      </c>
      <c r="O818" t="s">
        <v>47</v>
      </c>
      <c r="P818" t="str">
        <f>IF(J818=G818+H818-I818,"OK","Check")</f>
        <v>OK</v>
      </c>
      <c r="Q818" t="str">
        <f>IF(AND(J818&lt;=K818,L818=TRUE),"OK",IF(AND(J818&gt;K818,L818=FALSE),"OK","Check"))</f>
        <v>OK</v>
      </c>
      <c r="R818" t="str">
        <f>IF(ABS(N818-J818*M818)&lt;=J818*0.005+0.01,"OK","Check")</f>
        <v>OK</v>
      </c>
      <c r="S818" s="3">
        <f t="shared" si="12"/>
        <v>1</v>
      </c>
    </row>
    <row r="819" spans="1:19">
      <c r="A819" s="1">
        <v>46082</v>
      </c>
      <c r="B819" t="s">
        <v>276</v>
      </c>
      <c r="C819" t="s">
        <v>65</v>
      </c>
      <c r="D819" t="s">
        <v>66</v>
      </c>
      <c r="E819" t="s">
        <v>22</v>
      </c>
      <c r="F819" t="s">
        <v>23</v>
      </c>
      <c r="G819">
        <v>421</v>
      </c>
      <c r="H819">
        <v>327</v>
      </c>
      <c r="I819">
        <v>106</v>
      </c>
      <c r="J819">
        <v>642</v>
      </c>
      <c r="K819">
        <v>110</v>
      </c>
      <c r="L819" t="b">
        <v>0</v>
      </c>
      <c r="M819">
        <v>88.37</v>
      </c>
      <c r="N819">
        <v>56730.9</v>
      </c>
      <c r="O819" t="s">
        <v>44</v>
      </c>
      <c r="P819" t="str">
        <f>IF(J819=G819+H819-I819,"OK","Check")</f>
        <v>OK</v>
      </c>
      <c r="Q819" t="str">
        <f>IF(AND(J819&lt;=K819,L819=TRUE),"OK",IF(AND(J819&gt;K819,L819=FALSE),"OK","Check"))</f>
        <v>OK</v>
      </c>
      <c r="R819" t="str">
        <f>IF(ABS(N819-J819*M819)&lt;=J819*0.005+0.01,"OK","Check")</f>
        <v>OK</v>
      </c>
      <c r="S819" s="3">
        <f t="shared" si="12"/>
        <v>1</v>
      </c>
    </row>
    <row r="820" spans="1:19">
      <c r="A820" s="1">
        <v>46082</v>
      </c>
      <c r="B820" t="s">
        <v>276</v>
      </c>
      <c r="C820" t="s">
        <v>67</v>
      </c>
      <c r="D820" t="s">
        <v>68</v>
      </c>
      <c r="E820" t="s">
        <v>22</v>
      </c>
      <c r="F820" t="s">
        <v>23</v>
      </c>
      <c r="G820">
        <v>744</v>
      </c>
      <c r="H820">
        <v>0</v>
      </c>
      <c r="I820">
        <v>253</v>
      </c>
      <c r="J820">
        <v>491</v>
      </c>
      <c r="K820">
        <v>289</v>
      </c>
      <c r="L820" t="b">
        <v>0</v>
      </c>
      <c r="M820">
        <v>375.02</v>
      </c>
      <c r="N820">
        <v>184134.07</v>
      </c>
      <c r="O820" t="s">
        <v>27</v>
      </c>
      <c r="P820" t="str">
        <f>IF(J820=G820+H820-I820,"OK","Check")</f>
        <v>OK</v>
      </c>
      <c r="Q820" t="str">
        <f>IF(AND(J820&lt;=K820,L820=TRUE),"OK",IF(AND(J820&gt;K820,L820=FALSE),"OK","Check"))</f>
        <v>OK</v>
      </c>
      <c r="R820" t="str">
        <f>IF(ABS(N820-J820*M820)&lt;=J820*0.005+0.01,"OK","Check")</f>
        <v>OK</v>
      </c>
      <c r="S820" s="3">
        <f t="shared" si="12"/>
        <v>1</v>
      </c>
    </row>
    <row r="821" spans="1:19">
      <c r="A821" s="1">
        <v>46082</v>
      </c>
      <c r="B821" t="s">
        <v>276</v>
      </c>
      <c r="C821" t="s">
        <v>69</v>
      </c>
      <c r="D821" t="s">
        <v>70</v>
      </c>
      <c r="E821" t="s">
        <v>71</v>
      </c>
      <c r="F821" t="s">
        <v>23</v>
      </c>
      <c r="G821">
        <v>140</v>
      </c>
      <c r="H821">
        <v>0</v>
      </c>
      <c r="I821">
        <v>42</v>
      </c>
      <c r="J821">
        <v>98</v>
      </c>
      <c r="K821">
        <v>55</v>
      </c>
      <c r="L821" t="b">
        <v>0</v>
      </c>
      <c r="M821">
        <v>105.49</v>
      </c>
      <c r="N821">
        <v>10337.98</v>
      </c>
      <c r="O821" t="s">
        <v>27</v>
      </c>
      <c r="P821" t="str">
        <f>IF(J821=G821+H821-I821,"OK","Check")</f>
        <v>OK</v>
      </c>
      <c r="Q821" t="str">
        <f>IF(AND(J821&lt;=K821,L821=TRUE),"OK",IF(AND(J821&gt;K821,L821=FALSE),"OK","Check"))</f>
        <v>OK</v>
      </c>
      <c r="R821" t="str">
        <f>IF(ABS(N821-J821*M821)&lt;=J821*0.005+0.01,"OK","Check")</f>
        <v>OK</v>
      </c>
      <c r="S821" s="3">
        <f t="shared" si="12"/>
        <v>1</v>
      </c>
    </row>
    <row r="822" spans="1:19">
      <c r="A822" s="1">
        <v>46082</v>
      </c>
      <c r="B822" t="s">
        <v>276</v>
      </c>
      <c r="C822" t="s">
        <v>72</v>
      </c>
      <c r="D822" t="s">
        <v>73</v>
      </c>
      <c r="E822" t="s">
        <v>71</v>
      </c>
      <c r="F822" t="s">
        <v>23</v>
      </c>
      <c r="G822">
        <v>594</v>
      </c>
      <c r="H822">
        <v>0</v>
      </c>
      <c r="I822">
        <v>102</v>
      </c>
      <c r="J822">
        <v>492</v>
      </c>
      <c r="K822">
        <v>144</v>
      </c>
      <c r="L822" t="b">
        <v>0</v>
      </c>
      <c r="M822">
        <v>472.93</v>
      </c>
      <c r="N822">
        <v>232682.42</v>
      </c>
      <c r="O822" t="s">
        <v>60</v>
      </c>
      <c r="P822" t="str">
        <f>IF(J822=G822+H822-I822,"OK","Check")</f>
        <v>OK</v>
      </c>
      <c r="Q822" t="str">
        <f>IF(AND(J822&lt;=K822,L822=TRUE),"OK",IF(AND(J822&gt;K822,L822=FALSE),"OK","Check"))</f>
        <v>OK</v>
      </c>
      <c r="R822" t="str">
        <f>IF(ABS(N822-J822*M822)&lt;=J822*0.005+0.01,"OK","Check")</f>
        <v>OK</v>
      </c>
      <c r="S822" s="3">
        <f t="shared" si="12"/>
        <v>1</v>
      </c>
    </row>
    <row r="823" spans="1:19">
      <c r="A823" s="1">
        <v>46082</v>
      </c>
      <c r="B823" t="s">
        <v>276</v>
      </c>
      <c r="C823" t="s">
        <v>74</v>
      </c>
      <c r="D823" t="s">
        <v>75</v>
      </c>
      <c r="E823" t="s">
        <v>71</v>
      </c>
      <c r="F823" t="s">
        <v>23</v>
      </c>
      <c r="G823">
        <v>26</v>
      </c>
      <c r="H823">
        <v>275</v>
      </c>
      <c r="I823">
        <v>99</v>
      </c>
      <c r="J823">
        <v>202</v>
      </c>
      <c r="K823">
        <v>103</v>
      </c>
      <c r="L823" t="b">
        <v>0</v>
      </c>
      <c r="M823">
        <v>225.1</v>
      </c>
      <c r="N823">
        <v>45469.53</v>
      </c>
      <c r="O823" t="s">
        <v>37</v>
      </c>
      <c r="P823" t="str">
        <f>IF(J823=G823+H823-I823,"OK","Check")</f>
        <v>OK</v>
      </c>
      <c r="Q823" t="str">
        <f>IF(AND(J823&lt;=K823,L823=TRUE),"OK",IF(AND(J823&gt;K823,L823=FALSE),"OK","Check"))</f>
        <v>OK</v>
      </c>
      <c r="R823" t="str">
        <f>IF(ABS(N823-J823*M823)&lt;=J823*0.005+0.01,"OK","Check")</f>
        <v>OK</v>
      </c>
      <c r="S823" s="3">
        <f t="shared" si="12"/>
        <v>1</v>
      </c>
    </row>
    <row r="824" spans="1:19">
      <c r="A824" s="1">
        <v>46082</v>
      </c>
      <c r="B824" t="s">
        <v>276</v>
      </c>
      <c r="C824" t="s">
        <v>76</v>
      </c>
      <c r="D824" t="s">
        <v>77</v>
      </c>
      <c r="E824" t="s">
        <v>71</v>
      </c>
      <c r="F824" t="s">
        <v>23</v>
      </c>
      <c r="G824">
        <v>25</v>
      </c>
      <c r="H824">
        <v>263</v>
      </c>
      <c r="I824">
        <v>96</v>
      </c>
      <c r="J824">
        <v>192</v>
      </c>
      <c r="K824">
        <v>106</v>
      </c>
      <c r="L824" t="b">
        <v>0</v>
      </c>
      <c r="M824">
        <v>1164.27</v>
      </c>
      <c r="N824">
        <v>223540.35</v>
      </c>
      <c r="O824" t="s">
        <v>37</v>
      </c>
      <c r="P824" t="str">
        <f>IF(J824=G824+H824-I824,"OK","Check")</f>
        <v>OK</v>
      </c>
      <c r="Q824" t="str">
        <f>IF(AND(J824&lt;=K824,L824=TRUE),"OK",IF(AND(J824&gt;K824,L824=FALSE),"OK","Check"))</f>
        <v>OK</v>
      </c>
      <c r="R824" t="str">
        <f>IF(ABS(N824-J824*M824)&lt;=J824*0.005+0.01,"OK","Check")</f>
        <v>OK</v>
      </c>
      <c r="S824" s="3">
        <f t="shared" si="12"/>
        <v>1</v>
      </c>
    </row>
    <row r="825" spans="1:19">
      <c r="A825" s="1">
        <v>46082</v>
      </c>
      <c r="B825" t="s">
        <v>276</v>
      </c>
      <c r="C825" t="s">
        <v>78</v>
      </c>
      <c r="D825" t="s">
        <v>79</v>
      </c>
      <c r="E825" t="s">
        <v>71</v>
      </c>
      <c r="F825" t="s">
        <v>23</v>
      </c>
      <c r="G825">
        <v>282</v>
      </c>
      <c r="H825">
        <v>426</v>
      </c>
      <c r="I825">
        <v>220</v>
      </c>
      <c r="J825">
        <v>488</v>
      </c>
      <c r="K825">
        <v>212</v>
      </c>
      <c r="L825" t="b">
        <v>0</v>
      </c>
      <c r="M825">
        <v>355.89</v>
      </c>
      <c r="N825">
        <v>173671.9</v>
      </c>
      <c r="O825" t="s">
        <v>47</v>
      </c>
      <c r="P825" t="str">
        <f>IF(J825=G825+H825-I825,"OK","Check")</f>
        <v>OK</v>
      </c>
      <c r="Q825" t="str">
        <f>IF(AND(J825&lt;=K825,L825=TRUE),"OK",IF(AND(J825&gt;K825,L825=FALSE),"OK","Check"))</f>
        <v>OK</v>
      </c>
      <c r="R825" t="str">
        <f>IF(ABS(N825-J825*M825)&lt;=J825*0.005+0.01,"OK","Check")</f>
        <v>OK</v>
      </c>
      <c r="S825" s="3">
        <f t="shared" si="12"/>
        <v>1</v>
      </c>
    </row>
    <row r="826" spans="1:19">
      <c r="A826" s="1">
        <v>46082</v>
      </c>
      <c r="B826" t="s">
        <v>276</v>
      </c>
      <c r="C826" t="s">
        <v>82</v>
      </c>
      <c r="D826" t="s">
        <v>83</v>
      </c>
      <c r="E826" t="s">
        <v>71</v>
      </c>
      <c r="F826" t="s">
        <v>23</v>
      </c>
      <c r="G826">
        <v>395</v>
      </c>
      <c r="H826">
        <v>0</v>
      </c>
      <c r="I826">
        <v>158</v>
      </c>
      <c r="J826">
        <v>237</v>
      </c>
      <c r="K826">
        <v>272</v>
      </c>
      <c r="L826" t="b">
        <v>1</v>
      </c>
      <c r="M826">
        <v>1866.88</v>
      </c>
      <c r="N826">
        <v>442450.39</v>
      </c>
      <c r="O826" t="s">
        <v>37</v>
      </c>
      <c r="P826" t="str">
        <f>IF(J826=G826+H826-I826,"OK","Check")</f>
        <v>OK</v>
      </c>
      <c r="Q826" t="str">
        <f>IF(AND(J826&lt;=K826,L826=TRUE),"OK",IF(AND(J826&gt;K826,L826=FALSE),"OK","Check"))</f>
        <v>OK</v>
      </c>
      <c r="R826" t="str">
        <f>IF(ABS(N826-J826*M826)&lt;=J826*0.005+0.01,"OK","Check")</f>
        <v>OK</v>
      </c>
      <c r="S826" s="3">
        <f t="shared" si="12"/>
        <v>1</v>
      </c>
    </row>
    <row r="827" spans="1:19">
      <c r="A827" s="1">
        <v>46082</v>
      </c>
      <c r="B827" t="s">
        <v>276</v>
      </c>
      <c r="C827" t="s">
        <v>86</v>
      </c>
      <c r="D827" t="s">
        <v>87</v>
      </c>
      <c r="E827" t="s">
        <v>71</v>
      </c>
      <c r="F827" t="s">
        <v>23</v>
      </c>
      <c r="G827">
        <v>106</v>
      </c>
      <c r="H827">
        <v>0</v>
      </c>
      <c r="I827">
        <v>32</v>
      </c>
      <c r="J827">
        <v>74</v>
      </c>
      <c r="K827">
        <v>41</v>
      </c>
      <c r="L827" t="b">
        <v>0</v>
      </c>
      <c r="M827">
        <v>42.26</v>
      </c>
      <c r="N827">
        <v>3126.98</v>
      </c>
      <c r="O827" t="s">
        <v>60</v>
      </c>
      <c r="P827" t="str">
        <f>IF(J827=G827+H827-I827,"OK","Check")</f>
        <v>OK</v>
      </c>
      <c r="Q827" t="str">
        <f>IF(AND(J827&lt;=K827,L827=TRUE),"OK",IF(AND(J827&gt;K827,L827=FALSE),"OK","Check"))</f>
        <v>OK</v>
      </c>
      <c r="R827" t="str">
        <f>IF(ABS(N827-J827*M827)&lt;=J827*0.005+0.01,"OK","Check")</f>
        <v>OK</v>
      </c>
      <c r="S827" s="3">
        <f t="shared" si="12"/>
        <v>1</v>
      </c>
    </row>
    <row r="828" spans="1:19">
      <c r="A828" s="1">
        <v>46082</v>
      </c>
      <c r="B828" t="s">
        <v>276</v>
      </c>
      <c r="C828" t="s">
        <v>88</v>
      </c>
      <c r="D828" t="s">
        <v>89</v>
      </c>
      <c r="E828" t="s">
        <v>71</v>
      </c>
      <c r="F828" t="s">
        <v>23</v>
      </c>
      <c r="G828">
        <v>41</v>
      </c>
      <c r="H828">
        <v>248</v>
      </c>
      <c r="I828">
        <v>78</v>
      </c>
      <c r="J828">
        <v>211</v>
      </c>
      <c r="K828">
        <v>79</v>
      </c>
      <c r="L828" t="b">
        <v>0</v>
      </c>
      <c r="M828">
        <v>198.32</v>
      </c>
      <c r="N828">
        <v>41845</v>
      </c>
      <c r="O828" t="s">
        <v>32</v>
      </c>
      <c r="P828" t="str">
        <f>IF(J828=G828+H828-I828,"OK","Check")</f>
        <v>OK</v>
      </c>
      <c r="Q828" t="str">
        <f>IF(AND(J828&lt;=K828,L828=TRUE),"OK",IF(AND(J828&gt;K828,L828=FALSE),"OK","Check"))</f>
        <v>OK</v>
      </c>
      <c r="R828" t="str">
        <f>IF(ABS(N828-J828*M828)&lt;=J828*0.005+0.01,"OK","Check")</f>
        <v>OK</v>
      </c>
      <c r="S828" s="3">
        <f t="shared" si="12"/>
        <v>1</v>
      </c>
    </row>
    <row r="829" spans="1:19">
      <c r="A829" s="1">
        <v>46082</v>
      </c>
      <c r="B829" t="s">
        <v>276</v>
      </c>
      <c r="C829" t="s">
        <v>245</v>
      </c>
      <c r="D829" t="s">
        <v>246</v>
      </c>
      <c r="E829" t="s">
        <v>71</v>
      </c>
      <c r="F829" t="s">
        <v>23</v>
      </c>
      <c r="G829">
        <v>721</v>
      </c>
      <c r="H829">
        <v>0</v>
      </c>
      <c r="I829">
        <v>200</v>
      </c>
      <c r="J829">
        <v>521</v>
      </c>
      <c r="K829">
        <v>248</v>
      </c>
      <c r="L829" t="b">
        <v>0</v>
      </c>
      <c r="M829">
        <v>7971.42</v>
      </c>
      <c r="N829">
        <v>4153109.52</v>
      </c>
      <c r="O829" t="s">
        <v>27</v>
      </c>
      <c r="P829" t="str">
        <f>IF(J829=G829+H829-I829,"OK","Check")</f>
        <v>OK</v>
      </c>
      <c r="Q829" t="str">
        <f>IF(AND(J829&lt;=K829,L829=TRUE),"OK",IF(AND(J829&gt;K829,L829=FALSE),"OK","Check"))</f>
        <v>OK</v>
      </c>
      <c r="R829" t="str">
        <f>IF(ABS(N829-J829*M829)&lt;=J829*0.005+0.01,"OK","Check")</f>
        <v>OK</v>
      </c>
      <c r="S829" s="3">
        <f t="shared" si="12"/>
        <v>1</v>
      </c>
    </row>
    <row r="830" spans="1:19">
      <c r="A830" s="1">
        <v>46082</v>
      </c>
      <c r="B830" t="s">
        <v>276</v>
      </c>
      <c r="C830" t="s">
        <v>94</v>
      </c>
      <c r="D830" t="s">
        <v>95</v>
      </c>
      <c r="E830" t="s">
        <v>71</v>
      </c>
      <c r="F830" t="s">
        <v>23</v>
      </c>
      <c r="G830">
        <v>71</v>
      </c>
      <c r="H830">
        <v>0</v>
      </c>
      <c r="I830">
        <v>20</v>
      </c>
      <c r="J830">
        <v>51</v>
      </c>
      <c r="K830">
        <v>21</v>
      </c>
      <c r="L830" t="b">
        <v>0</v>
      </c>
      <c r="M830">
        <v>1095.17</v>
      </c>
      <c r="N830">
        <v>55853.9</v>
      </c>
      <c r="O830" t="s">
        <v>32</v>
      </c>
      <c r="P830" t="str">
        <f>IF(J830=G830+H830-I830,"OK","Check")</f>
        <v>OK</v>
      </c>
      <c r="Q830" t="str">
        <f>IF(AND(J830&lt;=K830,L830=TRUE),"OK",IF(AND(J830&gt;K830,L830=FALSE),"OK","Check"))</f>
        <v>OK</v>
      </c>
      <c r="R830" t="str">
        <f>IF(ABS(N830-J830*M830)&lt;=J830*0.005+0.01,"OK","Check")</f>
        <v>OK</v>
      </c>
      <c r="S830" s="3">
        <f t="shared" si="12"/>
        <v>1</v>
      </c>
    </row>
    <row r="831" spans="1:19">
      <c r="A831" s="1">
        <v>46082</v>
      </c>
      <c r="B831" t="s">
        <v>276</v>
      </c>
      <c r="C831" t="s">
        <v>96</v>
      </c>
      <c r="D831" t="s">
        <v>97</v>
      </c>
      <c r="E831" t="s">
        <v>71</v>
      </c>
      <c r="F831" t="s">
        <v>23</v>
      </c>
      <c r="G831">
        <v>48</v>
      </c>
      <c r="H831">
        <v>81</v>
      </c>
      <c r="I831">
        <v>47</v>
      </c>
      <c r="J831">
        <v>82</v>
      </c>
      <c r="K831">
        <v>39</v>
      </c>
      <c r="L831" t="b">
        <v>0</v>
      </c>
      <c r="M831">
        <v>707.59</v>
      </c>
      <c r="N831">
        <v>58022.09</v>
      </c>
      <c r="O831" t="s">
        <v>98</v>
      </c>
      <c r="P831" t="str">
        <f>IF(J831=G831+H831-I831,"OK","Check")</f>
        <v>OK</v>
      </c>
      <c r="Q831" t="str">
        <f>IF(AND(J831&lt;=K831,L831=TRUE),"OK",IF(AND(J831&gt;K831,L831=FALSE),"OK","Check"))</f>
        <v>OK</v>
      </c>
      <c r="R831" t="str">
        <f>IF(ABS(N831-J831*M831)&lt;=J831*0.005+0.01,"OK","Check")</f>
        <v>OK</v>
      </c>
      <c r="S831" s="3">
        <f t="shared" si="12"/>
        <v>1</v>
      </c>
    </row>
    <row r="832" spans="1:19">
      <c r="A832" s="1">
        <v>46082</v>
      </c>
      <c r="B832" t="s">
        <v>276</v>
      </c>
      <c r="C832" t="s">
        <v>99</v>
      </c>
      <c r="D832" t="s">
        <v>100</v>
      </c>
      <c r="E832" t="s">
        <v>71</v>
      </c>
      <c r="F832" t="s">
        <v>23</v>
      </c>
      <c r="G832">
        <v>58</v>
      </c>
      <c r="H832">
        <v>450</v>
      </c>
      <c r="I832">
        <v>143</v>
      </c>
      <c r="J832">
        <v>365</v>
      </c>
      <c r="K832">
        <v>256</v>
      </c>
      <c r="L832" t="b">
        <v>0</v>
      </c>
      <c r="M832">
        <v>2980.78</v>
      </c>
      <c r="N832">
        <v>1087986.21</v>
      </c>
      <c r="O832" t="s">
        <v>47</v>
      </c>
      <c r="P832" t="str">
        <f>IF(J832=G832+H832-I832,"OK","Check")</f>
        <v>OK</v>
      </c>
      <c r="Q832" t="str">
        <f>IF(AND(J832&lt;=K832,L832=TRUE),"OK",IF(AND(J832&gt;K832,L832=FALSE),"OK","Check"))</f>
        <v>OK</v>
      </c>
      <c r="R832" t="str">
        <f>IF(ABS(N832-J832*M832)&lt;=J832*0.005+0.01,"OK","Check")</f>
        <v>OK</v>
      </c>
      <c r="S832" s="3">
        <f t="shared" si="12"/>
        <v>1</v>
      </c>
    </row>
    <row r="833" spans="1:19">
      <c r="A833" s="1">
        <v>46082</v>
      </c>
      <c r="B833" t="s">
        <v>276</v>
      </c>
      <c r="C833" t="s">
        <v>101</v>
      </c>
      <c r="D833" t="s">
        <v>102</v>
      </c>
      <c r="E833" t="s">
        <v>71</v>
      </c>
      <c r="F833" t="s">
        <v>23</v>
      </c>
      <c r="G833">
        <v>278</v>
      </c>
      <c r="H833">
        <v>0</v>
      </c>
      <c r="I833">
        <v>164</v>
      </c>
      <c r="J833">
        <v>114</v>
      </c>
      <c r="K833">
        <v>204</v>
      </c>
      <c r="L833" t="b">
        <v>1</v>
      </c>
      <c r="M833">
        <v>56.83</v>
      </c>
      <c r="N833">
        <v>6478.28</v>
      </c>
      <c r="O833" t="s">
        <v>32</v>
      </c>
      <c r="P833" t="str">
        <f>IF(J833=G833+H833-I833,"OK","Check")</f>
        <v>OK</v>
      </c>
      <c r="Q833" t="str">
        <f>IF(AND(J833&lt;=K833,L833=TRUE),"OK",IF(AND(J833&gt;K833,L833=FALSE),"OK","Check"))</f>
        <v>OK</v>
      </c>
      <c r="R833" t="str">
        <f>IF(ABS(N833-J833*M833)&lt;=J833*0.005+0.01,"OK","Check")</f>
        <v>OK</v>
      </c>
      <c r="S833" s="3">
        <f t="shared" si="12"/>
        <v>1</v>
      </c>
    </row>
    <row r="834" spans="1:19">
      <c r="A834" s="1">
        <v>46082</v>
      </c>
      <c r="B834" t="s">
        <v>276</v>
      </c>
      <c r="C834" t="s">
        <v>247</v>
      </c>
      <c r="D834" t="s">
        <v>248</v>
      </c>
      <c r="E834" t="s">
        <v>71</v>
      </c>
      <c r="F834" t="s">
        <v>23</v>
      </c>
      <c r="G834">
        <v>77</v>
      </c>
      <c r="H834">
        <v>0</v>
      </c>
      <c r="I834">
        <v>49</v>
      </c>
      <c r="J834">
        <v>28</v>
      </c>
      <c r="K834">
        <v>38</v>
      </c>
      <c r="L834" t="b">
        <v>1</v>
      </c>
      <c r="M834">
        <v>284.04000000000002</v>
      </c>
      <c r="N834">
        <v>7952.99</v>
      </c>
      <c r="O834" t="s">
        <v>32</v>
      </c>
      <c r="P834" t="str">
        <f>IF(J834=G834+H834-I834,"OK","Check")</f>
        <v>OK</v>
      </c>
      <c r="Q834" t="str">
        <f>IF(AND(J834&lt;=K834,L834=TRUE),"OK",IF(AND(J834&gt;K834,L834=FALSE),"OK","Check"))</f>
        <v>OK</v>
      </c>
      <c r="R834" t="str">
        <f>IF(ABS(N834-J834*M834)&lt;=J834*0.005+0.01,"OK","Check")</f>
        <v>OK</v>
      </c>
      <c r="S834" s="3">
        <f t="shared" ref="S834:S897" si="13">COUNTIFS(A:A,A834,B:B,B834,C:C,C834)</f>
        <v>1</v>
      </c>
    </row>
    <row r="835" spans="1:19">
      <c r="A835" s="1">
        <v>46082</v>
      </c>
      <c r="B835" t="s">
        <v>276</v>
      </c>
      <c r="C835" t="s">
        <v>103</v>
      </c>
      <c r="D835" t="s">
        <v>104</v>
      </c>
      <c r="E835" t="s">
        <v>71</v>
      </c>
      <c r="F835" t="s">
        <v>23</v>
      </c>
      <c r="G835">
        <v>157</v>
      </c>
      <c r="H835">
        <v>0</v>
      </c>
      <c r="I835">
        <v>64</v>
      </c>
      <c r="J835">
        <v>93</v>
      </c>
      <c r="K835">
        <v>118</v>
      </c>
      <c r="L835" t="b">
        <v>1</v>
      </c>
      <c r="M835">
        <v>527.07000000000005</v>
      </c>
      <c r="N835">
        <v>49017.48</v>
      </c>
      <c r="O835" t="s">
        <v>98</v>
      </c>
      <c r="P835" t="str">
        <f>IF(J835=G835+H835-I835,"OK","Check")</f>
        <v>OK</v>
      </c>
      <c r="Q835" t="str">
        <f>IF(AND(J835&lt;=K835,L835=TRUE),"OK",IF(AND(J835&gt;K835,L835=FALSE),"OK","Check"))</f>
        <v>OK</v>
      </c>
      <c r="R835" t="str">
        <f>IF(ABS(N835-J835*M835)&lt;=J835*0.005+0.01,"OK","Check")</f>
        <v>OK</v>
      </c>
      <c r="S835" s="3">
        <f t="shared" si="13"/>
        <v>1</v>
      </c>
    </row>
    <row r="836" spans="1:19">
      <c r="A836" s="1">
        <v>46082</v>
      </c>
      <c r="B836" t="s">
        <v>276</v>
      </c>
      <c r="C836" t="s">
        <v>105</v>
      </c>
      <c r="D836" t="s">
        <v>106</v>
      </c>
      <c r="E836" t="s">
        <v>71</v>
      </c>
      <c r="F836" t="s">
        <v>23</v>
      </c>
      <c r="G836">
        <v>83</v>
      </c>
      <c r="H836">
        <v>473</v>
      </c>
      <c r="I836">
        <v>131</v>
      </c>
      <c r="J836">
        <v>425</v>
      </c>
      <c r="K836">
        <v>144</v>
      </c>
      <c r="L836" t="b">
        <v>0</v>
      </c>
      <c r="M836">
        <v>2524.4899999999998</v>
      </c>
      <c r="N836">
        <v>1072909.5900000001</v>
      </c>
      <c r="O836" t="s">
        <v>32</v>
      </c>
      <c r="P836" t="str">
        <f>IF(J836=G836+H836-I836,"OK","Check")</f>
        <v>OK</v>
      </c>
      <c r="Q836" t="str">
        <f>IF(AND(J836&lt;=K836,L836=TRUE),"OK",IF(AND(J836&gt;K836,L836=FALSE),"OK","Check"))</f>
        <v>OK</v>
      </c>
      <c r="R836" t="str">
        <f>IF(ABS(N836-J836*M836)&lt;=J836*0.005+0.01,"OK","Check")</f>
        <v>OK</v>
      </c>
      <c r="S836" s="3">
        <f t="shared" si="13"/>
        <v>1</v>
      </c>
    </row>
    <row r="837" spans="1:19">
      <c r="A837" s="1">
        <v>46082</v>
      </c>
      <c r="B837" t="s">
        <v>276</v>
      </c>
      <c r="C837" t="s">
        <v>107</v>
      </c>
      <c r="D837" t="s">
        <v>108</v>
      </c>
      <c r="E837" t="s">
        <v>109</v>
      </c>
      <c r="F837" t="s">
        <v>110</v>
      </c>
      <c r="G837">
        <v>152</v>
      </c>
      <c r="H837">
        <v>655</v>
      </c>
      <c r="I837">
        <v>199</v>
      </c>
      <c r="J837">
        <v>608</v>
      </c>
      <c r="K837">
        <v>166</v>
      </c>
      <c r="L837" t="b">
        <v>0</v>
      </c>
      <c r="M837">
        <v>99.55</v>
      </c>
      <c r="N837">
        <v>60525.55</v>
      </c>
      <c r="O837" t="s">
        <v>24</v>
      </c>
      <c r="P837" t="str">
        <f>IF(J837=G837+H837-I837,"OK","Check")</f>
        <v>OK</v>
      </c>
      <c r="Q837" t="str">
        <f>IF(AND(J837&lt;=K837,L837=TRUE),"OK",IF(AND(J837&gt;K837,L837=FALSE),"OK","Check"))</f>
        <v>OK</v>
      </c>
      <c r="R837" t="str">
        <f>IF(ABS(N837-J837*M837)&lt;=J837*0.005+0.01,"OK","Check")</f>
        <v>OK</v>
      </c>
      <c r="S837" s="3">
        <f t="shared" si="13"/>
        <v>1</v>
      </c>
    </row>
    <row r="838" spans="1:19">
      <c r="A838" s="1">
        <v>46082</v>
      </c>
      <c r="B838" t="s">
        <v>276</v>
      </c>
      <c r="C838" t="s">
        <v>111</v>
      </c>
      <c r="D838" t="s">
        <v>112</v>
      </c>
      <c r="E838" t="s">
        <v>109</v>
      </c>
      <c r="F838" t="s">
        <v>110</v>
      </c>
      <c r="G838">
        <v>108</v>
      </c>
      <c r="H838">
        <v>0</v>
      </c>
      <c r="I838">
        <v>26</v>
      </c>
      <c r="J838">
        <v>82</v>
      </c>
      <c r="K838">
        <v>37</v>
      </c>
      <c r="L838" t="b">
        <v>0</v>
      </c>
      <c r="M838">
        <v>445.62</v>
      </c>
      <c r="N838">
        <v>36540.74</v>
      </c>
      <c r="O838" t="s">
        <v>98</v>
      </c>
      <c r="P838" t="str">
        <f>IF(J838=G838+H838-I838,"OK","Check")</f>
        <v>OK</v>
      </c>
      <c r="Q838" t="str">
        <f>IF(AND(J838&lt;=K838,L838=TRUE),"OK",IF(AND(J838&gt;K838,L838=FALSE),"OK","Check"))</f>
        <v>OK</v>
      </c>
      <c r="R838" t="str">
        <f>IF(ABS(N838-J838*M838)&lt;=J838*0.005+0.01,"OK","Check")</f>
        <v>OK</v>
      </c>
      <c r="S838" s="3">
        <f t="shared" si="13"/>
        <v>1</v>
      </c>
    </row>
    <row r="839" spans="1:19">
      <c r="A839" s="1">
        <v>46082</v>
      </c>
      <c r="B839" t="s">
        <v>276</v>
      </c>
      <c r="C839" t="s">
        <v>113</v>
      </c>
      <c r="D839" t="s">
        <v>114</v>
      </c>
      <c r="E839" t="s">
        <v>109</v>
      </c>
      <c r="F839" t="s">
        <v>110</v>
      </c>
      <c r="G839">
        <v>299</v>
      </c>
      <c r="H839">
        <v>0</v>
      </c>
      <c r="I839">
        <v>75</v>
      </c>
      <c r="J839">
        <v>224</v>
      </c>
      <c r="K839">
        <v>142</v>
      </c>
      <c r="L839" t="b">
        <v>0</v>
      </c>
      <c r="M839">
        <v>136.56</v>
      </c>
      <c r="N839">
        <v>30589.85</v>
      </c>
      <c r="O839" t="s">
        <v>27</v>
      </c>
      <c r="P839" t="str">
        <f>IF(J839=G839+H839-I839,"OK","Check")</f>
        <v>OK</v>
      </c>
      <c r="Q839" t="str">
        <f>IF(AND(J839&lt;=K839,L839=TRUE),"OK",IF(AND(J839&gt;K839,L839=FALSE),"OK","Check"))</f>
        <v>OK</v>
      </c>
      <c r="R839" t="str">
        <f>IF(ABS(N839-J839*M839)&lt;=J839*0.005+0.01,"OK","Check")</f>
        <v>OK</v>
      </c>
      <c r="S839" s="3">
        <f t="shared" si="13"/>
        <v>1</v>
      </c>
    </row>
    <row r="840" spans="1:19">
      <c r="A840" s="1">
        <v>46082</v>
      </c>
      <c r="B840" t="s">
        <v>276</v>
      </c>
      <c r="C840" t="s">
        <v>115</v>
      </c>
      <c r="D840" t="s">
        <v>116</v>
      </c>
      <c r="E840" t="s">
        <v>109</v>
      </c>
      <c r="F840" t="s">
        <v>110</v>
      </c>
      <c r="G840">
        <v>57</v>
      </c>
      <c r="H840">
        <v>400</v>
      </c>
      <c r="I840">
        <v>71</v>
      </c>
      <c r="J840">
        <v>386</v>
      </c>
      <c r="K840">
        <v>107</v>
      </c>
      <c r="L840" t="b">
        <v>0</v>
      </c>
      <c r="M840">
        <v>655.85</v>
      </c>
      <c r="N840">
        <v>253158.56</v>
      </c>
      <c r="O840" t="s">
        <v>44</v>
      </c>
      <c r="P840" t="str">
        <f>IF(J840=G840+H840-I840,"OK","Check")</f>
        <v>OK</v>
      </c>
      <c r="Q840" t="str">
        <f>IF(AND(J840&lt;=K840,L840=TRUE),"OK",IF(AND(J840&gt;K840,L840=FALSE),"OK","Check"))</f>
        <v>OK</v>
      </c>
      <c r="R840" t="str">
        <f>IF(ABS(N840-J840*M840)&lt;=J840*0.005+0.01,"OK","Check")</f>
        <v>OK</v>
      </c>
      <c r="S840" s="3">
        <f t="shared" si="13"/>
        <v>1</v>
      </c>
    </row>
    <row r="841" spans="1:19">
      <c r="A841" s="1">
        <v>46082</v>
      </c>
      <c r="B841" t="s">
        <v>276</v>
      </c>
      <c r="C841" t="s">
        <v>119</v>
      </c>
      <c r="D841" t="s">
        <v>120</v>
      </c>
      <c r="E841" t="s">
        <v>109</v>
      </c>
      <c r="F841" t="s">
        <v>110</v>
      </c>
      <c r="G841">
        <v>55</v>
      </c>
      <c r="H841">
        <v>0</v>
      </c>
      <c r="I841">
        <v>21</v>
      </c>
      <c r="J841">
        <v>34</v>
      </c>
      <c r="K841">
        <v>38</v>
      </c>
      <c r="L841" t="b">
        <v>1</v>
      </c>
      <c r="M841">
        <v>201</v>
      </c>
      <c r="N841">
        <v>6833.86</v>
      </c>
      <c r="O841" t="s">
        <v>32</v>
      </c>
      <c r="P841" t="str">
        <f>IF(J841=G841+H841-I841,"OK","Check")</f>
        <v>OK</v>
      </c>
      <c r="Q841" t="str">
        <f>IF(AND(J841&lt;=K841,L841=TRUE),"OK",IF(AND(J841&gt;K841,L841=FALSE),"OK","Check"))</f>
        <v>OK</v>
      </c>
      <c r="R841" t="str">
        <f>IF(ABS(N841-J841*M841)&lt;=J841*0.005+0.01,"OK","Check")</f>
        <v>OK</v>
      </c>
      <c r="S841" s="3">
        <f t="shared" si="13"/>
        <v>1</v>
      </c>
    </row>
    <row r="842" spans="1:19">
      <c r="A842" s="1">
        <v>46082</v>
      </c>
      <c r="B842" t="s">
        <v>276</v>
      </c>
      <c r="C842" t="s">
        <v>123</v>
      </c>
      <c r="D842" t="s">
        <v>124</v>
      </c>
      <c r="E842" t="s">
        <v>109</v>
      </c>
      <c r="F842" t="s">
        <v>110</v>
      </c>
      <c r="G842">
        <v>376</v>
      </c>
      <c r="H842">
        <v>0</v>
      </c>
      <c r="I842">
        <v>144</v>
      </c>
      <c r="J842">
        <v>232</v>
      </c>
      <c r="K842">
        <v>134</v>
      </c>
      <c r="L842" t="b">
        <v>0</v>
      </c>
      <c r="M842">
        <v>174.01</v>
      </c>
      <c r="N842">
        <v>40369.480000000003</v>
      </c>
      <c r="O842" t="s">
        <v>24</v>
      </c>
      <c r="P842" t="str">
        <f>IF(J842=G842+H842-I842,"OK","Check")</f>
        <v>OK</v>
      </c>
      <c r="Q842" t="str">
        <f>IF(AND(J842&lt;=K842,L842=TRUE),"OK",IF(AND(J842&gt;K842,L842=FALSE),"OK","Check"))</f>
        <v>OK</v>
      </c>
      <c r="R842" t="str">
        <f>IF(ABS(N842-J842*M842)&lt;=J842*0.005+0.01,"OK","Check")</f>
        <v>OK</v>
      </c>
      <c r="S842" s="3">
        <f t="shared" si="13"/>
        <v>1</v>
      </c>
    </row>
    <row r="843" spans="1:19">
      <c r="A843" s="1">
        <v>46082</v>
      </c>
      <c r="B843" t="s">
        <v>276</v>
      </c>
      <c r="C843" t="s">
        <v>125</v>
      </c>
      <c r="D843" t="s">
        <v>126</v>
      </c>
      <c r="E843" t="s">
        <v>109</v>
      </c>
      <c r="F843" t="s">
        <v>110</v>
      </c>
      <c r="G843">
        <v>112</v>
      </c>
      <c r="H843">
        <v>489</v>
      </c>
      <c r="I843">
        <v>147</v>
      </c>
      <c r="J843">
        <v>454</v>
      </c>
      <c r="K843">
        <v>235</v>
      </c>
      <c r="L843" t="b">
        <v>0</v>
      </c>
      <c r="M843">
        <v>144.72999999999999</v>
      </c>
      <c r="N843">
        <v>65709.149999999994</v>
      </c>
      <c r="O843" t="s">
        <v>47</v>
      </c>
      <c r="P843" t="str">
        <f>IF(J843=G843+H843-I843,"OK","Check")</f>
        <v>OK</v>
      </c>
      <c r="Q843" t="str">
        <f>IF(AND(J843&lt;=K843,L843=TRUE),"OK",IF(AND(J843&gt;K843,L843=FALSE),"OK","Check"))</f>
        <v>OK</v>
      </c>
      <c r="R843" t="str">
        <f>IF(ABS(N843-J843*M843)&lt;=J843*0.005+0.01,"OK","Check")</f>
        <v>OK</v>
      </c>
      <c r="S843" s="3">
        <f t="shared" si="13"/>
        <v>1</v>
      </c>
    </row>
    <row r="844" spans="1:19">
      <c r="A844" s="1">
        <v>46082</v>
      </c>
      <c r="B844" t="s">
        <v>276</v>
      </c>
      <c r="C844" t="s">
        <v>127</v>
      </c>
      <c r="D844" t="s">
        <v>128</v>
      </c>
      <c r="E844" t="s">
        <v>109</v>
      </c>
      <c r="F844" t="s">
        <v>110</v>
      </c>
      <c r="G844">
        <v>425</v>
      </c>
      <c r="H844">
        <v>0</v>
      </c>
      <c r="I844">
        <v>202</v>
      </c>
      <c r="J844">
        <v>223</v>
      </c>
      <c r="K844">
        <v>202</v>
      </c>
      <c r="L844" t="b">
        <v>0</v>
      </c>
      <c r="M844">
        <v>607.57000000000005</v>
      </c>
      <c r="N844">
        <v>135487.66</v>
      </c>
      <c r="O844" t="s">
        <v>44</v>
      </c>
      <c r="P844" t="str">
        <f>IF(J844=G844+H844-I844,"OK","Check")</f>
        <v>OK</v>
      </c>
      <c r="Q844" t="str">
        <f>IF(AND(J844&lt;=K844,L844=TRUE),"OK",IF(AND(J844&gt;K844,L844=FALSE),"OK","Check"))</f>
        <v>OK</v>
      </c>
      <c r="R844" t="str">
        <f>IF(ABS(N844-J844*M844)&lt;=J844*0.005+0.01,"OK","Check")</f>
        <v>OK</v>
      </c>
      <c r="S844" s="3">
        <f t="shared" si="13"/>
        <v>1</v>
      </c>
    </row>
    <row r="845" spans="1:19">
      <c r="A845" s="1">
        <v>46082</v>
      </c>
      <c r="B845" t="s">
        <v>276</v>
      </c>
      <c r="C845" t="s">
        <v>129</v>
      </c>
      <c r="D845" t="s">
        <v>130</v>
      </c>
      <c r="E845" t="s">
        <v>109</v>
      </c>
      <c r="F845" t="s">
        <v>110</v>
      </c>
      <c r="G845">
        <v>146</v>
      </c>
      <c r="H845">
        <v>60</v>
      </c>
      <c r="I845">
        <v>38</v>
      </c>
      <c r="J845">
        <v>168</v>
      </c>
      <c r="K845">
        <v>41</v>
      </c>
      <c r="L845" t="b">
        <v>0</v>
      </c>
      <c r="M845">
        <v>387.2</v>
      </c>
      <c r="N845">
        <v>65050.17</v>
      </c>
      <c r="O845" t="s">
        <v>32</v>
      </c>
      <c r="P845" t="str">
        <f>IF(J845=G845+H845-I845,"OK","Check")</f>
        <v>OK</v>
      </c>
      <c r="Q845" t="str">
        <f>IF(AND(J845&lt;=K845,L845=TRUE),"OK",IF(AND(J845&gt;K845,L845=FALSE),"OK","Check"))</f>
        <v>OK</v>
      </c>
      <c r="R845" t="str">
        <f>IF(ABS(N845-J845*M845)&lt;=J845*0.005+0.01,"OK","Check")</f>
        <v>OK</v>
      </c>
      <c r="S845" s="3">
        <f t="shared" si="13"/>
        <v>1</v>
      </c>
    </row>
    <row r="846" spans="1:19">
      <c r="A846" s="1">
        <v>46082</v>
      </c>
      <c r="B846" t="s">
        <v>276</v>
      </c>
      <c r="C846" t="s">
        <v>131</v>
      </c>
      <c r="D846" t="s">
        <v>132</v>
      </c>
      <c r="E846" t="s">
        <v>109</v>
      </c>
      <c r="F846" t="s">
        <v>110</v>
      </c>
      <c r="G846">
        <v>172</v>
      </c>
      <c r="H846">
        <v>659</v>
      </c>
      <c r="I846">
        <v>172</v>
      </c>
      <c r="J846">
        <v>659</v>
      </c>
      <c r="K846">
        <v>169</v>
      </c>
      <c r="L846" t="b">
        <v>0</v>
      </c>
      <c r="M846">
        <v>2041.74</v>
      </c>
      <c r="N846">
        <v>1345503.72</v>
      </c>
      <c r="O846" t="s">
        <v>24</v>
      </c>
      <c r="P846" t="str">
        <f>IF(J846=G846+H846-I846,"OK","Check")</f>
        <v>OK</v>
      </c>
      <c r="Q846" t="str">
        <f>IF(AND(J846&lt;=K846,L846=TRUE),"OK",IF(AND(J846&gt;K846,L846=FALSE),"OK","Check"))</f>
        <v>OK</v>
      </c>
      <c r="R846" t="str">
        <f>IF(ABS(N846-J846*M846)&lt;=J846*0.005+0.01,"OK","Check")</f>
        <v>OK</v>
      </c>
      <c r="S846" s="3">
        <f t="shared" si="13"/>
        <v>1</v>
      </c>
    </row>
    <row r="847" spans="1:19">
      <c r="A847" s="1">
        <v>46082</v>
      </c>
      <c r="B847" t="s">
        <v>276</v>
      </c>
      <c r="C847" t="s">
        <v>133</v>
      </c>
      <c r="D847" t="s">
        <v>134</v>
      </c>
      <c r="E847" t="s">
        <v>109</v>
      </c>
      <c r="F847" t="s">
        <v>110</v>
      </c>
      <c r="G847">
        <v>278</v>
      </c>
      <c r="H847">
        <v>481</v>
      </c>
      <c r="I847">
        <v>227</v>
      </c>
      <c r="J847">
        <v>532</v>
      </c>
      <c r="K847">
        <v>255</v>
      </c>
      <c r="L847" t="b">
        <v>0</v>
      </c>
      <c r="M847">
        <v>21.86</v>
      </c>
      <c r="N847">
        <v>11627.99</v>
      </c>
      <c r="O847" t="s">
        <v>98</v>
      </c>
      <c r="P847" t="str">
        <f>IF(J847=G847+H847-I847,"OK","Check")</f>
        <v>OK</v>
      </c>
      <c r="Q847" t="str">
        <f>IF(AND(J847&lt;=K847,L847=TRUE),"OK",IF(AND(J847&gt;K847,L847=FALSE),"OK","Check"))</f>
        <v>OK</v>
      </c>
      <c r="R847" t="str">
        <f>IF(ABS(N847-J847*M847)&lt;=J847*0.005+0.01,"OK","Check")</f>
        <v>OK</v>
      </c>
      <c r="S847" s="3">
        <f t="shared" si="13"/>
        <v>1</v>
      </c>
    </row>
    <row r="848" spans="1:19">
      <c r="A848" s="1">
        <v>46082</v>
      </c>
      <c r="B848" t="s">
        <v>276</v>
      </c>
      <c r="C848" t="s">
        <v>135</v>
      </c>
      <c r="D848" t="s">
        <v>136</v>
      </c>
      <c r="E848" t="s">
        <v>109</v>
      </c>
      <c r="F848" t="s">
        <v>110</v>
      </c>
      <c r="G848">
        <v>444</v>
      </c>
      <c r="H848">
        <v>0</v>
      </c>
      <c r="I848">
        <v>168</v>
      </c>
      <c r="J848">
        <v>276</v>
      </c>
      <c r="K848">
        <v>233</v>
      </c>
      <c r="L848" t="b">
        <v>0</v>
      </c>
      <c r="M848">
        <v>109.94</v>
      </c>
      <c r="N848">
        <v>30343.97</v>
      </c>
      <c r="O848" t="s">
        <v>32</v>
      </c>
      <c r="P848" t="str">
        <f>IF(J848=G848+H848-I848,"OK","Check")</f>
        <v>OK</v>
      </c>
      <c r="Q848" t="str">
        <f>IF(AND(J848&lt;=K848,L848=TRUE),"OK",IF(AND(J848&gt;K848,L848=FALSE),"OK","Check"))</f>
        <v>OK</v>
      </c>
      <c r="R848" t="str">
        <f>IF(ABS(N848-J848*M848)&lt;=J848*0.005+0.01,"OK","Check")</f>
        <v>OK</v>
      </c>
      <c r="S848" s="3">
        <f t="shared" si="13"/>
        <v>1</v>
      </c>
    </row>
    <row r="849" spans="1:19">
      <c r="A849" s="1">
        <v>46082</v>
      </c>
      <c r="B849" t="s">
        <v>276</v>
      </c>
      <c r="C849" t="s">
        <v>137</v>
      </c>
      <c r="D849" t="s">
        <v>138</v>
      </c>
      <c r="E849" t="s">
        <v>109</v>
      </c>
      <c r="F849" t="s">
        <v>110</v>
      </c>
      <c r="G849">
        <v>167</v>
      </c>
      <c r="H849">
        <v>0</v>
      </c>
      <c r="I849">
        <v>72</v>
      </c>
      <c r="J849">
        <v>95</v>
      </c>
      <c r="K849">
        <v>117</v>
      </c>
      <c r="L849" t="b">
        <v>1</v>
      </c>
      <c r="M849">
        <v>61.18</v>
      </c>
      <c r="N849">
        <v>5812.07</v>
      </c>
      <c r="O849" t="s">
        <v>27</v>
      </c>
      <c r="P849" t="str">
        <f>IF(J849=G849+H849-I849,"OK","Check")</f>
        <v>OK</v>
      </c>
      <c r="Q849" t="str">
        <f>IF(AND(J849&lt;=K849,L849=TRUE),"OK",IF(AND(J849&gt;K849,L849=FALSE),"OK","Check"))</f>
        <v>OK</v>
      </c>
      <c r="R849" t="str">
        <f>IF(ABS(N849-J849*M849)&lt;=J849*0.005+0.01,"OK","Check")</f>
        <v>OK</v>
      </c>
      <c r="S849" s="3">
        <f t="shared" si="13"/>
        <v>1</v>
      </c>
    </row>
    <row r="850" spans="1:19">
      <c r="A850" s="1">
        <v>46082</v>
      </c>
      <c r="B850" t="s">
        <v>276</v>
      </c>
      <c r="C850" t="s">
        <v>139</v>
      </c>
      <c r="D850" t="s">
        <v>140</v>
      </c>
      <c r="E850" t="s">
        <v>109</v>
      </c>
      <c r="F850" t="s">
        <v>110</v>
      </c>
      <c r="G850">
        <v>59</v>
      </c>
      <c r="H850">
        <v>479</v>
      </c>
      <c r="I850">
        <v>94</v>
      </c>
      <c r="J850">
        <v>444</v>
      </c>
      <c r="K850">
        <v>155</v>
      </c>
      <c r="L850" t="b">
        <v>0</v>
      </c>
      <c r="M850">
        <v>278.89999999999998</v>
      </c>
      <c r="N850">
        <v>123829.52</v>
      </c>
      <c r="O850" t="s">
        <v>32</v>
      </c>
      <c r="P850" t="str">
        <f>IF(J850=G850+H850-I850,"OK","Check")</f>
        <v>OK</v>
      </c>
      <c r="Q850" t="str">
        <f>IF(AND(J850&lt;=K850,L850=TRUE),"OK",IF(AND(J850&gt;K850,L850=FALSE),"OK","Check"))</f>
        <v>OK</v>
      </c>
      <c r="R850" t="str">
        <f>IF(ABS(N850-J850*M850)&lt;=J850*0.005+0.01,"OK","Check")</f>
        <v>OK</v>
      </c>
      <c r="S850" s="3">
        <f t="shared" si="13"/>
        <v>1</v>
      </c>
    </row>
    <row r="851" spans="1:19">
      <c r="A851" s="1">
        <v>46082</v>
      </c>
      <c r="B851" t="s">
        <v>276</v>
      </c>
      <c r="C851" t="s">
        <v>141</v>
      </c>
      <c r="D851" t="s">
        <v>142</v>
      </c>
      <c r="E851" t="s">
        <v>109</v>
      </c>
      <c r="F851" t="s">
        <v>110</v>
      </c>
      <c r="G851">
        <v>418</v>
      </c>
      <c r="H851">
        <v>0</v>
      </c>
      <c r="I851">
        <v>94</v>
      </c>
      <c r="J851">
        <v>324</v>
      </c>
      <c r="K851">
        <v>161</v>
      </c>
      <c r="L851" t="b">
        <v>0</v>
      </c>
      <c r="M851">
        <v>81.819999999999993</v>
      </c>
      <c r="N851">
        <v>26510.38</v>
      </c>
      <c r="O851" t="s">
        <v>37</v>
      </c>
      <c r="P851" t="str">
        <f>IF(J851=G851+H851-I851,"OK","Check")</f>
        <v>OK</v>
      </c>
      <c r="Q851" t="str">
        <f>IF(AND(J851&lt;=K851,L851=TRUE),"OK",IF(AND(J851&gt;K851,L851=FALSE),"OK","Check"))</f>
        <v>OK</v>
      </c>
      <c r="R851" t="str">
        <f>IF(ABS(N851-J851*M851)&lt;=J851*0.005+0.01,"OK","Check")</f>
        <v>OK</v>
      </c>
      <c r="S851" s="3">
        <f t="shared" si="13"/>
        <v>1</v>
      </c>
    </row>
    <row r="852" spans="1:19">
      <c r="A852" s="1">
        <v>46082</v>
      </c>
      <c r="B852" t="s">
        <v>276</v>
      </c>
      <c r="C852" t="s">
        <v>145</v>
      </c>
      <c r="D852" t="s">
        <v>146</v>
      </c>
      <c r="E852" t="s">
        <v>109</v>
      </c>
      <c r="F852" t="s">
        <v>110</v>
      </c>
      <c r="G852">
        <v>22</v>
      </c>
      <c r="H852">
        <v>46</v>
      </c>
      <c r="I852">
        <v>18</v>
      </c>
      <c r="J852">
        <v>50</v>
      </c>
      <c r="K852">
        <v>19</v>
      </c>
      <c r="L852" t="b">
        <v>0</v>
      </c>
      <c r="M852">
        <v>66.13</v>
      </c>
      <c r="N852">
        <v>3306.61</v>
      </c>
      <c r="O852" t="s">
        <v>37</v>
      </c>
      <c r="P852" t="str">
        <f>IF(J852=G852+H852-I852,"OK","Check")</f>
        <v>OK</v>
      </c>
      <c r="Q852" t="str">
        <f>IF(AND(J852&lt;=K852,L852=TRUE),"OK",IF(AND(J852&gt;K852,L852=FALSE),"OK","Check"))</f>
        <v>OK</v>
      </c>
      <c r="R852" t="str">
        <f>IF(ABS(N852-J852*M852)&lt;=J852*0.005+0.01,"OK","Check")</f>
        <v>OK</v>
      </c>
      <c r="S852" s="3">
        <f t="shared" si="13"/>
        <v>1</v>
      </c>
    </row>
    <row r="853" spans="1:19">
      <c r="A853" s="1">
        <v>46082</v>
      </c>
      <c r="B853" t="s">
        <v>276</v>
      </c>
      <c r="C853" t="s">
        <v>147</v>
      </c>
      <c r="D853" t="s">
        <v>148</v>
      </c>
      <c r="E853" t="s">
        <v>109</v>
      </c>
      <c r="F853" t="s">
        <v>110</v>
      </c>
      <c r="G853">
        <v>489</v>
      </c>
      <c r="H853">
        <v>0</v>
      </c>
      <c r="I853">
        <v>113</v>
      </c>
      <c r="J853">
        <v>376</v>
      </c>
      <c r="K853">
        <v>170</v>
      </c>
      <c r="L853" t="b">
        <v>0</v>
      </c>
      <c r="M853">
        <v>292.43</v>
      </c>
      <c r="N853">
        <v>109952.3</v>
      </c>
      <c r="O853" t="s">
        <v>98</v>
      </c>
      <c r="P853" t="str">
        <f>IF(J853=G853+H853-I853,"OK","Check")</f>
        <v>OK</v>
      </c>
      <c r="Q853" t="str">
        <f>IF(AND(J853&lt;=K853,L853=TRUE),"OK",IF(AND(J853&gt;K853,L853=FALSE),"OK","Check"))</f>
        <v>OK</v>
      </c>
      <c r="R853" t="str">
        <f>IF(ABS(N853-J853*M853)&lt;=J853*0.005+0.01,"OK","Check")</f>
        <v>OK</v>
      </c>
      <c r="S853" s="3">
        <f t="shared" si="13"/>
        <v>1</v>
      </c>
    </row>
    <row r="854" spans="1:19">
      <c r="A854" s="1">
        <v>46082</v>
      </c>
      <c r="B854" t="s">
        <v>276</v>
      </c>
      <c r="C854" t="s">
        <v>149</v>
      </c>
      <c r="D854" t="s">
        <v>150</v>
      </c>
      <c r="E854" t="s">
        <v>151</v>
      </c>
      <c r="F854" t="s">
        <v>23</v>
      </c>
      <c r="G854">
        <v>129</v>
      </c>
      <c r="H854">
        <v>0</v>
      </c>
      <c r="I854">
        <v>49</v>
      </c>
      <c r="J854">
        <v>80</v>
      </c>
      <c r="K854">
        <v>104</v>
      </c>
      <c r="L854" t="b">
        <v>1</v>
      </c>
      <c r="M854">
        <v>242.64</v>
      </c>
      <c r="N854">
        <v>19411.48</v>
      </c>
      <c r="O854" t="s">
        <v>32</v>
      </c>
      <c r="P854" t="str">
        <f>IF(J854=G854+H854-I854,"OK","Check")</f>
        <v>OK</v>
      </c>
      <c r="Q854" t="str">
        <f>IF(AND(J854&lt;=K854,L854=TRUE),"OK",IF(AND(J854&gt;K854,L854=FALSE),"OK","Check"))</f>
        <v>OK</v>
      </c>
      <c r="R854" t="str">
        <f>IF(ABS(N854-J854*M854)&lt;=J854*0.005+0.01,"OK","Check")</f>
        <v>OK</v>
      </c>
      <c r="S854" s="3">
        <f t="shared" si="13"/>
        <v>1</v>
      </c>
    </row>
    <row r="855" spans="1:19">
      <c r="A855" s="1">
        <v>46082</v>
      </c>
      <c r="B855" t="s">
        <v>276</v>
      </c>
      <c r="C855" t="s">
        <v>152</v>
      </c>
      <c r="D855" t="s">
        <v>153</v>
      </c>
      <c r="E855" t="s">
        <v>151</v>
      </c>
      <c r="F855" t="s">
        <v>23</v>
      </c>
      <c r="G855">
        <v>325</v>
      </c>
      <c r="H855">
        <v>0</v>
      </c>
      <c r="I855">
        <v>194</v>
      </c>
      <c r="J855">
        <v>131</v>
      </c>
      <c r="K855">
        <v>197</v>
      </c>
      <c r="L855" t="b">
        <v>1</v>
      </c>
      <c r="M855">
        <v>1290.54</v>
      </c>
      <c r="N855">
        <v>169060.27</v>
      </c>
      <c r="O855" t="s">
        <v>98</v>
      </c>
      <c r="P855" t="str">
        <f>IF(J855=G855+H855-I855,"OK","Check")</f>
        <v>OK</v>
      </c>
      <c r="Q855" t="str">
        <f>IF(AND(J855&lt;=K855,L855=TRUE),"OK",IF(AND(J855&gt;K855,L855=FALSE),"OK","Check"))</f>
        <v>OK</v>
      </c>
      <c r="R855" t="str">
        <f>IF(ABS(N855-J855*M855)&lt;=J855*0.005+0.01,"OK","Check")</f>
        <v>OK</v>
      </c>
      <c r="S855" s="3">
        <f t="shared" si="13"/>
        <v>1</v>
      </c>
    </row>
    <row r="856" spans="1:19">
      <c r="A856" s="1">
        <v>46082</v>
      </c>
      <c r="B856" t="s">
        <v>276</v>
      </c>
      <c r="C856" t="s">
        <v>154</v>
      </c>
      <c r="D856" t="s">
        <v>155</v>
      </c>
      <c r="E856" t="s">
        <v>151</v>
      </c>
      <c r="F856" t="s">
        <v>23</v>
      </c>
      <c r="G856">
        <v>2</v>
      </c>
      <c r="H856">
        <v>38</v>
      </c>
      <c r="I856">
        <v>24</v>
      </c>
      <c r="J856">
        <v>16</v>
      </c>
      <c r="K856">
        <v>17</v>
      </c>
      <c r="L856" t="b">
        <v>1</v>
      </c>
      <c r="M856">
        <v>291.94</v>
      </c>
      <c r="N856">
        <v>4671.01</v>
      </c>
      <c r="O856" t="s">
        <v>60</v>
      </c>
      <c r="P856" t="str">
        <f>IF(J856=G856+H856-I856,"OK","Check")</f>
        <v>OK</v>
      </c>
      <c r="Q856" t="str">
        <f>IF(AND(J856&lt;=K856,L856=TRUE),"OK",IF(AND(J856&gt;K856,L856=FALSE),"OK","Check"))</f>
        <v>OK</v>
      </c>
      <c r="R856" t="str">
        <f>IF(ABS(N856-J856*M856)&lt;=J856*0.005+0.01,"OK","Check")</f>
        <v>OK</v>
      </c>
      <c r="S856" s="3">
        <f t="shared" si="13"/>
        <v>1</v>
      </c>
    </row>
    <row r="857" spans="1:19">
      <c r="A857" s="1">
        <v>46082</v>
      </c>
      <c r="B857" t="s">
        <v>276</v>
      </c>
      <c r="C857" t="s">
        <v>156</v>
      </c>
      <c r="D857" t="s">
        <v>157</v>
      </c>
      <c r="E857" t="s">
        <v>151</v>
      </c>
      <c r="F857" t="s">
        <v>23</v>
      </c>
      <c r="G857">
        <v>345</v>
      </c>
      <c r="H857">
        <v>0</v>
      </c>
      <c r="I857">
        <v>177</v>
      </c>
      <c r="J857">
        <v>168</v>
      </c>
      <c r="K857">
        <v>177</v>
      </c>
      <c r="L857" t="b">
        <v>1</v>
      </c>
      <c r="M857">
        <v>1550.75</v>
      </c>
      <c r="N857">
        <v>260525.76</v>
      </c>
      <c r="O857" t="s">
        <v>32</v>
      </c>
      <c r="P857" t="str">
        <f>IF(J857=G857+H857-I857,"OK","Check")</f>
        <v>OK</v>
      </c>
      <c r="Q857" t="str">
        <f>IF(AND(J857&lt;=K857,L857=TRUE),"OK",IF(AND(J857&gt;K857,L857=FALSE),"OK","Check"))</f>
        <v>OK</v>
      </c>
      <c r="R857" t="str">
        <f>IF(ABS(N857-J857*M857)&lt;=J857*0.005+0.01,"OK","Check")</f>
        <v>OK</v>
      </c>
      <c r="S857" s="3">
        <f t="shared" si="13"/>
        <v>1</v>
      </c>
    </row>
    <row r="858" spans="1:19">
      <c r="A858" s="1">
        <v>46082</v>
      </c>
      <c r="B858" t="s">
        <v>276</v>
      </c>
      <c r="C858" t="s">
        <v>158</v>
      </c>
      <c r="D858" t="s">
        <v>159</v>
      </c>
      <c r="E858" t="s">
        <v>151</v>
      </c>
      <c r="F858" t="s">
        <v>23</v>
      </c>
      <c r="G858">
        <v>20</v>
      </c>
      <c r="H858">
        <v>291</v>
      </c>
      <c r="I858">
        <v>135</v>
      </c>
      <c r="J858">
        <v>176</v>
      </c>
      <c r="K858">
        <v>93</v>
      </c>
      <c r="L858" t="b">
        <v>0</v>
      </c>
      <c r="M858">
        <v>48.42</v>
      </c>
      <c r="N858">
        <v>8522.15</v>
      </c>
      <c r="O858" t="s">
        <v>37</v>
      </c>
      <c r="P858" t="str">
        <f>IF(J858=G858+H858-I858,"OK","Check")</f>
        <v>OK</v>
      </c>
      <c r="Q858" t="str">
        <f>IF(AND(J858&lt;=K858,L858=TRUE),"OK",IF(AND(J858&gt;K858,L858=FALSE),"OK","Check"))</f>
        <v>OK</v>
      </c>
      <c r="R858" t="str">
        <f>IF(ABS(N858-J858*M858)&lt;=J858*0.005+0.01,"OK","Check")</f>
        <v>OK</v>
      </c>
      <c r="S858" s="3">
        <f t="shared" si="13"/>
        <v>1</v>
      </c>
    </row>
    <row r="859" spans="1:19">
      <c r="A859" s="1">
        <v>46082</v>
      </c>
      <c r="B859" t="s">
        <v>276</v>
      </c>
      <c r="C859" t="s">
        <v>160</v>
      </c>
      <c r="D859" t="s">
        <v>161</v>
      </c>
      <c r="E859" t="s">
        <v>151</v>
      </c>
      <c r="F859" t="s">
        <v>23</v>
      </c>
      <c r="G859">
        <v>9</v>
      </c>
      <c r="H859">
        <v>89</v>
      </c>
      <c r="I859">
        <v>33</v>
      </c>
      <c r="J859">
        <v>65</v>
      </c>
      <c r="K859">
        <v>30</v>
      </c>
      <c r="L859" t="b">
        <v>0</v>
      </c>
      <c r="M859">
        <v>221.95</v>
      </c>
      <c r="N859">
        <v>14426.6</v>
      </c>
      <c r="O859" t="s">
        <v>24</v>
      </c>
      <c r="P859" t="str">
        <f>IF(J859=G859+H859-I859,"OK","Check")</f>
        <v>OK</v>
      </c>
      <c r="Q859" t="str">
        <f>IF(AND(J859&lt;=K859,L859=TRUE),"OK",IF(AND(J859&gt;K859,L859=FALSE),"OK","Check"))</f>
        <v>OK</v>
      </c>
      <c r="R859" t="str">
        <f>IF(ABS(N859-J859*M859)&lt;=J859*0.005+0.01,"OK","Check")</f>
        <v>OK</v>
      </c>
      <c r="S859" s="3">
        <f t="shared" si="13"/>
        <v>1</v>
      </c>
    </row>
    <row r="860" spans="1:19">
      <c r="A860" s="1">
        <v>46082</v>
      </c>
      <c r="B860" t="s">
        <v>276</v>
      </c>
      <c r="C860" t="s">
        <v>162</v>
      </c>
      <c r="D860" t="s">
        <v>163</v>
      </c>
      <c r="E860" t="s">
        <v>151</v>
      </c>
      <c r="F860" t="s">
        <v>23</v>
      </c>
      <c r="G860">
        <v>177</v>
      </c>
      <c r="H860">
        <v>329</v>
      </c>
      <c r="I860">
        <v>179</v>
      </c>
      <c r="J860">
        <v>327</v>
      </c>
      <c r="K860">
        <v>168</v>
      </c>
      <c r="L860" t="b">
        <v>0</v>
      </c>
      <c r="M860">
        <v>217.38</v>
      </c>
      <c r="N860">
        <v>71082.91</v>
      </c>
      <c r="O860" t="s">
        <v>37</v>
      </c>
      <c r="P860" t="str">
        <f>IF(J860=G860+H860-I860,"OK","Check")</f>
        <v>OK</v>
      </c>
      <c r="Q860" t="str">
        <f>IF(AND(J860&lt;=K860,L860=TRUE),"OK",IF(AND(J860&gt;K860,L860=FALSE),"OK","Check"))</f>
        <v>OK</v>
      </c>
      <c r="R860" t="str">
        <f>IF(ABS(N860-J860*M860)&lt;=J860*0.005+0.01,"OK","Check")</f>
        <v>OK</v>
      </c>
      <c r="S860" s="3">
        <f t="shared" si="13"/>
        <v>1</v>
      </c>
    </row>
    <row r="861" spans="1:19">
      <c r="A861" s="1">
        <v>46082</v>
      </c>
      <c r="B861" t="s">
        <v>276</v>
      </c>
      <c r="C861" t="s">
        <v>166</v>
      </c>
      <c r="D861" t="s">
        <v>167</v>
      </c>
      <c r="E861" t="s">
        <v>151</v>
      </c>
      <c r="F861" t="s">
        <v>23</v>
      </c>
      <c r="G861">
        <v>8</v>
      </c>
      <c r="H861">
        <v>208</v>
      </c>
      <c r="I861">
        <v>89</v>
      </c>
      <c r="J861">
        <v>127</v>
      </c>
      <c r="K861">
        <v>81</v>
      </c>
      <c r="L861" t="b">
        <v>0</v>
      </c>
      <c r="M861">
        <v>145.55000000000001</v>
      </c>
      <c r="N861">
        <v>18485.27</v>
      </c>
      <c r="O861" t="s">
        <v>44</v>
      </c>
      <c r="P861" t="str">
        <f>IF(J861=G861+H861-I861,"OK","Check")</f>
        <v>OK</v>
      </c>
      <c r="Q861" t="str">
        <f>IF(AND(J861&lt;=K861,L861=TRUE),"OK",IF(AND(J861&gt;K861,L861=FALSE),"OK","Check"))</f>
        <v>OK</v>
      </c>
      <c r="R861" t="str">
        <f>IF(ABS(N861-J861*M861)&lt;=J861*0.005+0.01,"OK","Check")</f>
        <v>OK</v>
      </c>
      <c r="S861" s="3">
        <f t="shared" si="13"/>
        <v>1</v>
      </c>
    </row>
    <row r="862" spans="1:19">
      <c r="A862" s="1">
        <v>46082</v>
      </c>
      <c r="B862" t="s">
        <v>276</v>
      </c>
      <c r="C862" t="s">
        <v>249</v>
      </c>
      <c r="D862" t="s">
        <v>250</v>
      </c>
      <c r="E862" t="s">
        <v>151</v>
      </c>
      <c r="F862" t="s">
        <v>23</v>
      </c>
      <c r="G862">
        <v>207</v>
      </c>
      <c r="H862">
        <v>0</v>
      </c>
      <c r="I862">
        <v>54</v>
      </c>
      <c r="J862">
        <v>153</v>
      </c>
      <c r="K862">
        <v>60</v>
      </c>
      <c r="L862" t="b">
        <v>0</v>
      </c>
      <c r="M862">
        <v>704.78</v>
      </c>
      <c r="N862">
        <v>107832.09</v>
      </c>
      <c r="O862" t="s">
        <v>32</v>
      </c>
      <c r="P862" t="str">
        <f>IF(J862=G862+H862-I862,"OK","Check")</f>
        <v>OK</v>
      </c>
      <c r="Q862" t="str">
        <f>IF(AND(J862&lt;=K862,L862=TRUE),"OK",IF(AND(J862&gt;K862,L862=FALSE),"OK","Check"))</f>
        <v>OK</v>
      </c>
      <c r="R862" t="str">
        <f>IF(ABS(N862-J862*M862)&lt;=J862*0.005+0.01,"OK","Check")</f>
        <v>OK</v>
      </c>
      <c r="S862" s="3">
        <f t="shared" si="13"/>
        <v>1</v>
      </c>
    </row>
    <row r="863" spans="1:19">
      <c r="A863" s="1">
        <v>46082</v>
      </c>
      <c r="B863" t="s">
        <v>276</v>
      </c>
      <c r="C863" t="s">
        <v>168</v>
      </c>
      <c r="D863" t="s">
        <v>169</v>
      </c>
      <c r="E863" t="s">
        <v>151</v>
      </c>
      <c r="F863" t="s">
        <v>23</v>
      </c>
      <c r="G863">
        <v>240</v>
      </c>
      <c r="H863">
        <v>658</v>
      </c>
      <c r="I863">
        <v>156</v>
      </c>
      <c r="J863">
        <v>742</v>
      </c>
      <c r="K863">
        <v>280</v>
      </c>
      <c r="L863" t="b">
        <v>0</v>
      </c>
      <c r="M863">
        <v>642.98</v>
      </c>
      <c r="N863">
        <v>477090.62</v>
      </c>
      <c r="O863" t="s">
        <v>27</v>
      </c>
      <c r="P863" t="str">
        <f>IF(J863=G863+H863-I863,"OK","Check")</f>
        <v>OK</v>
      </c>
      <c r="Q863" t="str">
        <f>IF(AND(J863&lt;=K863,L863=TRUE),"OK",IF(AND(J863&gt;K863,L863=FALSE),"OK","Check"))</f>
        <v>OK</v>
      </c>
      <c r="R863" t="str">
        <f>IF(ABS(N863-J863*M863)&lt;=J863*0.005+0.01,"OK","Check")</f>
        <v>OK</v>
      </c>
      <c r="S863" s="3">
        <f t="shared" si="13"/>
        <v>1</v>
      </c>
    </row>
    <row r="864" spans="1:19">
      <c r="A864" s="1">
        <v>46082</v>
      </c>
      <c r="B864" t="s">
        <v>276</v>
      </c>
      <c r="C864" t="s">
        <v>172</v>
      </c>
      <c r="D864" t="s">
        <v>173</v>
      </c>
      <c r="E864" t="s">
        <v>151</v>
      </c>
      <c r="F864" t="s">
        <v>23</v>
      </c>
      <c r="G864">
        <v>215</v>
      </c>
      <c r="H864">
        <v>0</v>
      </c>
      <c r="I864">
        <v>40</v>
      </c>
      <c r="J864">
        <v>175</v>
      </c>
      <c r="K864">
        <v>172</v>
      </c>
      <c r="L864" t="b">
        <v>0</v>
      </c>
      <c r="M864">
        <v>499.46</v>
      </c>
      <c r="N864">
        <v>87405.18</v>
      </c>
      <c r="O864" t="s">
        <v>24</v>
      </c>
      <c r="P864" t="str">
        <f>IF(J864=G864+H864-I864,"OK","Check")</f>
        <v>OK</v>
      </c>
      <c r="Q864" t="str">
        <f>IF(AND(J864&lt;=K864,L864=TRUE),"OK",IF(AND(J864&gt;K864,L864=FALSE),"OK","Check"))</f>
        <v>OK</v>
      </c>
      <c r="R864" t="str">
        <f>IF(ABS(N864-J864*M864)&lt;=J864*0.005+0.01,"OK","Check")</f>
        <v>OK</v>
      </c>
      <c r="S864" s="3">
        <f t="shared" si="13"/>
        <v>1</v>
      </c>
    </row>
    <row r="865" spans="1:19">
      <c r="A865" s="1">
        <v>46082</v>
      </c>
      <c r="B865" t="s">
        <v>276</v>
      </c>
      <c r="C865" t="s">
        <v>176</v>
      </c>
      <c r="D865" t="s">
        <v>177</v>
      </c>
      <c r="E865" t="s">
        <v>151</v>
      </c>
      <c r="F865" t="s">
        <v>23</v>
      </c>
      <c r="G865">
        <v>131</v>
      </c>
      <c r="H865">
        <v>375</v>
      </c>
      <c r="I865">
        <v>226</v>
      </c>
      <c r="J865">
        <v>280</v>
      </c>
      <c r="K865">
        <v>180</v>
      </c>
      <c r="L865" t="b">
        <v>0</v>
      </c>
      <c r="M865">
        <v>65.510000000000005</v>
      </c>
      <c r="N865">
        <v>18342.38</v>
      </c>
      <c r="O865" t="s">
        <v>27</v>
      </c>
      <c r="P865" t="str">
        <f>IF(J865=G865+H865-I865,"OK","Check")</f>
        <v>OK</v>
      </c>
      <c r="Q865" t="str">
        <f>IF(AND(J865&lt;=K865,L865=TRUE),"OK",IF(AND(J865&gt;K865,L865=FALSE),"OK","Check"))</f>
        <v>OK</v>
      </c>
      <c r="R865" t="str">
        <f>IF(ABS(N865-J865*M865)&lt;=J865*0.005+0.01,"OK","Check")</f>
        <v>OK</v>
      </c>
      <c r="S865" s="3">
        <f t="shared" si="13"/>
        <v>1</v>
      </c>
    </row>
    <row r="866" spans="1:19">
      <c r="A866" s="1">
        <v>46082</v>
      </c>
      <c r="B866" t="s">
        <v>276</v>
      </c>
      <c r="C866" t="s">
        <v>178</v>
      </c>
      <c r="D866" t="s">
        <v>179</v>
      </c>
      <c r="E866" t="s">
        <v>151</v>
      </c>
      <c r="F866" t="s">
        <v>23</v>
      </c>
      <c r="G866">
        <v>297</v>
      </c>
      <c r="H866">
        <v>0</v>
      </c>
      <c r="I866">
        <v>82</v>
      </c>
      <c r="J866">
        <v>215</v>
      </c>
      <c r="K866">
        <v>122</v>
      </c>
      <c r="L866" t="b">
        <v>0</v>
      </c>
      <c r="M866">
        <v>345.99</v>
      </c>
      <c r="N866">
        <v>74387.649999999994</v>
      </c>
      <c r="O866" t="s">
        <v>32</v>
      </c>
      <c r="P866" t="str">
        <f>IF(J866=G866+H866-I866,"OK","Check")</f>
        <v>OK</v>
      </c>
      <c r="Q866" t="str">
        <f>IF(AND(J866&lt;=K866,L866=TRUE),"OK",IF(AND(J866&gt;K866,L866=FALSE),"OK","Check"))</f>
        <v>OK</v>
      </c>
      <c r="R866" t="str">
        <f>IF(ABS(N866-J866*M866)&lt;=J866*0.005+0.01,"OK","Check")</f>
        <v>OK</v>
      </c>
      <c r="S866" s="3">
        <f t="shared" si="13"/>
        <v>1</v>
      </c>
    </row>
    <row r="867" spans="1:19">
      <c r="A867" s="1">
        <v>46082</v>
      </c>
      <c r="B867" t="s">
        <v>276</v>
      </c>
      <c r="C867" t="s">
        <v>180</v>
      </c>
      <c r="D867" t="s">
        <v>181</v>
      </c>
      <c r="E867" t="s">
        <v>151</v>
      </c>
      <c r="F867" t="s">
        <v>23</v>
      </c>
      <c r="G867">
        <v>107</v>
      </c>
      <c r="H867">
        <v>195</v>
      </c>
      <c r="I867">
        <v>82</v>
      </c>
      <c r="J867">
        <v>220</v>
      </c>
      <c r="K867">
        <v>99</v>
      </c>
      <c r="L867" t="b">
        <v>0</v>
      </c>
      <c r="M867">
        <v>60.1</v>
      </c>
      <c r="N867">
        <v>13222.02</v>
      </c>
      <c r="O867" t="s">
        <v>44</v>
      </c>
      <c r="P867" t="str">
        <f>IF(J867=G867+H867-I867,"OK","Check")</f>
        <v>OK</v>
      </c>
      <c r="Q867" t="str">
        <f>IF(AND(J867&lt;=K867,L867=TRUE),"OK",IF(AND(J867&gt;K867,L867=FALSE),"OK","Check"))</f>
        <v>OK</v>
      </c>
      <c r="R867" t="str">
        <f>IF(ABS(N867-J867*M867)&lt;=J867*0.005+0.01,"OK","Check")</f>
        <v>OK</v>
      </c>
      <c r="S867" s="3">
        <f t="shared" si="13"/>
        <v>1</v>
      </c>
    </row>
    <row r="868" spans="1:19">
      <c r="A868" s="1">
        <v>46082</v>
      </c>
      <c r="B868" t="s">
        <v>276</v>
      </c>
      <c r="C868" t="s">
        <v>182</v>
      </c>
      <c r="D868" t="s">
        <v>183</v>
      </c>
      <c r="E868" t="s">
        <v>151</v>
      </c>
      <c r="F868" t="s">
        <v>23</v>
      </c>
      <c r="G868">
        <v>85</v>
      </c>
      <c r="H868">
        <v>270</v>
      </c>
      <c r="I868">
        <v>112</v>
      </c>
      <c r="J868">
        <v>243</v>
      </c>
      <c r="K868">
        <v>192</v>
      </c>
      <c r="L868" t="b">
        <v>0</v>
      </c>
      <c r="M868">
        <v>237.25</v>
      </c>
      <c r="N868">
        <v>57650.74</v>
      </c>
      <c r="O868" t="s">
        <v>32</v>
      </c>
      <c r="P868" t="str">
        <f>IF(J868=G868+H868-I868,"OK","Check")</f>
        <v>OK</v>
      </c>
      <c r="Q868" t="str">
        <f>IF(AND(J868&lt;=K868,L868=TRUE),"OK",IF(AND(J868&gt;K868,L868=FALSE),"OK","Check"))</f>
        <v>OK</v>
      </c>
      <c r="R868" t="str">
        <f>IF(ABS(N868-J868*M868)&lt;=J868*0.005+0.01,"OK","Check")</f>
        <v>OK</v>
      </c>
      <c r="S868" s="3">
        <f t="shared" si="13"/>
        <v>1</v>
      </c>
    </row>
    <row r="869" spans="1:19">
      <c r="A869" s="1">
        <v>46082</v>
      </c>
      <c r="B869" t="s">
        <v>276</v>
      </c>
      <c r="C869" t="s">
        <v>251</v>
      </c>
      <c r="D869" t="s">
        <v>252</v>
      </c>
      <c r="E869" t="s">
        <v>151</v>
      </c>
      <c r="F869" t="s">
        <v>23</v>
      </c>
      <c r="G869">
        <v>278</v>
      </c>
      <c r="H869">
        <v>0</v>
      </c>
      <c r="I869">
        <v>36</v>
      </c>
      <c r="J869">
        <v>242</v>
      </c>
      <c r="K869">
        <v>61</v>
      </c>
      <c r="L869" t="b">
        <v>0</v>
      </c>
      <c r="M869">
        <v>92.67</v>
      </c>
      <c r="N869">
        <v>22426.34</v>
      </c>
      <c r="O869" t="s">
        <v>44</v>
      </c>
      <c r="P869" t="str">
        <f>IF(J869=G869+H869-I869,"OK","Check")</f>
        <v>OK</v>
      </c>
      <c r="Q869" t="str">
        <f>IF(AND(J869&lt;=K869,L869=TRUE),"OK",IF(AND(J869&gt;K869,L869=FALSE),"OK","Check"))</f>
        <v>OK</v>
      </c>
      <c r="R869" t="str">
        <f>IF(ABS(N869-J869*M869)&lt;=J869*0.005+0.01,"OK","Check")</f>
        <v>OK</v>
      </c>
      <c r="S869" s="3">
        <f t="shared" si="13"/>
        <v>1</v>
      </c>
    </row>
    <row r="870" spans="1:19">
      <c r="A870" s="1">
        <v>46082</v>
      </c>
      <c r="B870" t="s">
        <v>276</v>
      </c>
      <c r="C870" t="s">
        <v>184</v>
      </c>
      <c r="D870" t="s">
        <v>185</v>
      </c>
      <c r="E870" t="s">
        <v>151</v>
      </c>
      <c r="F870" t="s">
        <v>23</v>
      </c>
      <c r="G870">
        <v>323</v>
      </c>
      <c r="H870">
        <v>0</v>
      </c>
      <c r="I870">
        <v>174</v>
      </c>
      <c r="J870">
        <v>149</v>
      </c>
      <c r="K870">
        <v>163</v>
      </c>
      <c r="L870" t="b">
        <v>1</v>
      </c>
      <c r="M870">
        <v>371.02</v>
      </c>
      <c r="N870">
        <v>55281.43</v>
      </c>
      <c r="O870" t="s">
        <v>60</v>
      </c>
      <c r="P870" t="str">
        <f>IF(J870=G870+H870-I870,"OK","Check")</f>
        <v>OK</v>
      </c>
      <c r="Q870" t="str">
        <f>IF(AND(J870&lt;=K870,L870=TRUE),"OK",IF(AND(J870&gt;K870,L870=FALSE),"OK","Check"))</f>
        <v>OK</v>
      </c>
      <c r="R870" t="str">
        <f>IF(ABS(N870-J870*M870)&lt;=J870*0.005+0.01,"OK","Check")</f>
        <v>OK</v>
      </c>
      <c r="S870" s="3">
        <f t="shared" si="13"/>
        <v>1</v>
      </c>
    </row>
    <row r="871" spans="1:19">
      <c r="A871" s="1">
        <v>46082</v>
      </c>
      <c r="B871" t="s">
        <v>276</v>
      </c>
      <c r="C871" t="s">
        <v>191</v>
      </c>
      <c r="D871" t="s">
        <v>192</v>
      </c>
      <c r="E871" t="s">
        <v>188</v>
      </c>
      <c r="F871" t="s">
        <v>23</v>
      </c>
      <c r="G871">
        <v>100</v>
      </c>
      <c r="H871">
        <v>180</v>
      </c>
      <c r="I871">
        <v>53</v>
      </c>
      <c r="J871">
        <v>227</v>
      </c>
      <c r="K871">
        <v>89</v>
      </c>
      <c r="L871" t="b">
        <v>0</v>
      </c>
      <c r="M871">
        <v>102.49</v>
      </c>
      <c r="N871">
        <v>23265.68</v>
      </c>
      <c r="O871" t="s">
        <v>98</v>
      </c>
      <c r="P871" t="str">
        <f>IF(J871=G871+H871-I871,"OK","Check")</f>
        <v>OK</v>
      </c>
      <c r="Q871" t="str">
        <f>IF(AND(J871&lt;=K871,L871=TRUE),"OK",IF(AND(J871&gt;K871,L871=FALSE),"OK","Check"))</f>
        <v>OK</v>
      </c>
      <c r="R871" t="str">
        <f>IF(ABS(N871-J871*M871)&lt;=J871*0.005+0.01,"OK","Check")</f>
        <v>OK</v>
      </c>
      <c r="S871" s="3">
        <f t="shared" si="13"/>
        <v>1</v>
      </c>
    </row>
    <row r="872" spans="1:19">
      <c r="A872" s="1">
        <v>46082</v>
      </c>
      <c r="B872" t="s">
        <v>276</v>
      </c>
      <c r="C872" t="s">
        <v>193</v>
      </c>
      <c r="D872" t="s">
        <v>194</v>
      </c>
      <c r="E872" t="s">
        <v>188</v>
      </c>
      <c r="F872" t="s">
        <v>23</v>
      </c>
      <c r="G872">
        <v>65</v>
      </c>
      <c r="H872">
        <v>150</v>
      </c>
      <c r="I872">
        <v>45</v>
      </c>
      <c r="J872">
        <v>170</v>
      </c>
      <c r="K872">
        <v>71</v>
      </c>
      <c r="L872" t="b">
        <v>0</v>
      </c>
      <c r="M872">
        <v>445.01</v>
      </c>
      <c r="N872">
        <v>75651.679999999993</v>
      </c>
      <c r="O872" t="s">
        <v>27</v>
      </c>
      <c r="P872" t="str">
        <f>IF(J872=G872+H872-I872,"OK","Check")</f>
        <v>OK</v>
      </c>
      <c r="Q872" t="str">
        <f>IF(AND(J872&lt;=K872,L872=TRUE),"OK",IF(AND(J872&gt;K872,L872=FALSE),"OK","Check"))</f>
        <v>OK</v>
      </c>
      <c r="R872" t="str">
        <f>IF(ABS(N872-J872*M872)&lt;=J872*0.005+0.01,"OK","Check")</f>
        <v>OK</v>
      </c>
      <c r="S872" s="3">
        <f t="shared" si="13"/>
        <v>1</v>
      </c>
    </row>
    <row r="873" spans="1:19">
      <c r="A873" s="1">
        <v>46082</v>
      </c>
      <c r="B873" t="s">
        <v>276</v>
      </c>
      <c r="C873" t="s">
        <v>195</v>
      </c>
      <c r="D873" t="s">
        <v>196</v>
      </c>
      <c r="E873" t="s">
        <v>188</v>
      </c>
      <c r="F873" t="s">
        <v>23</v>
      </c>
      <c r="G873">
        <v>359</v>
      </c>
      <c r="H873">
        <v>0</v>
      </c>
      <c r="I873">
        <v>85</v>
      </c>
      <c r="J873">
        <v>274</v>
      </c>
      <c r="K873">
        <v>159</v>
      </c>
      <c r="L873" t="b">
        <v>0</v>
      </c>
      <c r="M873">
        <v>77.23</v>
      </c>
      <c r="N873">
        <v>21162.05</v>
      </c>
      <c r="O873" t="s">
        <v>47</v>
      </c>
      <c r="P873" t="str">
        <f>IF(J873=G873+H873-I873,"OK","Check")</f>
        <v>OK</v>
      </c>
      <c r="Q873" t="str">
        <f>IF(AND(J873&lt;=K873,L873=TRUE),"OK",IF(AND(J873&gt;K873,L873=FALSE),"OK","Check"))</f>
        <v>OK</v>
      </c>
      <c r="R873" t="str">
        <f>IF(ABS(N873-J873*M873)&lt;=J873*0.005+0.01,"OK","Check")</f>
        <v>OK</v>
      </c>
      <c r="S873" s="3">
        <f t="shared" si="13"/>
        <v>1</v>
      </c>
    </row>
    <row r="874" spans="1:19">
      <c r="A874" s="1">
        <v>46082</v>
      </c>
      <c r="B874" t="s">
        <v>276</v>
      </c>
      <c r="C874" t="s">
        <v>253</v>
      </c>
      <c r="D874" t="s">
        <v>254</v>
      </c>
      <c r="E874" t="s">
        <v>188</v>
      </c>
      <c r="F874" t="s">
        <v>23</v>
      </c>
      <c r="G874">
        <v>41</v>
      </c>
      <c r="H874">
        <v>0</v>
      </c>
      <c r="I874">
        <v>27</v>
      </c>
      <c r="J874">
        <v>14</v>
      </c>
      <c r="K874">
        <v>26</v>
      </c>
      <c r="L874" t="b">
        <v>1</v>
      </c>
      <c r="M874">
        <v>298.95</v>
      </c>
      <c r="N874">
        <v>4185.2299999999996</v>
      </c>
      <c r="O874" t="s">
        <v>60</v>
      </c>
      <c r="P874" t="str">
        <f>IF(J874=G874+H874-I874,"OK","Check")</f>
        <v>OK</v>
      </c>
      <c r="Q874" t="str">
        <f>IF(AND(J874&lt;=K874,L874=TRUE),"OK",IF(AND(J874&gt;K874,L874=FALSE),"OK","Check"))</f>
        <v>OK</v>
      </c>
      <c r="R874" t="str">
        <f>IF(ABS(N874-J874*M874)&lt;=J874*0.005+0.01,"OK","Check")</f>
        <v>OK</v>
      </c>
      <c r="S874" s="3">
        <f t="shared" si="13"/>
        <v>1</v>
      </c>
    </row>
    <row r="875" spans="1:19">
      <c r="A875" s="1">
        <v>46082</v>
      </c>
      <c r="B875" t="s">
        <v>276</v>
      </c>
      <c r="C875" t="s">
        <v>197</v>
      </c>
      <c r="D875" t="s">
        <v>198</v>
      </c>
      <c r="E875" t="s">
        <v>188</v>
      </c>
      <c r="F875" t="s">
        <v>23</v>
      </c>
      <c r="G875">
        <v>773</v>
      </c>
      <c r="H875">
        <v>463</v>
      </c>
      <c r="I875">
        <v>376</v>
      </c>
      <c r="J875">
        <v>860</v>
      </c>
      <c r="K875">
        <v>249</v>
      </c>
      <c r="L875" t="b">
        <v>0</v>
      </c>
      <c r="M875">
        <v>112.56</v>
      </c>
      <c r="N875">
        <v>96798.38</v>
      </c>
      <c r="O875" t="s">
        <v>98</v>
      </c>
      <c r="P875" t="str">
        <f>IF(J875=G875+H875-I875,"OK","Check")</f>
        <v>OK</v>
      </c>
      <c r="Q875" t="str">
        <f>IF(AND(J875&lt;=K875,L875=TRUE),"OK",IF(AND(J875&gt;K875,L875=FALSE),"OK","Check"))</f>
        <v>OK</v>
      </c>
      <c r="R875" t="str">
        <f>IF(ABS(N875-J875*M875)&lt;=J875*0.005+0.01,"OK","Check")</f>
        <v>OK</v>
      </c>
      <c r="S875" s="3">
        <f t="shared" si="13"/>
        <v>1</v>
      </c>
    </row>
    <row r="876" spans="1:19">
      <c r="A876" s="1">
        <v>46082</v>
      </c>
      <c r="B876" t="s">
        <v>276</v>
      </c>
      <c r="C876" t="s">
        <v>199</v>
      </c>
      <c r="D876" t="s">
        <v>200</v>
      </c>
      <c r="E876" t="s">
        <v>188</v>
      </c>
      <c r="F876" t="s">
        <v>23</v>
      </c>
      <c r="G876">
        <v>54</v>
      </c>
      <c r="H876">
        <v>175</v>
      </c>
      <c r="I876">
        <v>41</v>
      </c>
      <c r="J876">
        <v>188</v>
      </c>
      <c r="K876">
        <v>82</v>
      </c>
      <c r="L876" t="b">
        <v>0</v>
      </c>
      <c r="M876">
        <v>540.01</v>
      </c>
      <c r="N876">
        <v>101521.59</v>
      </c>
      <c r="O876" t="s">
        <v>98</v>
      </c>
      <c r="P876" t="str">
        <f>IF(J876=G876+H876-I876,"OK","Check")</f>
        <v>OK</v>
      </c>
      <c r="Q876" t="str">
        <f>IF(AND(J876&lt;=K876,L876=TRUE),"OK",IF(AND(J876&gt;K876,L876=FALSE),"OK","Check"))</f>
        <v>OK</v>
      </c>
      <c r="R876" t="str">
        <f>IF(ABS(N876-J876*M876)&lt;=J876*0.005+0.01,"OK","Check")</f>
        <v>OK</v>
      </c>
      <c r="S876" s="3">
        <f t="shared" si="13"/>
        <v>1</v>
      </c>
    </row>
    <row r="877" spans="1:19">
      <c r="A877" s="1">
        <v>46082</v>
      </c>
      <c r="B877" t="s">
        <v>276</v>
      </c>
      <c r="C877" t="s">
        <v>201</v>
      </c>
      <c r="D877" t="s">
        <v>202</v>
      </c>
      <c r="E877" t="s">
        <v>188</v>
      </c>
      <c r="F877" t="s">
        <v>23</v>
      </c>
      <c r="G877">
        <v>71</v>
      </c>
      <c r="H877">
        <v>197</v>
      </c>
      <c r="I877">
        <v>95</v>
      </c>
      <c r="J877">
        <v>173</v>
      </c>
      <c r="K877">
        <v>109</v>
      </c>
      <c r="L877" t="b">
        <v>0</v>
      </c>
      <c r="M877">
        <v>904.78</v>
      </c>
      <c r="N877">
        <v>156526.29999999999</v>
      </c>
      <c r="O877" t="s">
        <v>47</v>
      </c>
      <c r="P877" t="str">
        <f>IF(J877=G877+H877-I877,"OK","Check")</f>
        <v>OK</v>
      </c>
      <c r="Q877" t="str">
        <f>IF(AND(J877&lt;=K877,L877=TRUE),"OK",IF(AND(J877&gt;K877,L877=FALSE),"OK","Check"))</f>
        <v>OK</v>
      </c>
      <c r="R877" t="str">
        <f>IF(ABS(N877-J877*M877)&lt;=J877*0.005+0.01,"OK","Check")</f>
        <v>OK</v>
      </c>
      <c r="S877" s="3">
        <f t="shared" si="13"/>
        <v>1</v>
      </c>
    </row>
    <row r="878" spans="1:19">
      <c r="A878" s="1">
        <v>46082</v>
      </c>
      <c r="B878" t="s">
        <v>276</v>
      </c>
      <c r="C878" t="s">
        <v>205</v>
      </c>
      <c r="D878" t="s">
        <v>206</v>
      </c>
      <c r="E878" t="s">
        <v>188</v>
      </c>
      <c r="F878" t="s">
        <v>23</v>
      </c>
      <c r="G878">
        <v>300</v>
      </c>
      <c r="H878">
        <v>0</v>
      </c>
      <c r="I878">
        <v>69</v>
      </c>
      <c r="J878">
        <v>231</v>
      </c>
      <c r="K878">
        <v>137</v>
      </c>
      <c r="L878" t="b">
        <v>0</v>
      </c>
      <c r="M878">
        <v>94.15</v>
      </c>
      <c r="N878">
        <v>21748.560000000001</v>
      </c>
      <c r="O878" t="s">
        <v>98</v>
      </c>
      <c r="P878" t="str">
        <f>IF(J878=G878+H878-I878,"OK","Check")</f>
        <v>OK</v>
      </c>
      <c r="Q878" t="str">
        <f>IF(AND(J878&lt;=K878,L878=TRUE),"OK",IF(AND(J878&gt;K878,L878=FALSE),"OK","Check"))</f>
        <v>OK</v>
      </c>
      <c r="R878" t="str">
        <f>IF(ABS(N878-J878*M878)&lt;=J878*0.005+0.01,"OK","Check")</f>
        <v>OK</v>
      </c>
      <c r="S878" s="3">
        <f t="shared" si="13"/>
        <v>1</v>
      </c>
    </row>
    <row r="879" spans="1:19">
      <c r="A879" s="1">
        <v>46082</v>
      </c>
      <c r="B879" t="s">
        <v>276</v>
      </c>
      <c r="C879" t="s">
        <v>255</v>
      </c>
      <c r="D879" t="s">
        <v>256</v>
      </c>
      <c r="E879" t="s">
        <v>188</v>
      </c>
      <c r="F879" t="s">
        <v>23</v>
      </c>
      <c r="G879">
        <v>245</v>
      </c>
      <c r="H879">
        <v>0</v>
      </c>
      <c r="I879">
        <v>124</v>
      </c>
      <c r="J879">
        <v>121</v>
      </c>
      <c r="K879">
        <v>154</v>
      </c>
      <c r="L879" t="b">
        <v>1</v>
      </c>
      <c r="M879">
        <v>381.36</v>
      </c>
      <c r="N879">
        <v>46145.06</v>
      </c>
      <c r="O879" t="s">
        <v>37</v>
      </c>
      <c r="P879" t="str">
        <f>IF(J879=G879+H879-I879,"OK","Check")</f>
        <v>OK</v>
      </c>
      <c r="Q879" t="str">
        <f>IF(AND(J879&lt;=K879,L879=TRUE),"OK",IF(AND(J879&gt;K879,L879=FALSE),"OK","Check"))</f>
        <v>OK</v>
      </c>
      <c r="R879" t="str">
        <f>IF(ABS(N879-J879*M879)&lt;=J879*0.005+0.01,"OK","Check")</f>
        <v>OK</v>
      </c>
      <c r="S879" s="3">
        <f t="shared" si="13"/>
        <v>1</v>
      </c>
    </row>
    <row r="880" spans="1:19">
      <c r="A880" s="1">
        <v>46082</v>
      </c>
      <c r="B880" t="s">
        <v>276</v>
      </c>
      <c r="C880" t="s">
        <v>207</v>
      </c>
      <c r="D880" t="s">
        <v>208</v>
      </c>
      <c r="E880" t="s">
        <v>188</v>
      </c>
      <c r="F880" t="s">
        <v>23</v>
      </c>
      <c r="G880">
        <v>65</v>
      </c>
      <c r="H880">
        <v>276</v>
      </c>
      <c r="I880">
        <v>74</v>
      </c>
      <c r="J880">
        <v>267</v>
      </c>
      <c r="K880">
        <v>119</v>
      </c>
      <c r="L880" t="b">
        <v>0</v>
      </c>
      <c r="M880">
        <v>70.34</v>
      </c>
      <c r="N880">
        <v>18780.009999999998</v>
      </c>
      <c r="O880" t="s">
        <v>47</v>
      </c>
      <c r="P880" t="str">
        <f>IF(J880=G880+H880-I880,"OK","Check")</f>
        <v>OK</v>
      </c>
      <c r="Q880" t="str">
        <f>IF(AND(J880&lt;=K880,L880=TRUE),"OK",IF(AND(J880&gt;K880,L880=FALSE),"OK","Check"))</f>
        <v>OK</v>
      </c>
      <c r="R880" t="str">
        <f>IF(ABS(N880-J880*M880)&lt;=J880*0.005+0.01,"OK","Check")</f>
        <v>OK</v>
      </c>
      <c r="S880" s="3">
        <f t="shared" si="13"/>
        <v>1</v>
      </c>
    </row>
    <row r="881" spans="1:19">
      <c r="A881" s="1">
        <v>46082</v>
      </c>
      <c r="B881" t="s">
        <v>276</v>
      </c>
      <c r="C881" t="s">
        <v>209</v>
      </c>
      <c r="D881" t="s">
        <v>210</v>
      </c>
      <c r="E881" t="s">
        <v>188</v>
      </c>
      <c r="F881" t="s">
        <v>23</v>
      </c>
      <c r="G881">
        <v>124</v>
      </c>
      <c r="H881">
        <v>0</v>
      </c>
      <c r="I881">
        <v>62</v>
      </c>
      <c r="J881">
        <v>62</v>
      </c>
      <c r="K881">
        <v>99</v>
      </c>
      <c r="L881" t="b">
        <v>1</v>
      </c>
      <c r="M881">
        <v>343.14</v>
      </c>
      <c r="N881">
        <v>21274.639999999999</v>
      </c>
      <c r="O881" t="s">
        <v>37</v>
      </c>
      <c r="P881" t="str">
        <f>IF(J881=G881+H881-I881,"OK","Check")</f>
        <v>OK</v>
      </c>
      <c r="Q881" t="str">
        <f>IF(AND(J881&lt;=K881,L881=TRUE),"OK",IF(AND(J881&gt;K881,L881=FALSE),"OK","Check"))</f>
        <v>OK</v>
      </c>
      <c r="R881" t="str">
        <f>IF(ABS(N881-J881*M881)&lt;=J881*0.005+0.01,"OK","Check")</f>
        <v>OK</v>
      </c>
      <c r="S881" s="3">
        <f t="shared" si="13"/>
        <v>1</v>
      </c>
    </row>
    <row r="882" spans="1:19">
      <c r="A882" s="1">
        <v>46082</v>
      </c>
      <c r="B882" t="s">
        <v>276</v>
      </c>
      <c r="C882" t="s">
        <v>268</v>
      </c>
      <c r="D882" t="s">
        <v>269</v>
      </c>
      <c r="E882" t="s">
        <v>188</v>
      </c>
      <c r="F882" t="s">
        <v>23</v>
      </c>
      <c r="G882">
        <v>28</v>
      </c>
      <c r="H882">
        <v>132</v>
      </c>
      <c r="I882">
        <v>51</v>
      </c>
      <c r="J882">
        <v>109</v>
      </c>
      <c r="K882">
        <v>47</v>
      </c>
      <c r="L882" t="b">
        <v>0</v>
      </c>
      <c r="M882">
        <v>42.84</v>
      </c>
      <c r="N882">
        <v>4669.2</v>
      </c>
      <c r="O882" t="s">
        <v>47</v>
      </c>
      <c r="P882" t="str">
        <f>IF(J882=G882+H882-I882,"OK","Check")</f>
        <v>OK</v>
      </c>
      <c r="Q882" t="str">
        <f>IF(AND(J882&lt;=K882,L882=TRUE),"OK",IF(AND(J882&gt;K882,L882=FALSE),"OK","Check"))</f>
        <v>OK</v>
      </c>
      <c r="R882" t="str">
        <f>IF(ABS(N882-J882*M882)&lt;=J882*0.005+0.01,"OK","Check")</f>
        <v>OK</v>
      </c>
      <c r="S882" s="3">
        <f t="shared" si="13"/>
        <v>1</v>
      </c>
    </row>
    <row r="883" spans="1:19">
      <c r="A883" s="1">
        <v>46082</v>
      </c>
      <c r="B883" t="s">
        <v>276</v>
      </c>
      <c r="C883" t="s">
        <v>270</v>
      </c>
      <c r="D883" t="s">
        <v>271</v>
      </c>
      <c r="E883" t="s">
        <v>188</v>
      </c>
      <c r="F883" t="s">
        <v>23</v>
      </c>
      <c r="G883">
        <v>378</v>
      </c>
      <c r="H883">
        <v>0</v>
      </c>
      <c r="I883">
        <v>99</v>
      </c>
      <c r="J883">
        <v>279</v>
      </c>
      <c r="K883">
        <v>147</v>
      </c>
      <c r="L883" t="b">
        <v>0</v>
      </c>
      <c r="M883">
        <v>176.74</v>
      </c>
      <c r="N883">
        <v>49309.94</v>
      </c>
      <c r="O883" t="s">
        <v>24</v>
      </c>
      <c r="P883" t="str">
        <f>IF(J883=G883+H883-I883,"OK","Check")</f>
        <v>OK</v>
      </c>
      <c r="Q883" t="str">
        <f>IF(AND(J883&lt;=K883,L883=TRUE),"OK",IF(AND(J883&gt;K883,L883=FALSE),"OK","Check"))</f>
        <v>OK</v>
      </c>
      <c r="R883" t="str">
        <f>IF(ABS(N883-J883*M883)&lt;=J883*0.005+0.01,"OK","Check")</f>
        <v>OK</v>
      </c>
      <c r="S883" s="3">
        <f t="shared" si="13"/>
        <v>1</v>
      </c>
    </row>
    <row r="884" spans="1:19">
      <c r="A884" s="1">
        <v>46082</v>
      </c>
      <c r="B884" t="s">
        <v>276</v>
      </c>
      <c r="C884" t="s">
        <v>213</v>
      </c>
      <c r="D884" t="s">
        <v>214</v>
      </c>
      <c r="E884" t="s">
        <v>188</v>
      </c>
      <c r="F884" t="s">
        <v>23</v>
      </c>
      <c r="G884">
        <v>264</v>
      </c>
      <c r="H884">
        <v>467</v>
      </c>
      <c r="I884">
        <v>242</v>
      </c>
      <c r="J884">
        <v>489</v>
      </c>
      <c r="K884">
        <v>270</v>
      </c>
      <c r="L884" t="b">
        <v>0</v>
      </c>
      <c r="M884">
        <v>340.41</v>
      </c>
      <c r="N884">
        <v>166462.35</v>
      </c>
      <c r="O884" t="s">
        <v>44</v>
      </c>
      <c r="P884" t="str">
        <f>IF(J884=G884+H884-I884,"OK","Check")</f>
        <v>OK</v>
      </c>
      <c r="Q884" t="str">
        <f>IF(AND(J884&lt;=K884,L884=TRUE),"OK",IF(AND(J884&gt;K884,L884=FALSE),"OK","Check"))</f>
        <v>OK</v>
      </c>
      <c r="R884" t="str">
        <f>IF(ABS(N884-J884*M884)&lt;=J884*0.005+0.01,"OK","Check")</f>
        <v>OK</v>
      </c>
      <c r="S884" s="3">
        <f t="shared" si="13"/>
        <v>1</v>
      </c>
    </row>
    <row r="885" spans="1:19">
      <c r="A885" s="1">
        <v>46082</v>
      </c>
      <c r="B885" t="s">
        <v>276</v>
      </c>
      <c r="C885" t="s">
        <v>217</v>
      </c>
      <c r="D885" t="s">
        <v>218</v>
      </c>
      <c r="E885" t="s">
        <v>219</v>
      </c>
      <c r="F885" t="s">
        <v>23</v>
      </c>
      <c r="G885">
        <v>148</v>
      </c>
      <c r="H885">
        <v>134</v>
      </c>
      <c r="I885">
        <v>47</v>
      </c>
      <c r="J885">
        <v>235</v>
      </c>
      <c r="K885">
        <v>67</v>
      </c>
      <c r="L885" t="b">
        <v>0</v>
      </c>
      <c r="M885">
        <v>18.940000000000001</v>
      </c>
      <c r="N885">
        <v>4449.78</v>
      </c>
      <c r="O885" t="s">
        <v>37</v>
      </c>
      <c r="P885" t="str">
        <f>IF(J885=G885+H885-I885,"OK","Check")</f>
        <v>OK</v>
      </c>
      <c r="Q885" t="str">
        <f>IF(AND(J885&lt;=K885,L885=TRUE),"OK",IF(AND(J885&gt;K885,L885=FALSE),"OK","Check"))</f>
        <v>OK</v>
      </c>
      <c r="R885" t="str">
        <f>IF(ABS(N885-J885*M885)&lt;=J885*0.005+0.01,"OK","Check")</f>
        <v>OK</v>
      </c>
      <c r="S885" s="3">
        <f t="shared" si="13"/>
        <v>1</v>
      </c>
    </row>
    <row r="886" spans="1:19">
      <c r="A886" s="1">
        <v>46082</v>
      </c>
      <c r="B886" t="s">
        <v>276</v>
      </c>
      <c r="C886" t="s">
        <v>220</v>
      </c>
      <c r="D886" t="s">
        <v>221</v>
      </c>
      <c r="E886" t="s">
        <v>219</v>
      </c>
      <c r="F886" t="s">
        <v>23</v>
      </c>
      <c r="G886">
        <v>82</v>
      </c>
      <c r="H886">
        <v>254</v>
      </c>
      <c r="I886">
        <v>105</v>
      </c>
      <c r="J886">
        <v>231</v>
      </c>
      <c r="K886">
        <v>165</v>
      </c>
      <c r="L886" t="b">
        <v>0</v>
      </c>
      <c r="M886">
        <v>85.69</v>
      </c>
      <c r="N886">
        <v>19795.509999999998</v>
      </c>
      <c r="O886" t="s">
        <v>60</v>
      </c>
      <c r="P886" t="str">
        <f>IF(J886=G886+H886-I886,"OK","Check")</f>
        <v>OK</v>
      </c>
      <c r="Q886" t="str">
        <f>IF(AND(J886&lt;=K886,L886=TRUE),"OK",IF(AND(J886&gt;K886,L886=FALSE),"OK","Check"))</f>
        <v>OK</v>
      </c>
      <c r="R886" t="str">
        <f>IF(ABS(N886-J886*M886)&lt;=J886*0.005+0.01,"OK","Check")</f>
        <v>OK</v>
      </c>
      <c r="S886" s="3">
        <f t="shared" si="13"/>
        <v>1</v>
      </c>
    </row>
    <row r="887" spans="1:19">
      <c r="A887" s="1">
        <v>46082</v>
      </c>
      <c r="B887" t="s">
        <v>276</v>
      </c>
      <c r="C887" t="s">
        <v>222</v>
      </c>
      <c r="D887" t="s">
        <v>223</v>
      </c>
      <c r="E887" t="s">
        <v>219</v>
      </c>
      <c r="F887" t="s">
        <v>23</v>
      </c>
      <c r="G887">
        <v>44</v>
      </c>
      <c r="H887">
        <v>0</v>
      </c>
      <c r="I887">
        <v>7</v>
      </c>
      <c r="J887">
        <v>37</v>
      </c>
      <c r="K887">
        <v>22</v>
      </c>
      <c r="L887" t="b">
        <v>0</v>
      </c>
      <c r="M887">
        <v>46.08</v>
      </c>
      <c r="N887">
        <v>1704.92</v>
      </c>
      <c r="O887" t="s">
        <v>37</v>
      </c>
      <c r="P887" t="str">
        <f>IF(J887=G887+H887-I887,"OK","Check")</f>
        <v>OK</v>
      </c>
      <c r="Q887" t="str">
        <f>IF(AND(J887&lt;=K887,L887=TRUE),"OK",IF(AND(J887&gt;K887,L887=FALSE),"OK","Check"))</f>
        <v>OK</v>
      </c>
      <c r="R887" t="str">
        <f>IF(ABS(N887-J887*M887)&lt;=J887*0.005+0.01,"OK","Check")</f>
        <v>OK</v>
      </c>
      <c r="S887" s="3">
        <f t="shared" si="13"/>
        <v>1</v>
      </c>
    </row>
    <row r="888" spans="1:19">
      <c r="A888" s="1">
        <v>46082</v>
      </c>
      <c r="B888" t="s">
        <v>276</v>
      </c>
      <c r="C888" t="s">
        <v>272</v>
      </c>
      <c r="D888" t="s">
        <v>273</v>
      </c>
      <c r="E888" t="s">
        <v>219</v>
      </c>
      <c r="F888" t="s">
        <v>23</v>
      </c>
      <c r="G888">
        <v>176</v>
      </c>
      <c r="H888">
        <v>321</v>
      </c>
      <c r="I888">
        <v>164</v>
      </c>
      <c r="J888">
        <v>333</v>
      </c>
      <c r="K888">
        <v>202</v>
      </c>
      <c r="L888" t="b">
        <v>0</v>
      </c>
      <c r="M888">
        <v>1869.38</v>
      </c>
      <c r="N888">
        <v>622503.73</v>
      </c>
      <c r="O888" t="s">
        <v>98</v>
      </c>
      <c r="P888" t="str">
        <f>IF(J888=G888+H888-I888,"OK","Check")</f>
        <v>OK</v>
      </c>
      <c r="Q888" t="str">
        <f>IF(AND(J888&lt;=K888,L888=TRUE),"OK",IF(AND(J888&gt;K888,L888=FALSE),"OK","Check"))</f>
        <v>OK</v>
      </c>
      <c r="R888" t="str">
        <f>IF(ABS(N888-J888*M888)&lt;=J888*0.005+0.01,"OK","Check")</f>
        <v>OK</v>
      </c>
      <c r="S888" s="3">
        <f t="shared" si="13"/>
        <v>1</v>
      </c>
    </row>
    <row r="889" spans="1:19">
      <c r="A889" s="1">
        <v>46082</v>
      </c>
      <c r="B889" t="s">
        <v>276</v>
      </c>
      <c r="C889" t="s">
        <v>228</v>
      </c>
      <c r="D889" t="s">
        <v>229</v>
      </c>
      <c r="E889" t="s">
        <v>219</v>
      </c>
      <c r="F889" t="s">
        <v>23</v>
      </c>
      <c r="G889">
        <v>224</v>
      </c>
      <c r="H889">
        <v>0</v>
      </c>
      <c r="I889">
        <v>58</v>
      </c>
      <c r="J889">
        <v>166</v>
      </c>
      <c r="K889">
        <v>80</v>
      </c>
      <c r="L889" t="b">
        <v>0</v>
      </c>
      <c r="M889">
        <v>45.11</v>
      </c>
      <c r="N889">
        <v>7488.09</v>
      </c>
      <c r="O889" t="s">
        <v>44</v>
      </c>
      <c r="P889" t="str">
        <f>IF(J889=G889+H889-I889,"OK","Check")</f>
        <v>OK</v>
      </c>
      <c r="Q889" t="str">
        <f>IF(AND(J889&lt;=K889,L889=TRUE),"OK",IF(AND(J889&gt;K889,L889=FALSE),"OK","Check"))</f>
        <v>OK</v>
      </c>
      <c r="R889" t="str">
        <f>IF(ABS(N889-J889*M889)&lt;=J889*0.005+0.01,"OK","Check")</f>
        <v>OK</v>
      </c>
      <c r="S889" s="3">
        <f t="shared" si="13"/>
        <v>1</v>
      </c>
    </row>
    <row r="890" spans="1:19">
      <c r="A890" s="1">
        <v>46082</v>
      </c>
      <c r="B890" t="s">
        <v>276</v>
      </c>
      <c r="C890" t="s">
        <v>230</v>
      </c>
      <c r="D890" t="s">
        <v>231</v>
      </c>
      <c r="E890" t="s">
        <v>219</v>
      </c>
      <c r="F890" t="s">
        <v>23</v>
      </c>
      <c r="G890">
        <v>125</v>
      </c>
      <c r="H890">
        <v>193</v>
      </c>
      <c r="I890">
        <v>64</v>
      </c>
      <c r="J890">
        <v>254</v>
      </c>
      <c r="K890">
        <v>112</v>
      </c>
      <c r="L890" t="b">
        <v>0</v>
      </c>
      <c r="M890">
        <v>213.77</v>
      </c>
      <c r="N890">
        <v>54297.36</v>
      </c>
      <c r="O890" t="s">
        <v>32</v>
      </c>
      <c r="P890" t="str">
        <f>IF(J890=G890+H890-I890,"OK","Check")</f>
        <v>OK</v>
      </c>
      <c r="Q890" t="str">
        <f>IF(AND(J890&lt;=K890,L890=TRUE),"OK",IF(AND(J890&gt;K890,L890=FALSE),"OK","Check"))</f>
        <v>OK</v>
      </c>
      <c r="R890" t="str">
        <f>IF(ABS(N890-J890*M890)&lt;=J890*0.005+0.01,"OK","Check")</f>
        <v>OK</v>
      </c>
      <c r="S890" s="3">
        <f t="shared" si="13"/>
        <v>1</v>
      </c>
    </row>
    <row r="891" spans="1:19">
      <c r="A891" s="1">
        <v>46082</v>
      </c>
      <c r="B891" t="s">
        <v>276</v>
      </c>
      <c r="C891" t="s">
        <v>232</v>
      </c>
      <c r="D891" t="s">
        <v>233</v>
      </c>
      <c r="E891" t="s">
        <v>219</v>
      </c>
      <c r="F891" t="s">
        <v>23</v>
      </c>
      <c r="G891">
        <v>292</v>
      </c>
      <c r="H891">
        <v>286</v>
      </c>
      <c r="I891">
        <v>76</v>
      </c>
      <c r="J891">
        <v>502</v>
      </c>
      <c r="K891">
        <v>130</v>
      </c>
      <c r="L891" t="b">
        <v>0</v>
      </c>
      <c r="M891">
        <v>162.41999999999999</v>
      </c>
      <c r="N891">
        <v>81534.36</v>
      </c>
      <c r="O891" t="s">
        <v>32</v>
      </c>
      <c r="P891" t="str">
        <f>IF(J891=G891+H891-I891,"OK","Check")</f>
        <v>OK</v>
      </c>
      <c r="Q891" t="str">
        <f>IF(AND(J891&lt;=K891,L891=TRUE),"OK",IF(AND(J891&gt;K891,L891=FALSE),"OK","Check"))</f>
        <v>OK</v>
      </c>
      <c r="R891" t="str">
        <f>IF(ABS(N891-J891*M891)&lt;=J891*0.005+0.01,"OK","Check")</f>
        <v>OK</v>
      </c>
      <c r="S891" s="3">
        <f t="shared" si="13"/>
        <v>1</v>
      </c>
    </row>
    <row r="892" spans="1:19">
      <c r="A892" s="1">
        <v>46082</v>
      </c>
      <c r="B892" t="s">
        <v>276</v>
      </c>
      <c r="C892" t="s">
        <v>257</v>
      </c>
      <c r="D892" t="s">
        <v>258</v>
      </c>
      <c r="E892" t="s">
        <v>219</v>
      </c>
      <c r="F892" t="s">
        <v>23</v>
      </c>
      <c r="G892">
        <v>15</v>
      </c>
      <c r="H892">
        <v>47</v>
      </c>
      <c r="I892">
        <v>12</v>
      </c>
      <c r="J892">
        <v>50</v>
      </c>
      <c r="K892">
        <v>20</v>
      </c>
      <c r="L892" t="b">
        <v>0</v>
      </c>
      <c r="M892">
        <v>807.6</v>
      </c>
      <c r="N892">
        <v>40380.230000000003</v>
      </c>
      <c r="O892" t="s">
        <v>47</v>
      </c>
      <c r="P892" t="str">
        <f>IF(J892=G892+H892-I892,"OK","Check")</f>
        <v>OK</v>
      </c>
      <c r="Q892" t="str">
        <f>IF(AND(J892&lt;=K892,L892=TRUE),"OK",IF(AND(J892&gt;K892,L892=FALSE),"OK","Check"))</f>
        <v>OK</v>
      </c>
      <c r="R892" t="str">
        <f>IF(ABS(N892-J892*M892)&lt;=J892*0.005+0.01,"OK","Check")</f>
        <v>OK</v>
      </c>
      <c r="S892" s="3">
        <f t="shared" si="13"/>
        <v>1</v>
      </c>
    </row>
    <row r="893" spans="1:19">
      <c r="A893" s="1">
        <v>46082</v>
      </c>
      <c r="B893" t="s">
        <v>276</v>
      </c>
      <c r="C893" t="s">
        <v>259</v>
      </c>
      <c r="D893" t="s">
        <v>260</v>
      </c>
      <c r="E893" t="s">
        <v>219</v>
      </c>
      <c r="F893" t="s">
        <v>23</v>
      </c>
      <c r="G893">
        <v>24</v>
      </c>
      <c r="H893">
        <v>48</v>
      </c>
      <c r="I893">
        <v>18</v>
      </c>
      <c r="J893">
        <v>54</v>
      </c>
      <c r="K893">
        <v>25</v>
      </c>
      <c r="L893" t="b">
        <v>0</v>
      </c>
      <c r="M893">
        <v>557.12</v>
      </c>
      <c r="N893">
        <v>30084.61</v>
      </c>
      <c r="O893" t="s">
        <v>60</v>
      </c>
      <c r="P893" t="str">
        <f>IF(J893=G893+H893-I893,"OK","Check")</f>
        <v>OK</v>
      </c>
      <c r="Q893" t="str">
        <f>IF(AND(J893&lt;=K893,L893=TRUE),"OK",IF(AND(J893&gt;K893,L893=FALSE),"OK","Check"))</f>
        <v>OK</v>
      </c>
      <c r="R893" t="str">
        <f>IF(ABS(N893-J893*M893)&lt;=J893*0.005+0.01,"OK","Check")</f>
        <v>OK</v>
      </c>
      <c r="S893" s="3">
        <f t="shared" si="13"/>
        <v>1</v>
      </c>
    </row>
    <row r="894" spans="1:19">
      <c r="A894" s="1">
        <v>46082</v>
      </c>
      <c r="B894" t="s">
        <v>276</v>
      </c>
      <c r="C894" t="s">
        <v>234</v>
      </c>
      <c r="D894" t="s">
        <v>235</v>
      </c>
      <c r="E894" t="s">
        <v>219</v>
      </c>
      <c r="F894" t="s">
        <v>23</v>
      </c>
      <c r="G894">
        <v>12</v>
      </c>
      <c r="H894">
        <v>644</v>
      </c>
      <c r="I894">
        <v>198</v>
      </c>
      <c r="J894">
        <v>458</v>
      </c>
      <c r="K894">
        <v>176</v>
      </c>
      <c r="L894" t="b">
        <v>0</v>
      </c>
      <c r="M894">
        <v>2242.11</v>
      </c>
      <c r="N894">
        <v>1026885.61</v>
      </c>
      <c r="O894" t="s">
        <v>47</v>
      </c>
      <c r="P894" t="str">
        <f>IF(J894=G894+H894-I894,"OK","Check")</f>
        <v>OK</v>
      </c>
      <c r="Q894" t="str">
        <f>IF(AND(J894&lt;=K894,L894=TRUE),"OK",IF(AND(J894&gt;K894,L894=FALSE),"OK","Check"))</f>
        <v>OK</v>
      </c>
      <c r="R894" t="str">
        <f>IF(ABS(N894-J894*M894)&lt;=J894*0.005+0.01,"OK","Check")</f>
        <v>OK</v>
      </c>
      <c r="S894" s="3">
        <f t="shared" si="13"/>
        <v>1</v>
      </c>
    </row>
    <row r="895" spans="1:19">
      <c r="A895" s="1">
        <v>46082</v>
      </c>
      <c r="B895" t="s">
        <v>276</v>
      </c>
      <c r="C895" t="s">
        <v>261</v>
      </c>
      <c r="D895" t="s">
        <v>262</v>
      </c>
      <c r="E895" t="s">
        <v>219</v>
      </c>
      <c r="F895" t="s">
        <v>23</v>
      </c>
      <c r="G895">
        <v>90</v>
      </c>
      <c r="H895">
        <v>0</v>
      </c>
      <c r="I895">
        <v>57</v>
      </c>
      <c r="J895">
        <v>33</v>
      </c>
      <c r="K895">
        <v>63</v>
      </c>
      <c r="L895" t="b">
        <v>1</v>
      </c>
      <c r="M895">
        <v>288.77</v>
      </c>
      <c r="N895">
        <v>9529.36</v>
      </c>
      <c r="O895" t="s">
        <v>60</v>
      </c>
      <c r="P895" t="str">
        <f>IF(J895=G895+H895-I895,"OK","Check")</f>
        <v>OK</v>
      </c>
      <c r="Q895" t="str">
        <f>IF(AND(J895&lt;=K895,L895=TRUE),"OK",IF(AND(J895&gt;K895,L895=FALSE),"OK","Check"))</f>
        <v>OK</v>
      </c>
      <c r="R895" t="str">
        <f>IF(ABS(N895-J895*M895)&lt;=J895*0.005+0.01,"OK","Check")</f>
        <v>OK</v>
      </c>
      <c r="S895" s="3">
        <f t="shared" si="13"/>
        <v>1</v>
      </c>
    </row>
    <row r="896" spans="1:19">
      <c r="A896" s="1">
        <v>46082</v>
      </c>
      <c r="B896" t="s">
        <v>276</v>
      </c>
      <c r="C896" t="s">
        <v>277</v>
      </c>
      <c r="D896" t="s">
        <v>278</v>
      </c>
      <c r="E896" t="s">
        <v>219</v>
      </c>
      <c r="F896" t="s">
        <v>23</v>
      </c>
      <c r="G896">
        <v>119</v>
      </c>
      <c r="H896">
        <v>274</v>
      </c>
      <c r="I896">
        <v>121</v>
      </c>
      <c r="J896">
        <v>272</v>
      </c>
      <c r="K896">
        <v>102</v>
      </c>
      <c r="L896" t="b">
        <v>0</v>
      </c>
      <c r="M896">
        <v>1407.23</v>
      </c>
      <c r="N896">
        <v>382765.51</v>
      </c>
      <c r="O896" t="s">
        <v>44</v>
      </c>
      <c r="P896" t="str">
        <f>IF(J896=G896+H896-I896,"OK","Check")</f>
        <v>OK</v>
      </c>
      <c r="Q896" t="str">
        <f>IF(AND(J896&lt;=K896,L896=TRUE),"OK",IF(AND(J896&gt;K896,L896=FALSE),"OK","Check"))</f>
        <v>OK</v>
      </c>
      <c r="R896" t="str">
        <f>IF(ABS(N896-J896*M896)&lt;=J896*0.005+0.01,"OK","Check")</f>
        <v>OK</v>
      </c>
      <c r="S896" s="3">
        <f t="shared" si="13"/>
        <v>1</v>
      </c>
    </row>
    <row r="897" spans="1:19">
      <c r="A897" s="1">
        <v>46082</v>
      </c>
      <c r="B897" t="s">
        <v>276</v>
      </c>
      <c r="C897" t="s">
        <v>236</v>
      </c>
      <c r="D897" t="s">
        <v>237</v>
      </c>
      <c r="E897" t="s">
        <v>219</v>
      </c>
      <c r="F897" t="s">
        <v>23</v>
      </c>
      <c r="G897">
        <v>203</v>
      </c>
      <c r="H897">
        <v>452</v>
      </c>
      <c r="I897">
        <v>241</v>
      </c>
      <c r="J897">
        <v>414</v>
      </c>
      <c r="K897">
        <v>208</v>
      </c>
      <c r="L897" t="b">
        <v>0</v>
      </c>
      <c r="M897">
        <v>1084.01</v>
      </c>
      <c r="N897">
        <v>448779.72</v>
      </c>
      <c r="O897" t="s">
        <v>98</v>
      </c>
      <c r="P897" t="str">
        <f>IF(J897=G897+H897-I897,"OK","Check")</f>
        <v>OK</v>
      </c>
      <c r="Q897" t="str">
        <f>IF(AND(J897&lt;=K897,L897=TRUE),"OK",IF(AND(J897&gt;K897,L897=FALSE),"OK","Check"))</f>
        <v>OK</v>
      </c>
      <c r="R897" t="str">
        <f>IF(ABS(N897-J897*M897)&lt;=J897*0.005+0.01,"OK","Check")</f>
        <v>OK</v>
      </c>
      <c r="S897" s="3">
        <f t="shared" si="13"/>
        <v>1</v>
      </c>
    </row>
    <row r="898" spans="1:19">
      <c r="A898" s="1">
        <v>46082</v>
      </c>
      <c r="B898" t="s">
        <v>276</v>
      </c>
      <c r="C898" t="s">
        <v>263</v>
      </c>
      <c r="D898" t="s">
        <v>264</v>
      </c>
      <c r="E898" t="s">
        <v>219</v>
      </c>
      <c r="F898" t="s">
        <v>23</v>
      </c>
      <c r="G898">
        <v>745</v>
      </c>
      <c r="H898">
        <v>0</v>
      </c>
      <c r="I898">
        <v>127</v>
      </c>
      <c r="J898">
        <v>618</v>
      </c>
      <c r="K898">
        <v>208</v>
      </c>
      <c r="L898" t="b">
        <v>0</v>
      </c>
      <c r="M898">
        <v>32.270000000000003</v>
      </c>
      <c r="N898">
        <v>19944.14</v>
      </c>
      <c r="O898" t="s">
        <v>27</v>
      </c>
      <c r="P898" t="str">
        <f>IF(J898=G898+H898-I898,"OK","Check")</f>
        <v>OK</v>
      </c>
      <c r="Q898" t="str">
        <f>IF(AND(J898&lt;=K898,L898=TRUE),"OK",IF(AND(J898&gt;K898,L898=FALSE),"OK","Check"))</f>
        <v>OK</v>
      </c>
      <c r="R898" t="str">
        <f>IF(ABS(N898-J898*M898)&lt;=J898*0.005+0.01,"OK","Check")</f>
        <v>OK</v>
      </c>
      <c r="S898" s="3">
        <f t="shared" ref="S898:S961" si="14">COUNTIFS(A:A,A898,B:B,B898,C:C,C898)</f>
        <v>1</v>
      </c>
    </row>
    <row r="899" spans="1:19">
      <c r="A899" s="1">
        <v>46082</v>
      </c>
      <c r="B899" t="s">
        <v>276</v>
      </c>
      <c r="C899" t="s">
        <v>238</v>
      </c>
      <c r="D899" t="s">
        <v>239</v>
      </c>
      <c r="E899" t="s">
        <v>219</v>
      </c>
      <c r="F899" t="s">
        <v>23</v>
      </c>
      <c r="G899">
        <v>313</v>
      </c>
      <c r="H899">
        <v>0</v>
      </c>
      <c r="I899">
        <v>79</v>
      </c>
      <c r="J899">
        <v>234</v>
      </c>
      <c r="K899">
        <v>110</v>
      </c>
      <c r="L899" t="b">
        <v>0</v>
      </c>
      <c r="M899">
        <v>146.78</v>
      </c>
      <c r="N899">
        <v>34346.21</v>
      </c>
      <c r="O899" t="s">
        <v>32</v>
      </c>
      <c r="P899" t="str">
        <f>IF(J899=G899+H899-I899,"OK","Check")</f>
        <v>OK</v>
      </c>
      <c r="Q899" t="str">
        <f>IF(AND(J899&lt;=K899,L899=TRUE),"OK",IF(AND(J899&gt;K899,L899=FALSE),"OK","Check"))</f>
        <v>OK</v>
      </c>
      <c r="R899" t="str">
        <f>IF(ABS(N899-J899*M899)&lt;=J899*0.005+0.01,"OK","Check")</f>
        <v>OK</v>
      </c>
      <c r="S899" s="3">
        <f t="shared" si="14"/>
        <v>1</v>
      </c>
    </row>
    <row r="900" spans="1:19">
      <c r="A900" s="1">
        <v>46082</v>
      </c>
      <c r="B900" t="s">
        <v>276</v>
      </c>
      <c r="C900" t="s">
        <v>240</v>
      </c>
      <c r="D900" t="s">
        <v>241</v>
      </c>
      <c r="E900" t="s">
        <v>219</v>
      </c>
      <c r="F900" t="s">
        <v>23</v>
      </c>
      <c r="G900">
        <v>59</v>
      </c>
      <c r="H900">
        <v>121</v>
      </c>
      <c r="I900">
        <v>56</v>
      </c>
      <c r="J900">
        <v>124</v>
      </c>
      <c r="K900">
        <v>57</v>
      </c>
      <c r="L900" t="b">
        <v>0</v>
      </c>
      <c r="M900">
        <v>63.8</v>
      </c>
      <c r="N900">
        <v>7911.52</v>
      </c>
      <c r="O900" t="s">
        <v>27</v>
      </c>
      <c r="P900" t="str">
        <f>IF(J900=G900+H900-I900,"OK","Check")</f>
        <v>OK</v>
      </c>
      <c r="Q900" t="str">
        <f>IF(AND(J900&lt;=K900,L900=TRUE),"OK",IF(AND(J900&gt;K900,L900=FALSE),"OK","Check"))</f>
        <v>OK</v>
      </c>
      <c r="R900" t="str">
        <f>IF(ABS(N900-J900*M900)&lt;=J900*0.005+0.01,"OK","Check")</f>
        <v>OK</v>
      </c>
      <c r="S900" s="3">
        <f t="shared" si="14"/>
        <v>1</v>
      </c>
    </row>
    <row r="901" spans="1:19">
      <c r="A901" s="1">
        <v>46082</v>
      </c>
      <c r="B901" t="s">
        <v>276</v>
      </c>
      <c r="C901" t="s">
        <v>242</v>
      </c>
      <c r="D901" t="s">
        <v>243</v>
      </c>
      <c r="E901" t="s">
        <v>219</v>
      </c>
      <c r="F901" t="s">
        <v>23</v>
      </c>
      <c r="G901">
        <v>293</v>
      </c>
      <c r="H901">
        <v>283</v>
      </c>
      <c r="I901">
        <v>150</v>
      </c>
      <c r="J901">
        <v>426</v>
      </c>
      <c r="K901">
        <v>183</v>
      </c>
      <c r="L901" t="b">
        <v>0</v>
      </c>
      <c r="M901">
        <v>278.29000000000002</v>
      </c>
      <c r="N901">
        <v>118551.44</v>
      </c>
      <c r="O901" t="s">
        <v>60</v>
      </c>
      <c r="P901" t="str">
        <f>IF(J901=G901+H901-I901,"OK","Check")</f>
        <v>OK</v>
      </c>
      <c r="Q901" t="str">
        <f>IF(AND(J901&lt;=K901,L901=TRUE),"OK",IF(AND(J901&gt;K901,L901=FALSE),"OK","Check"))</f>
        <v>OK</v>
      </c>
      <c r="R901" t="str">
        <f>IF(ABS(N901-J901*M901)&lt;=J901*0.005+0.01,"OK","Check")</f>
        <v>OK</v>
      </c>
      <c r="S901" s="3">
        <f t="shared" si="14"/>
        <v>1</v>
      </c>
    </row>
    <row r="902" spans="1:19">
      <c r="A902" s="1">
        <v>46082</v>
      </c>
      <c r="B902" t="s">
        <v>279</v>
      </c>
      <c r="C902" t="s">
        <v>20</v>
      </c>
      <c r="D902" t="s">
        <v>21</v>
      </c>
      <c r="E902" t="s">
        <v>22</v>
      </c>
      <c r="F902" t="s">
        <v>23</v>
      </c>
      <c r="G902">
        <v>39</v>
      </c>
      <c r="H902">
        <v>0</v>
      </c>
      <c r="I902">
        <v>27</v>
      </c>
      <c r="J902">
        <v>12</v>
      </c>
      <c r="K902">
        <v>22</v>
      </c>
      <c r="L902" t="b">
        <v>1</v>
      </c>
      <c r="M902">
        <v>282.83999999999997</v>
      </c>
      <c r="N902">
        <v>3394.09</v>
      </c>
      <c r="O902" t="s">
        <v>24</v>
      </c>
      <c r="P902" t="str">
        <f>IF(J902=G902+H902-I902,"OK","Check")</f>
        <v>OK</v>
      </c>
      <c r="Q902" t="str">
        <f>IF(AND(J902&lt;=K902,L902=TRUE),"OK",IF(AND(J902&gt;K902,L902=FALSE),"OK","Check"))</f>
        <v>OK</v>
      </c>
      <c r="R902" t="str">
        <f>IF(ABS(N902-J902*M902)&lt;=J902*0.005+0.01,"OK","Check")</f>
        <v>OK</v>
      </c>
      <c r="S902" s="3">
        <f t="shared" si="14"/>
        <v>1</v>
      </c>
    </row>
    <row r="903" spans="1:19">
      <c r="A903" s="1">
        <v>46082</v>
      </c>
      <c r="B903" t="s">
        <v>279</v>
      </c>
      <c r="C903" t="s">
        <v>25</v>
      </c>
      <c r="D903" t="s">
        <v>26</v>
      </c>
      <c r="E903" t="s">
        <v>22</v>
      </c>
      <c r="F903" t="s">
        <v>23</v>
      </c>
      <c r="G903">
        <v>0</v>
      </c>
      <c r="H903">
        <v>269</v>
      </c>
      <c r="I903">
        <v>137</v>
      </c>
      <c r="J903">
        <v>132</v>
      </c>
      <c r="K903">
        <v>93</v>
      </c>
      <c r="L903" t="b">
        <v>0</v>
      </c>
      <c r="M903">
        <v>1311.06</v>
      </c>
      <c r="N903">
        <v>173059.8</v>
      </c>
      <c r="O903" t="s">
        <v>27</v>
      </c>
      <c r="P903" t="str">
        <f>IF(J903=G903+H903-I903,"OK","Check")</f>
        <v>OK</v>
      </c>
      <c r="Q903" t="str">
        <f>IF(AND(J903&lt;=K903,L903=TRUE),"OK",IF(AND(J903&gt;K903,L903=FALSE),"OK","Check"))</f>
        <v>OK</v>
      </c>
      <c r="R903" t="str">
        <f>IF(ABS(N903-J903*M903)&lt;=J903*0.005+0.01,"OK","Check")</f>
        <v>OK</v>
      </c>
      <c r="S903" s="3">
        <f t="shared" si="14"/>
        <v>1</v>
      </c>
    </row>
    <row r="904" spans="1:19">
      <c r="A904" s="1">
        <v>46082</v>
      </c>
      <c r="B904" t="s">
        <v>279</v>
      </c>
      <c r="C904" t="s">
        <v>28</v>
      </c>
      <c r="D904" t="s">
        <v>29</v>
      </c>
      <c r="E904" t="s">
        <v>22</v>
      </c>
      <c r="F904" t="s">
        <v>23</v>
      </c>
      <c r="G904">
        <v>635</v>
      </c>
      <c r="H904">
        <v>0</v>
      </c>
      <c r="I904">
        <v>229</v>
      </c>
      <c r="J904">
        <v>406</v>
      </c>
      <c r="K904">
        <v>238</v>
      </c>
      <c r="L904" t="b">
        <v>0</v>
      </c>
      <c r="M904">
        <v>98.36</v>
      </c>
      <c r="N904">
        <v>39935.11</v>
      </c>
      <c r="O904" t="s">
        <v>24</v>
      </c>
      <c r="P904" t="str">
        <f>IF(J904=G904+H904-I904,"OK","Check")</f>
        <v>OK</v>
      </c>
      <c r="Q904" t="str">
        <f>IF(AND(J904&lt;=K904,L904=TRUE),"OK",IF(AND(J904&gt;K904,L904=FALSE),"OK","Check"))</f>
        <v>OK</v>
      </c>
      <c r="R904" t="str">
        <f>IF(ABS(N904-J904*M904)&lt;=J904*0.005+0.01,"OK","Check")</f>
        <v>OK</v>
      </c>
      <c r="S904" s="3">
        <f t="shared" si="14"/>
        <v>1</v>
      </c>
    </row>
    <row r="905" spans="1:19">
      <c r="A905" s="1">
        <v>46082</v>
      </c>
      <c r="B905" t="s">
        <v>279</v>
      </c>
      <c r="C905" t="s">
        <v>30</v>
      </c>
      <c r="D905" t="s">
        <v>31</v>
      </c>
      <c r="E905" t="s">
        <v>22</v>
      </c>
      <c r="F905" t="s">
        <v>23</v>
      </c>
      <c r="G905">
        <v>94</v>
      </c>
      <c r="H905">
        <v>168</v>
      </c>
      <c r="I905">
        <v>41</v>
      </c>
      <c r="J905">
        <v>221</v>
      </c>
      <c r="K905">
        <v>117</v>
      </c>
      <c r="L905" t="b">
        <v>0</v>
      </c>
      <c r="M905">
        <v>435.24</v>
      </c>
      <c r="N905">
        <v>96187.64</v>
      </c>
      <c r="O905" t="s">
        <v>32</v>
      </c>
      <c r="P905" t="str">
        <f>IF(J905=G905+H905-I905,"OK","Check")</f>
        <v>OK</v>
      </c>
      <c r="Q905" t="str">
        <f>IF(AND(J905&lt;=K905,L905=TRUE),"OK",IF(AND(J905&gt;K905,L905=FALSE),"OK","Check"))</f>
        <v>OK</v>
      </c>
      <c r="R905" t="str">
        <f>IF(ABS(N905-J905*M905)&lt;=J905*0.005+0.01,"OK","Check")</f>
        <v>OK</v>
      </c>
      <c r="S905" s="3">
        <f t="shared" si="14"/>
        <v>1</v>
      </c>
    </row>
    <row r="906" spans="1:19">
      <c r="A906" s="1">
        <v>46082</v>
      </c>
      <c r="B906" t="s">
        <v>279</v>
      </c>
      <c r="C906" t="s">
        <v>33</v>
      </c>
      <c r="D906" t="s">
        <v>34</v>
      </c>
      <c r="E906" t="s">
        <v>22</v>
      </c>
      <c r="F906" t="s">
        <v>23</v>
      </c>
      <c r="G906">
        <v>377</v>
      </c>
      <c r="H906">
        <v>0</v>
      </c>
      <c r="I906">
        <v>187</v>
      </c>
      <c r="J906">
        <v>190</v>
      </c>
      <c r="K906">
        <v>173</v>
      </c>
      <c r="L906" t="b">
        <v>0</v>
      </c>
      <c r="M906">
        <v>112.34</v>
      </c>
      <c r="N906">
        <v>21345.18</v>
      </c>
      <c r="O906" t="s">
        <v>24</v>
      </c>
      <c r="P906" t="str">
        <f>IF(J906=G906+H906-I906,"OK","Check")</f>
        <v>OK</v>
      </c>
      <c r="Q906" t="str">
        <f>IF(AND(J906&lt;=K906,L906=TRUE),"OK",IF(AND(J906&gt;K906,L906=FALSE),"OK","Check"))</f>
        <v>OK</v>
      </c>
      <c r="R906" t="str">
        <f>IF(ABS(N906-J906*M906)&lt;=J906*0.005+0.01,"OK","Check")</f>
        <v>OK</v>
      </c>
      <c r="S906" s="3">
        <f t="shared" si="14"/>
        <v>1</v>
      </c>
    </row>
    <row r="907" spans="1:19">
      <c r="A907" s="1">
        <v>46082</v>
      </c>
      <c r="B907" t="s">
        <v>279</v>
      </c>
      <c r="C907" t="s">
        <v>35</v>
      </c>
      <c r="D907" t="s">
        <v>36</v>
      </c>
      <c r="E907" t="s">
        <v>22</v>
      </c>
      <c r="F907" t="s">
        <v>23</v>
      </c>
      <c r="G907">
        <v>260</v>
      </c>
      <c r="H907">
        <v>0</v>
      </c>
      <c r="I907">
        <v>79</v>
      </c>
      <c r="J907">
        <v>181</v>
      </c>
      <c r="K907">
        <v>89</v>
      </c>
      <c r="L907" t="b">
        <v>0</v>
      </c>
      <c r="M907">
        <v>596.49</v>
      </c>
      <c r="N907">
        <v>107965</v>
      </c>
      <c r="O907" t="s">
        <v>37</v>
      </c>
      <c r="P907" t="str">
        <f>IF(J907=G907+H907-I907,"OK","Check")</f>
        <v>OK</v>
      </c>
      <c r="Q907" t="str">
        <f>IF(AND(J907&lt;=K907,L907=TRUE),"OK",IF(AND(J907&gt;K907,L907=FALSE),"OK","Check"))</f>
        <v>OK</v>
      </c>
      <c r="R907" t="str">
        <f>IF(ABS(N907-J907*M907)&lt;=J907*0.005+0.01,"OK","Check")</f>
        <v>OK</v>
      </c>
      <c r="S907" s="3">
        <f t="shared" si="14"/>
        <v>1</v>
      </c>
    </row>
    <row r="908" spans="1:19">
      <c r="A908" s="1">
        <v>46082</v>
      </c>
      <c r="B908" t="s">
        <v>279</v>
      </c>
      <c r="C908" t="s">
        <v>38</v>
      </c>
      <c r="D908" t="s">
        <v>39</v>
      </c>
      <c r="E908" t="s">
        <v>22</v>
      </c>
      <c r="F908" t="s">
        <v>23</v>
      </c>
      <c r="G908">
        <v>252</v>
      </c>
      <c r="H908">
        <v>0</v>
      </c>
      <c r="I908">
        <v>73</v>
      </c>
      <c r="J908">
        <v>179</v>
      </c>
      <c r="K908">
        <v>110</v>
      </c>
      <c r="L908" t="b">
        <v>0</v>
      </c>
      <c r="M908">
        <v>82.77</v>
      </c>
      <c r="N908">
        <v>14816.25</v>
      </c>
      <c r="O908" t="s">
        <v>24</v>
      </c>
      <c r="P908" t="str">
        <f>IF(J908=G908+H908-I908,"OK","Check")</f>
        <v>OK</v>
      </c>
      <c r="Q908" t="str">
        <f>IF(AND(J908&lt;=K908,L908=TRUE),"OK",IF(AND(J908&gt;K908,L908=FALSE),"OK","Check"))</f>
        <v>OK</v>
      </c>
      <c r="R908" t="str">
        <f>IF(ABS(N908-J908*M908)&lt;=J908*0.005+0.01,"OK","Check")</f>
        <v>OK</v>
      </c>
      <c r="S908" s="3">
        <f t="shared" si="14"/>
        <v>1</v>
      </c>
    </row>
    <row r="909" spans="1:19">
      <c r="A909" s="1">
        <v>46082</v>
      </c>
      <c r="B909" t="s">
        <v>279</v>
      </c>
      <c r="C909" t="s">
        <v>40</v>
      </c>
      <c r="D909" t="s">
        <v>41</v>
      </c>
      <c r="E909" t="s">
        <v>22</v>
      </c>
      <c r="F909" t="s">
        <v>23</v>
      </c>
      <c r="G909">
        <v>339</v>
      </c>
      <c r="H909">
        <v>0</v>
      </c>
      <c r="I909">
        <v>142</v>
      </c>
      <c r="J909">
        <v>197</v>
      </c>
      <c r="K909">
        <v>188</v>
      </c>
      <c r="L909" t="b">
        <v>0</v>
      </c>
      <c r="M909">
        <v>315.36</v>
      </c>
      <c r="N909">
        <v>62125.45</v>
      </c>
      <c r="O909" t="s">
        <v>24</v>
      </c>
      <c r="P909" t="str">
        <f>IF(J909=G909+H909-I909,"OK","Check")</f>
        <v>OK</v>
      </c>
      <c r="Q909" t="str">
        <f>IF(AND(J909&lt;=K909,L909=TRUE),"OK",IF(AND(J909&gt;K909,L909=FALSE),"OK","Check"))</f>
        <v>OK</v>
      </c>
      <c r="R909" t="str">
        <f>IF(ABS(N909-J909*M909)&lt;=J909*0.005+0.01,"OK","Check")</f>
        <v>OK</v>
      </c>
      <c r="S909" s="3">
        <f t="shared" si="14"/>
        <v>1</v>
      </c>
    </row>
    <row r="910" spans="1:19">
      <c r="A910" s="1">
        <v>46082</v>
      </c>
      <c r="B910" t="s">
        <v>279</v>
      </c>
      <c r="C910" t="s">
        <v>42</v>
      </c>
      <c r="D910" t="s">
        <v>43</v>
      </c>
      <c r="E910" t="s">
        <v>22</v>
      </c>
      <c r="F910" t="s">
        <v>23</v>
      </c>
      <c r="G910">
        <v>94</v>
      </c>
      <c r="H910">
        <v>327</v>
      </c>
      <c r="I910">
        <v>116</v>
      </c>
      <c r="J910">
        <v>305</v>
      </c>
      <c r="K910">
        <v>145</v>
      </c>
      <c r="L910" t="b">
        <v>0</v>
      </c>
      <c r="M910">
        <v>169.25</v>
      </c>
      <c r="N910">
        <v>51620.71</v>
      </c>
      <c r="O910" t="s">
        <v>44</v>
      </c>
      <c r="P910" t="str">
        <f>IF(J910=G910+H910-I910,"OK","Check")</f>
        <v>OK</v>
      </c>
      <c r="Q910" t="str">
        <f>IF(AND(J910&lt;=K910,L910=TRUE),"OK",IF(AND(J910&gt;K910,L910=FALSE),"OK","Check"))</f>
        <v>OK</v>
      </c>
      <c r="R910" t="str">
        <f>IF(ABS(N910-J910*M910)&lt;=J910*0.005+0.01,"OK","Check")</f>
        <v>OK</v>
      </c>
      <c r="S910" s="3">
        <f t="shared" si="14"/>
        <v>1</v>
      </c>
    </row>
    <row r="911" spans="1:19">
      <c r="A911" s="1">
        <v>46082</v>
      </c>
      <c r="B911" t="s">
        <v>279</v>
      </c>
      <c r="C911" t="s">
        <v>45</v>
      </c>
      <c r="D911" t="s">
        <v>46</v>
      </c>
      <c r="E911" t="s">
        <v>22</v>
      </c>
      <c r="F911" t="s">
        <v>23</v>
      </c>
      <c r="G911">
        <v>346</v>
      </c>
      <c r="H911">
        <v>0</v>
      </c>
      <c r="I911">
        <v>231</v>
      </c>
      <c r="J911">
        <v>115</v>
      </c>
      <c r="K911">
        <v>227</v>
      </c>
      <c r="L911" t="b">
        <v>1</v>
      </c>
      <c r="M911">
        <v>666.8</v>
      </c>
      <c r="N911">
        <v>76681.95</v>
      </c>
      <c r="O911" t="s">
        <v>47</v>
      </c>
      <c r="P911" t="str">
        <f>IF(J911=G911+H911-I911,"OK","Check")</f>
        <v>OK</v>
      </c>
      <c r="Q911" t="str">
        <f>IF(AND(J911&lt;=K911,L911=TRUE),"OK",IF(AND(J911&gt;K911,L911=FALSE),"OK","Check"))</f>
        <v>OK</v>
      </c>
      <c r="R911" t="str">
        <f>IF(ABS(N911-J911*M911)&lt;=J911*0.005+0.01,"OK","Check")</f>
        <v>OK</v>
      </c>
      <c r="S911" s="3">
        <f t="shared" si="14"/>
        <v>1</v>
      </c>
    </row>
    <row r="912" spans="1:19">
      <c r="A912" s="1">
        <v>46082</v>
      </c>
      <c r="B912" t="s">
        <v>279</v>
      </c>
      <c r="C912" t="s">
        <v>50</v>
      </c>
      <c r="D912" t="s">
        <v>51</v>
      </c>
      <c r="E912" t="s">
        <v>22</v>
      </c>
      <c r="F912" t="s">
        <v>23</v>
      </c>
      <c r="G912">
        <v>64</v>
      </c>
      <c r="H912">
        <v>222</v>
      </c>
      <c r="I912">
        <v>54</v>
      </c>
      <c r="J912">
        <v>232</v>
      </c>
      <c r="K912">
        <v>106</v>
      </c>
      <c r="L912" t="b">
        <v>0</v>
      </c>
      <c r="M912">
        <v>269.44</v>
      </c>
      <c r="N912">
        <v>62510.91</v>
      </c>
      <c r="O912" t="s">
        <v>24</v>
      </c>
      <c r="P912" t="str">
        <f>IF(J912=G912+H912-I912,"OK","Check")</f>
        <v>OK</v>
      </c>
      <c r="Q912" t="str">
        <f>IF(AND(J912&lt;=K912,L912=TRUE),"OK",IF(AND(J912&gt;K912,L912=FALSE),"OK","Check"))</f>
        <v>OK</v>
      </c>
      <c r="R912" t="str">
        <f>IF(ABS(N912-J912*M912)&lt;=J912*0.005+0.01,"OK","Check")</f>
        <v>OK</v>
      </c>
      <c r="S912" s="3">
        <f t="shared" si="14"/>
        <v>1</v>
      </c>
    </row>
    <row r="913" spans="1:19">
      <c r="A913" s="1">
        <v>46082</v>
      </c>
      <c r="B913" t="s">
        <v>279</v>
      </c>
      <c r="C913" t="s">
        <v>52</v>
      </c>
      <c r="D913" t="s">
        <v>53</v>
      </c>
      <c r="E913" t="s">
        <v>22</v>
      </c>
      <c r="F913" t="s">
        <v>23</v>
      </c>
      <c r="G913">
        <v>199</v>
      </c>
      <c r="H913">
        <v>563</v>
      </c>
      <c r="I913">
        <v>197</v>
      </c>
      <c r="J913">
        <v>565</v>
      </c>
      <c r="K913">
        <v>229</v>
      </c>
      <c r="L913" t="b">
        <v>0</v>
      </c>
      <c r="M913">
        <v>56.86</v>
      </c>
      <c r="N913">
        <v>32125.27</v>
      </c>
      <c r="O913" t="s">
        <v>47</v>
      </c>
      <c r="P913" t="str">
        <f>IF(J913=G913+H913-I913,"OK","Check")</f>
        <v>OK</v>
      </c>
      <c r="Q913" t="str">
        <f>IF(AND(J913&lt;=K913,L913=TRUE),"OK",IF(AND(J913&gt;K913,L913=FALSE),"OK","Check"))</f>
        <v>OK</v>
      </c>
      <c r="R913" t="str">
        <f>IF(ABS(N913-J913*M913)&lt;=J913*0.005+0.01,"OK","Check")</f>
        <v>OK</v>
      </c>
      <c r="S913" s="3">
        <f t="shared" si="14"/>
        <v>1</v>
      </c>
    </row>
    <row r="914" spans="1:19">
      <c r="A914" s="1">
        <v>46082</v>
      </c>
      <c r="B914" t="s">
        <v>279</v>
      </c>
      <c r="C914" t="s">
        <v>54</v>
      </c>
      <c r="D914" t="s">
        <v>55</v>
      </c>
      <c r="E914" t="s">
        <v>22</v>
      </c>
      <c r="F914" t="s">
        <v>23</v>
      </c>
      <c r="G914">
        <v>45</v>
      </c>
      <c r="H914">
        <v>107</v>
      </c>
      <c r="I914">
        <v>51</v>
      </c>
      <c r="J914">
        <v>101</v>
      </c>
      <c r="K914">
        <v>40</v>
      </c>
      <c r="L914" t="b">
        <v>0</v>
      </c>
      <c r="M914">
        <v>264.92</v>
      </c>
      <c r="N914">
        <v>26756.799999999999</v>
      </c>
      <c r="O914" t="s">
        <v>44</v>
      </c>
      <c r="P914" t="str">
        <f>IF(J914=G914+H914-I914,"OK","Check")</f>
        <v>OK</v>
      </c>
      <c r="Q914" t="str">
        <f>IF(AND(J914&lt;=K914,L914=TRUE),"OK",IF(AND(J914&gt;K914,L914=FALSE),"OK","Check"))</f>
        <v>OK</v>
      </c>
      <c r="R914" t="str">
        <f>IF(ABS(N914-J914*M914)&lt;=J914*0.005+0.01,"OK","Check")</f>
        <v>OK</v>
      </c>
      <c r="S914" s="3">
        <f t="shared" si="14"/>
        <v>1</v>
      </c>
    </row>
    <row r="915" spans="1:19">
      <c r="A915" s="1">
        <v>46082</v>
      </c>
      <c r="B915" t="s">
        <v>279</v>
      </c>
      <c r="C915" t="s">
        <v>56</v>
      </c>
      <c r="D915" t="s">
        <v>57</v>
      </c>
      <c r="E915" t="s">
        <v>22</v>
      </c>
      <c r="F915" t="s">
        <v>23</v>
      </c>
      <c r="G915">
        <v>52</v>
      </c>
      <c r="H915">
        <v>0</v>
      </c>
      <c r="I915">
        <v>33</v>
      </c>
      <c r="J915">
        <v>19</v>
      </c>
      <c r="K915">
        <v>28</v>
      </c>
      <c r="L915" t="b">
        <v>1</v>
      </c>
      <c r="M915">
        <v>465.11</v>
      </c>
      <c r="N915">
        <v>8837.09</v>
      </c>
      <c r="O915" t="s">
        <v>24</v>
      </c>
      <c r="P915" t="str">
        <f>IF(J915=G915+H915-I915,"OK","Check")</f>
        <v>OK</v>
      </c>
      <c r="Q915" t="str">
        <f>IF(AND(J915&lt;=K915,L915=TRUE),"OK",IF(AND(J915&gt;K915,L915=FALSE),"OK","Check"))</f>
        <v>OK</v>
      </c>
      <c r="R915" t="str">
        <f>IF(ABS(N915-J915*M915)&lt;=J915*0.005+0.01,"OK","Check")</f>
        <v>OK</v>
      </c>
      <c r="S915" s="3">
        <f t="shared" si="14"/>
        <v>1</v>
      </c>
    </row>
    <row r="916" spans="1:19">
      <c r="A916" s="1">
        <v>46082</v>
      </c>
      <c r="B916" t="s">
        <v>279</v>
      </c>
      <c r="C916" t="s">
        <v>58</v>
      </c>
      <c r="D916" t="s">
        <v>59</v>
      </c>
      <c r="E916" t="s">
        <v>22</v>
      </c>
      <c r="F916" t="s">
        <v>23</v>
      </c>
      <c r="G916">
        <v>476</v>
      </c>
      <c r="H916">
        <v>0</v>
      </c>
      <c r="I916">
        <v>256</v>
      </c>
      <c r="J916">
        <v>220</v>
      </c>
      <c r="K916">
        <v>170</v>
      </c>
      <c r="L916" t="b">
        <v>0</v>
      </c>
      <c r="M916">
        <v>1884.37</v>
      </c>
      <c r="N916">
        <v>414561.49</v>
      </c>
      <c r="O916" t="s">
        <v>60</v>
      </c>
      <c r="P916" t="str">
        <f>IF(J916=G916+H916-I916,"OK","Check")</f>
        <v>OK</v>
      </c>
      <c r="Q916" t="str">
        <f>IF(AND(J916&lt;=K916,L916=TRUE),"OK",IF(AND(J916&gt;K916,L916=FALSE),"OK","Check"))</f>
        <v>OK</v>
      </c>
      <c r="R916" t="str">
        <f>IF(ABS(N916-J916*M916)&lt;=J916*0.005+0.01,"OK","Check")</f>
        <v>OK</v>
      </c>
      <c r="S916" s="3">
        <f t="shared" si="14"/>
        <v>1</v>
      </c>
    </row>
    <row r="917" spans="1:19">
      <c r="A917" s="1">
        <v>46082</v>
      </c>
      <c r="B917" t="s">
        <v>279</v>
      </c>
      <c r="C917" t="s">
        <v>61</v>
      </c>
      <c r="D917" t="s">
        <v>62</v>
      </c>
      <c r="E917" t="s">
        <v>22</v>
      </c>
      <c r="F917" t="s">
        <v>23</v>
      </c>
      <c r="G917">
        <v>285</v>
      </c>
      <c r="H917">
        <v>0</v>
      </c>
      <c r="I917">
        <v>89</v>
      </c>
      <c r="J917">
        <v>196</v>
      </c>
      <c r="K917">
        <v>82</v>
      </c>
      <c r="L917" t="b">
        <v>0</v>
      </c>
      <c r="M917">
        <v>23.24</v>
      </c>
      <c r="N917">
        <v>4554.2</v>
      </c>
      <c r="O917" t="s">
        <v>44</v>
      </c>
      <c r="P917" t="str">
        <f>IF(J917=G917+H917-I917,"OK","Check")</f>
        <v>OK</v>
      </c>
      <c r="Q917" t="str">
        <f>IF(AND(J917&lt;=K917,L917=TRUE),"OK",IF(AND(J917&gt;K917,L917=FALSE),"OK","Check"))</f>
        <v>OK</v>
      </c>
      <c r="R917" t="str">
        <f>IF(ABS(N917-J917*M917)&lt;=J917*0.005+0.01,"OK","Check")</f>
        <v>OK</v>
      </c>
      <c r="S917" s="3">
        <f t="shared" si="14"/>
        <v>1</v>
      </c>
    </row>
    <row r="918" spans="1:19">
      <c r="A918" s="1">
        <v>46082</v>
      </c>
      <c r="B918" t="s">
        <v>279</v>
      </c>
      <c r="C918" t="s">
        <v>63</v>
      </c>
      <c r="D918" t="s">
        <v>64</v>
      </c>
      <c r="E918" t="s">
        <v>22</v>
      </c>
      <c r="F918" t="s">
        <v>23</v>
      </c>
      <c r="G918">
        <v>54</v>
      </c>
      <c r="H918">
        <v>180</v>
      </c>
      <c r="I918">
        <v>61</v>
      </c>
      <c r="J918">
        <v>173</v>
      </c>
      <c r="K918">
        <v>59</v>
      </c>
      <c r="L918" t="b">
        <v>0</v>
      </c>
      <c r="M918">
        <v>112.91</v>
      </c>
      <c r="N918">
        <v>19533.47</v>
      </c>
      <c r="O918" t="s">
        <v>47</v>
      </c>
      <c r="P918" t="str">
        <f>IF(J918=G918+H918-I918,"OK","Check")</f>
        <v>OK</v>
      </c>
      <c r="Q918" t="str">
        <f>IF(AND(J918&lt;=K918,L918=TRUE),"OK",IF(AND(J918&gt;K918,L918=FALSE),"OK","Check"))</f>
        <v>OK</v>
      </c>
      <c r="R918" t="str">
        <f>IF(ABS(N918-J918*M918)&lt;=J918*0.005+0.01,"OK","Check")</f>
        <v>OK</v>
      </c>
      <c r="S918" s="3">
        <f t="shared" si="14"/>
        <v>1</v>
      </c>
    </row>
    <row r="919" spans="1:19">
      <c r="A919" s="1">
        <v>46082</v>
      </c>
      <c r="B919" t="s">
        <v>279</v>
      </c>
      <c r="C919" t="s">
        <v>65</v>
      </c>
      <c r="D919" t="s">
        <v>66</v>
      </c>
      <c r="E919" t="s">
        <v>22</v>
      </c>
      <c r="F919" t="s">
        <v>23</v>
      </c>
      <c r="G919">
        <v>59</v>
      </c>
      <c r="H919">
        <v>60</v>
      </c>
      <c r="I919">
        <v>16</v>
      </c>
      <c r="J919">
        <v>103</v>
      </c>
      <c r="K919">
        <v>21</v>
      </c>
      <c r="L919" t="b">
        <v>0</v>
      </c>
      <c r="M919">
        <v>81.599999999999994</v>
      </c>
      <c r="N919">
        <v>8404.7199999999993</v>
      </c>
      <c r="O919" t="s">
        <v>44</v>
      </c>
      <c r="P919" t="str">
        <f>IF(J919=G919+H919-I919,"OK","Check")</f>
        <v>OK</v>
      </c>
      <c r="Q919" t="str">
        <f>IF(AND(J919&lt;=K919,L919=TRUE),"OK",IF(AND(J919&gt;K919,L919=FALSE),"OK","Check"))</f>
        <v>OK</v>
      </c>
      <c r="R919" t="str">
        <f>IF(ABS(N919-J919*M919)&lt;=J919*0.005+0.01,"OK","Check")</f>
        <v>OK</v>
      </c>
      <c r="S919" s="3">
        <f t="shared" si="14"/>
        <v>1</v>
      </c>
    </row>
    <row r="920" spans="1:19">
      <c r="A920" s="1">
        <v>46082</v>
      </c>
      <c r="B920" t="s">
        <v>279</v>
      </c>
      <c r="C920" t="s">
        <v>67</v>
      </c>
      <c r="D920" t="s">
        <v>68</v>
      </c>
      <c r="E920" t="s">
        <v>22</v>
      </c>
      <c r="F920" t="s">
        <v>23</v>
      </c>
      <c r="G920">
        <v>71</v>
      </c>
      <c r="H920">
        <v>257</v>
      </c>
      <c r="I920">
        <v>81</v>
      </c>
      <c r="J920">
        <v>247</v>
      </c>
      <c r="K920">
        <v>87</v>
      </c>
      <c r="L920" t="b">
        <v>0</v>
      </c>
      <c r="M920">
        <v>363.65</v>
      </c>
      <c r="N920">
        <v>89822.65</v>
      </c>
      <c r="O920" t="s">
        <v>27</v>
      </c>
      <c r="P920" t="str">
        <f>IF(J920=G920+H920-I920,"OK","Check")</f>
        <v>OK</v>
      </c>
      <c r="Q920" t="str">
        <f>IF(AND(J920&lt;=K920,L920=TRUE),"OK",IF(AND(J920&gt;K920,L920=FALSE),"OK","Check"))</f>
        <v>OK</v>
      </c>
      <c r="R920" t="str">
        <f>IF(ABS(N920-J920*M920)&lt;=J920*0.005+0.01,"OK","Check")</f>
        <v>OK</v>
      </c>
      <c r="S920" s="3">
        <f t="shared" si="14"/>
        <v>1</v>
      </c>
    </row>
    <row r="921" spans="1:19">
      <c r="A921" s="1">
        <v>46082</v>
      </c>
      <c r="B921" t="s">
        <v>279</v>
      </c>
      <c r="C921" t="s">
        <v>69</v>
      </c>
      <c r="D921" t="s">
        <v>70</v>
      </c>
      <c r="E921" t="s">
        <v>71</v>
      </c>
      <c r="F921" t="s">
        <v>23</v>
      </c>
      <c r="G921">
        <v>52</v>
      </c>
      <c r="H921">
        <v>74</v>
      </c>
      <c r="I921">
        <v>19</v>
      </c>
      <c r="J921">
        <v>107</v>
      </c>
      <c r="K921">
        <v>46</v>
      </c>
      <c r="L921" t="b">
        <v>0</v>
      </c>
      <c r="M921">
        <v>104.76</v>
      </c>
      <c r="N921">
        <v>11209.76</v>
      </c>
      <c r="O921" t="s">
        <v>27</v>
      </c>
      <c r="P921" t="str">
        <f>IF(J921=G921+H921-I921,"OK","Check")</f>
        <v>OK</v>
      </c>
      <c r="Q921" t="str">
        <f>IF(AND(J921&lt;=K921,L921=TRUE),"OK",IF(AND(J921&gt;K921,L921=FALSE),"OK","Check"))</f>
        <v>OK</v>
      </c>
      <c r="R921" t="str">
        <f>IF(ABS(N921-J921*M921)&lt;=J921*0.005+0.01,"OK","Check")</f>
        <v>OK</v>
      </c>
      <c r="S921" s="3">
        <f t="shared" si="14"/>
        <v>1</v>
      </c>
    </row>
    <row r="922" spans="1:19">
      <c r="A922" s="1">
        <v>46082</v>
      </c>
      <c r="B922" t="s">
        <v>279</v>
      </c>
      <c r="C922" t="s">
        <v>72</v>
      </c>
      <c r="D922" t="s">
        <v>73</v>
      </c>
      <c r="E922" t="s">
        <v>71</v>
      </c>
      <c r="F922" t="s">
        <v>23</v>
      </c>
      <c r="G922">
        <v>156</v>
      </c>
      <c r="H922">
        <v>0</v>
      </c>
      <c r="I922">
        <v>150</v>
      </c>
      <c r="J922">
        <v>6</v>
      </c>
      <c r="K922">
        <v>121</v>
      </c>
      <c r="L922" t="b">
        <v>1</v>
      </c>
      <c r="M922">
        <v>407.21</v>
      </c>
      <c r="N922">
        <v>2443.29</v>
      </c>
      <c r="O922" t="s">
        <v>60</v>
      </c>
      <c r="P922" t="str">
        <f>IF(J922=G922+H922-I922,"OK","Check")</f>
        <v>OK</v>
      </c>
      <c r="Q922" t="str">
        <f>IF(AND(J922&lt;=K922,L922=TRUE),"OK",IF(AND(J922&gt;K922,L922=FALSE),"OK","Check"))</f>
        <v>OK</v>
      </c>
      <c r="R922" t="str">
        <f>IF(ABS(N922-J922*M922)&lt;=J922*0.005+0.01,"OK","Check")</f>
        <v>OK</v>
      </c>
      <c r="S922" s="3">
        <f t="shared" si="14"/>
        <v>1</v>
      </c>
    </row>
    <row r="923" spans="1:19">
      <c r="A923" s="1">
        <v>46082</v>
      </c>
      <c r="B923" t="s">
        <v>279</v>
      </c>
      <c r="C923" t="s">
        <v>74</v>
      </c>
      <c r="D923" t="s">
        <v>75</v>
      </c>
      <c r="E923" t="s">
        <v>71</v>
      </c>
      <c r="F923" t="s">
        <v>23</v>
      </c>
      <c r="G923">
        <v>183</v>
      </c>
      <c r="H923">
        <v>0</v>
      </c>
      <c r="I923">
        <v>98</v>
      </c>
      <c r="J923">
        <v>85</v>
      </c>
      <c r="K923">
        <v>87</v>
      </c>
      <c r="L923" t="b">
        <v>1</v>
      </c>
      <c r="M923">
        <v>239.06</v>
      </c>
      <c r="N923">
        <v>20320.03</v>
      </c>
      <c r="O923" t="s">
        <v>37</v>
      </c>
      <c r="P923" t="str">
        <f>IF(J923=G923+H923-I923,"OK","Check")</f>
        <v>OK</v>
      </c>
      <c r="Q923" t="str">
        <f>IF(AND(J923&lt;=K923,L923=TRUE),"OK",IF(AND(J923&gt;K923,L923=FALSE),"OK","Check"))</f>
        <v>OK</v>
      </c>
      <c r="R923" t="str">
        <f>IF(ABS(N923-J923*M923)&lt;=J923*0.005+0.01,"OK","Check")</f>
        <v>OK</v>
      </c>
      <c r="S923" s="3">
        <f t="shared" si="14"/>
        <v>1</v>
      </c>
    </row>
    <row r="924" spans="1:19">
      <c r="A924" s="1">
        <v>46082</v>
      </c>
      <c r="B924" t="s">
        <v>279</v>
      </c>
      <c r="C924" t="s">
        <v>76</v>
      </c>
      <c r="D924" t="s">
        <v>77</v>
      </c>
      <c r="E924" t="s">
        <v>71</v>
      </c>
      <c r="F924" t="s">
        <v>23</v>
      </c>
      <c r="G924">
        <v>336</v>
      </c>
      <c r="H924">
        <v>218</v>
      </c>
      <c r="I924">
        <v>84</v>
      </c>
      <c r="J924">
        <v>470</v>
      </c>
      <c r="K924">
        <v>115</v>
      </c>
      <c r="L924" t="b">
        <v>0</v>
      </c>
      <c r="M924">
        <v>1055.5999999999999</v>
      </c>
      <c r="N924">
        <v>496132.68</v>
      </c>
      <c r="O924" t="s">
        <v>37</v>
      </c>
      <c r="P924" t="str">
        <f>IF(J924=G924+H924-I924,"OK","Check")</f>
        <v>OK</v>
      </c>
      <c r="Q924" t="str">
        <f>IF(AND(J924&lt;=K924,L924=TRUE),"OK",IF(AND(J924&gt;K924,L924=FALSE),"OK","Check"))</f>
        <v>OK</v>
      </c>
      <c r="R924" t="str">
        <f>IF(ABS(N924-J924*M924)&lt;=J924*0.005+0.01,"OK","Check")</f>
        <v>OK</v>
      </c>
      <c r="S924" s="3">
        <f t="shared" si="14"/>
        <v>1</v>
      </c>
    </row>
    <row r="925" spans="1:19">
      <c r="A925" s="1">
        <v>46082</v>
      </c>
      <c r="B925" t="s">
        <v>279</v>
      </c>
      <c r="C925" t="s">
        <v>78</v>
      </c>
      <c r="D925" t="s">
        <v>79</v>
      </c>
      <c r="E925" t="s">
        <v>71</v>
      </c>
      <c r="F925" t="s">
        <v>23</v>
      </c>
      <c r="G925">
        <v>60</v>
      </c>
      <c r="H925">
        <v>150</v>
      </c>
      <c r="I925">
        <v>69</v>
      </c>
      <c r="J925">
        <v>141</v>
      </c>
      <c r="K925">
        <v>81</v>
      </c>
      <c r="L925" t="b">
        <v>0</v>
      </c>
      <c r="M925">
        <v>359.01</v>
      </c>
      <c r="N925">
        <v>50620.71</v>
      </c>
      <c r="O925" t="s">
        <v>47</v>
      </c>
      <c r="P925" t="str">
        <f>IF(J925=G925+H925-I925,"OK","Check")</f>
        <v>OK</v>
      </c>
      <c r="Q925" t="str">
        <f>IF(AND(J925&lt;=K925,L925=TRUE),"OK",IF(AND(J925&gt;K925,L925=FALSE),"OK","Check"))</f>
        <v>OK</v>
      </c>
      <c r="R925" t="str">
        <f>IF(ABS(N925-J925*M925)&lt;=J925*0.005+0.01,"OK","Check")</f>
        <v>OK</v>
      </c>
      <c r="S925" s="3">
        <f t="shared" si="14"/>
        <v>1</v>
      </c>
    </row>
    <row r="926" spans="1:19">
      <c r="A926" s="1">
        <v>46082</v>
      </c>
      <c r="B926" t="s">
        <v>279</v>
      </c>
      <c r="C926" t="s">
        <v>80</v>
      </c>
      <c r="D926" t="s">
        <v>81</v>
      </c>
      <c r="E926" t="s">
        <v>71</v>
      </c>
      <c r="F926" t="s">
        <v>23</v>
      </c>
      <c r="G926">
        <v>61</v>
      </c>
      <c r="H926">
        <v>125</v>
      </c>
      <c r="I926">
        <v>27</v>
      </c>
      <c r="J926">
        <v>159</v>
      </c>
      <c r="K926">
        <v>37</v>
      </c>
      <c r="L926" t="b">
        <v>0</v>
      </c>
      <c r="M926">
        <v>1701.79</v>
      </c>
      <c r="N926">
        <v>270584.76</v>
      </c>
      <c r="O926" t="s">
        <v>32</v>
      </c>
      <c r="P926" t="str">
        <f>IF(J926=G926+H926-I926,"OK","Check")</f>
        <v>OK</v>
      </c>
      <c r="Q926" t="str">
        <f>IF(AND(J926&lt;=K926,L926=TRUE),"OK",IF(AND(J926&gt;K926,L926=FALSE),"OK","Check"))</f>
        <v>OK</v>
      </c>
      <c r="R926" t="str">
        <f>IF(ABS(N926-J926*M926)&lt;=J926*0.005+0.01,"OK","Check")</f>
        <v>OK</v>
      </c>
      <c r="S926" s="3">
        <f t="shared" si="14"/>
        <v>1</v>
      </c>
    </row>
    <row r="927" spans="1:19">
      <c r="A927" s="1">
        <v>46082</v>
      </c>
      <c r="B927" t="s">
        <v>279</v>
      </c>
      <c r="C927" t="s">
        <v>82</v>
      </c>
      <c r="D927" t="s">
        <v>83</v>
      </c>
      <c r="E927" t="s">
        <v>71</v>
      </c>
      <c r="F927" t="s">
        <v>23</v>
      </c>
      <c r="G927">
        <v>146</v>
      </c>
      <c r="H927">
        <v>420</v>
      </c>
      <c r="I927">
        <v>85</v>
      </c>
      <c r="J927">
        <v>481</v>
      </c>
      <c r="K927">
        <v>193</v>
      </c>
      <c r="L927" t="b">
        <v>0</v>
      </c>
      <c r="M927">
        <v>1799.89</v>
      </c>
      <c r="N927">
        <v>865746.6</v>
      </c>
      <c r="O927" t="s">
        <v>37</v>
      </c>
      <c r="P927" t="str">
        <f>IF(J927=G927+H927-I927,"OK","Check")</f>
        <v>OK</v>
      </c>
      <c r="Q927" t="str">
        <f>IF(AND(J927&lt;=K927,L927=TRUE),"OK",IF(AND(J927&gt;K927,L927=FALSE),"OK","Check"))</f>
        <v>OK</v>
      </c>
      <c r="R927" t="str">
        <f>IF(ABS(N927-J927*M927)&lt;=J927*0.005+0.01,"OK","Check")</f>
        <v>OK</v>
      </c>
      <c r="S927" s="3">
        <f t="shared" si="14"/>
        <v>1</v>
      </c>
    </row>
    <row r="928" spans="1:19">
      <c r="A928" s="1">
        <v>46082</v>
      </c>
      <c r="B928" t="s">
        <v>279</v>
      </c>
      <c r="C928" t="s">
        <v>84</v>
      </c>
      <c r="D928" t="s">
        <v>85</v>
      </c>
      <c r="E928" t="s">
        <v>71</v>
      </c>
      <c r="F928" t="s">
        <v>23</v>
      </c>
      <c r="G928">
        <v>308</v>
      </c>
      <c r="H928">
        <v>598</v>
      </c>
      <c r="I928">
        <v>227</v>
      </c>
      <c r="J928">
        <v>679</v>
      </c>
      <c r="K928">
        <v>255</v>
      </c>
      <c r="L928" t="b">
        <v>0</v>
      </c>
      <c r="M928">
        <v>7953.12</v>
      </c>
      <c r="N928">
        <v>5400170.1900000004</v>
      </c>
      <c r="O928" t="s">
        <v>47</v>
      </c>
      <c r="P928" t="str">
        <f>IF(J928=G928+H928-I928,"OK","Check")</f>
        <v>OK</v>
      </c>
      <c r="Q928" t="str">
        <f>IF(AND(J928&lt;=K928,L928=TRUE),"OK",IF(AND(J928&gt;K928,L928=FALSE),"OK","Check"))</f>
        <v>OK</v>
      </c>
      <c r="R928" t="str">
        <f>IF(ABS(N928-J928*M928)&lt;=J928*0.005+0.01,"OK","Check")</f>
        <v>OK</v>
      </c>
      <c r="S928" s="3">
        <f t="shared" si="14"/>
        <v>1</v>
      </c>
    </row>
    <row r="929" spans="1:19">
      <c r="A929" s="1">
        <v>46082</v>
      </c>
      <c r="B929" t="s">
        <v>279</v>
      </c>
      <c r="C929" t="s">
        <v>86</v>
      </c>
      <c r="D929" t="s">
        <v>87</v>
      </c>
      <c r="E929" t="s">
        <v>71</v>
      </c>
      <c r="F929" t="s">
        <v>23</v>
      </c>
      <c r="G929">
        <v>266</v>
      </c>
      <c r="H929">
        <v>0</v>
      </c>
      <c r="I929">
        <v>102</v>
      </c>
      <c r="J929">
        <v>164</v>
      </c>
      <c r="K929">
        <v>118</v>
      </c>
      <c r="L929" t="b">
        <v>0</v>
      </c>
      <c r="M929">
        <v>43.71</v>
      </c>
      <c r="N929">
        <v>7168.49</v>
      </c>
      <c r="O929" t="s">
        <v>60</v>
      </c>
      <c r="P929" t="str">
        <f>IF(J929=G929+H929-I929,"OK","Check")</f>
        <v>OK</v>
      </c>
      <c r="Q929" t="str">
        <f>IF(AND(J929&lt;=K929,L929=TRUE),"OK",IF(AND(J929&gt;K929,L929=FALSE),"OK","Check"))</f>
        <v>OK</v>
      </c>
      <c r="R929" t="str">
        <f>IF(ABS(N929-J929*M929)&lt;=J929*0.005+0.01,"OK","Check")</f>
        <v>OK</v>
      </c>
      <c r="S929" s="3">
        <f t="shared" si="14"/>
        <v>1</v>
      </c>
    </row>
    <row r="930" spans="1:19">
      <c r="A930" s="1">
        <v>46082</v>
      </c>
      <c r="B930" t="s">
        <v>279</v>
      </c>
      <c r="C930" t="s">
        <v>88</v>
      </c>
      <c r="D930" t="s">
        <v>89</v>
      </c>
      <c r="E930" t="s">
        <v>71</v>
      </c>
      <c r="F930" t="s">
        <v>23</v>
      </c>
      <c r="G930">
        <v>726</v>
      </c>
      <c r="H930">
        <v>0</v>
      </c>
      <c r="I930">
        <v>199</v>
      </c>
      <c r="J930">
        <v>527</v>
      </c>
      <c r="K930">
        <v>314</v>
      </c>
      <c r="L930" t="b">
        <v>0</v>
      </c>
      <c r="M930">
        <v>216.33</v>
      </c>
      <c r="N930">
        <v>114005.8</v>
      </c>
      <c r="O930" t="s">
        <v>32</v>
      </c>
      <c r="P930" t="str">
        <f>IF(J930=G930+H930-I930,"OK","Check")</f>
        <v>OK</v>
      </c>
      <c r="Q930" t="str">
        <f>IF(AND(J930&lt;=K930,L930=TRUE),"OK",IF(AND(J930&gt;K930,L930=FALSE),"OK","Check"))</f>
        <v>OK</v>
      </c>
      <c r="R930" t="str">
        <f>IF(ABS(N930-J930*M930)&lt;=J930*0.005+0.01,"OK","Check")</f>
        <v>OK</v>
      </c>
      <c r="S930" s="3">
        <f t="shared" si="14"/>
        <v>1</v>
      </c>
    </row>
    <row r="931" spans="1:19">
      <c r="A931" s="1">
        <v>46082</v>
      </c>
      <c r="B931" t="s">
        <v>279</v>
      </c>
      <c r="C931" t="s">
        <v>92</v>
      </c>
      <c r="D931" t="s">
        <v>93</v>
      </c>
      <c r="E931" t="s">
        <v>71</v>
      </c>
      <c r="F931" t="s">
        <v>23</v>
      </c>
      <c r="G931">
        <v>335</v>
      </c>
      <c r="H931">
        <v>0</v>
      </c>
      <c r="I931">
        <v>94</v>
      </c>
      <c r="J931">
        <v>241</v>
      </c>
      <c r="K931">
        <v>139</v>
      </c>
      <c r="L931" t="b">
        <v>0</v>
      </c>
      <c r="M931">
        <v>253.69</v>
      </c>
      <c r="N931">
        <v>61138.12</v>
      </c>
      <c r="O931" t="s">
        <v>24</v>
      </c>
      <c r="P931" t="str">
        <f>IF(J931=G931+H931-I931,"OK","Check")</f>
        <v>OK</v>
      </c>
      <c r="Q931" t="str">
        <f>IF(AND(J931&lt;=K931,L931=TRUE),"OK",IF(AND(J931&gt;K931,L931=FALSE),"OK","Check"))</f>
        <v>OK</v>
      </c>
      <c r="R931" t="str">
        <f>IF(ABS(N931-J931*M931)&lt;=J931*0.005+0.01,"OK","Check")</f>
        <v>OK</v>
      </c>
      <c r="S931" s="3">
        <f t="shared" si="14"/>
        <v>1</v>
      </c>
    </row>
    <row r="932" spans="1:19">
      <c r="A932" s="1">
        <v>46082</v>
      </c>
      <c r="B932" t="s">
        <v>279</v>
      </c>
      <c r="C932" t="s">
        <v>247</v>
      </c>
      <c r="D932" t="s">
        <v>248</v>
      </c>
      <c r="E932" t="s">
        <v>71</v>
      </c>
      <c r="F932" t="s">
        <v>23</v>
      </c>
      <c r="G932">
        <v>426</v>
      </c>
      <c r="H932">
        <v>0</v>
      </c>
      <c r="I932">
        <v>174</v>
      </c>
      <c r="J932">
        <v>252</v>
      </c>
      <c r="K932">
        <v>196</v>
      </c>
      <c r="L932" t="b">
        <v>0</v>
      </c>
      <c r="M932">
        <v>281.10000000000002</v>
      </c>
      <c r="N932">
        <v>70837.19</v>
      </c>
      <c r="O932" t="s">
        <v>32</v>
      </c>
      <c r="P932" t="str">
        <f>IF(J932=G932+H932-I932,"OK","Check")</f>
        <v>OK</v>
      </c>
      <c r="Q932" t="str">
        <f>IF(AND(J932&lt;=K932,L932=TRUE),"OK",IF(AND(J932&gt;K932,L932=FALSE),"OK","Check"))</f>
        <v>OK</v>
      </c>
      <c r="R932" t="str">
        <f>IF(ABS(N932-J932*M932)&lt;=J932*0.005+0.01,"OK","Check")</f>
        <v>OK</v>
      </c>
      <c r="S932" s="3">
        <f t="shared" si="14"/>
        <v>1</v>
      </c>
    </row>
    <row r="933" spans="1:19">
      <c r="A933" s="1">
        <v>46082</v>
      </c>
      <c r="B933" t="s">
        <v>279</v>
      </c>
      <c r="C933" t="s">
        <v>103</v>
      </c>
      <c r="D933" t="s">
        <v>104</v>
      </c>
      <c r="E933" t="s">
        <v>71</v>
      </c>
      <c r="F933" t="s">
        <v>23</v>
      </c>
      <c r="G933">
        <v>204</v>
      </c>
      <c r="H933">
        <v>0</v>
      </c>
      <c r="I933">
        <v>171</v>
      </c>
      <c r="J933">
        <v>33</v>
      </c>
      <c r="K933">
        <v>161</v>
      </c>
      <c r="L933" t="b">
        <v>1</v>
      </c>
      <c r="M933">
        <v>525.5</v>
      </c>
      <c r="N933">
        <v>17341.599999999999</v>
      </c>
      <c r="O933" t="s">
        <v>98</v>
      </c>
      <c r="P933" t="str">
        <f>IF(J933=G933+H933-I933,"OK","Check")</f>
        <v>OK</v>
      </c>
      <c r="Q933" t="str">
        <f>IF(AND(J933&lt;=K933,L933=TRUE),"OK",IF(AND(J933&gt;K933,L933=FALSE),"OK","Check"))</f>
        <v>OK</v>
      </c>
      <c r="R933" t="str">
        <f>IF(ABS(N933-J933*M933)&lt;=J933*0.005+0.01,"OK","Check")</f>
        <v>OK</v>
      </c>
      <c r="S933" s="3">
        <f t="shared" si="14"/>
        <v>1</v>
      </c>
    </row>
    <row r="934" spans="1:19">
      <c r="A934" s="1">
        <v>46082</v>
      </c>
      <c r="B934" t="s">
        <v>279</v>
      </c>
      <c r="C934" t="s">
        <v>105</v>
      </c>
      <c r="D934" t="s">
        <v>106</v>
      </c>
      <c r="E934" t="s">
        <v>71</v>
      </c>
      <c r="F934" t="s">
        <v>23</v>
      </c>
      <c r="G934">
        <v>335</v>
      </c>
      <c r="H934">
        <v>0</v>
      </c>
      <c r="I934">
        <v>291</v>
      </c>
      <c r="J934">
        <v>44</v>
      </c>
      <c r="K934">
        <v>236</v>
      </c>
      <c r="L934" t="b">
        <v>1</v>
      </c>
      <c r="M934">
        <v>2377.34</v>
      </c>
      <c r="N934">
        <v>104602.88</v>
      </c>
      <c r="O934" t="s">
        <v>32</v>
      </c>
      <c r="P934" t="str">
        <f>IF(J934=G934+H934-I934,"OK","Check")</f>
        <v>OK</v>
      </c>
      <c r="Q934" t="str">
        <f>IF(AND(J934&lt;=K934,L934=TRUE),"OK",IF(AND(J934&gt;K934,L934=FALSE),"OK","Check"))</f>
        <v>OK</v>
      </c>
      <c r="R934" t="str">
        <f>IF(ABS(N934-J934*M934)&lt;=J934*0.005+0.01,"OK","Check")</f>
        <v>OK</v>
      </c>
      <c r="S934" s="3">
        <f t="shared" si="14"/>
        <v>1</v>
      </c>
    </row>
    <row r="935" spans="1:19">
      <c r="A935" s="1">
        <v>46082</v>
      </c>
      <c r="B935" t="s">
        <v>279</v>
      </c>
      <c r="C935" t="s">
        <v>107</v>
      </c>
      <c r="D935" t="s">
        <v>108</v>
      </c>
      <c r="E935" t="s">
        <v>109</v>
      </c>
      <c r="F935" t="s">
        <v>110</v>
      </c>
      <c r="G935">
        <v>97</v>
      </c>
      <c r="H935">
        <v>186</v>
      </c>
      <c r="I935">
        <v>89</v>
      </c>
      <c r="J935">
        <v>194</v>
      </c>
      <c r="K935">
        <v>96</v>
      </c>
      <c r="L935" t="b">
        <v>0</v>
      </c>
      <c r="M935">
        <v>101.63</v>
      </c>
      <c r="N935">
        <v>19715.349999999999</v>
      </c>
      <c r="O935" t="s">
        <v>24</v>
      </c>
      <c r="P935" t="str">
        <f>IF(J935=G935+H935-I935,"OK","Check")</f>
        <v>OK</v>
      </c>
      <c r="Q935" t="str">
        <f>IF(AND(J935&lt;=K935,L935=TRUE),"OK",IF(AND(J935&gt;K935,L935=FALSE),"OK","Check"))</f>
        <v>OK</v>
      </c>
      <c r="R935" t="str">
        <f>IF(ABS(N935-J935*M935)&lt;=J935*0.005+0.01,"OK","Check")</f>
        <v>OK</v>
      </c>
      <c r="S935" s="3">
        <f t="shared" si="14"/>
        <v>1</v>
      </c>
    </row>
    <row r="936" spans="1:19">
      <c r="A936" s="1">
        <v>46082</v>
      </c>
      <c r="B936" t="s">
        <v>279</v>
      </c>
      <c r="C936" t="s">
        <v>113</v>
      </c>
      <c r="D936" t="s">
        <v>114</v>
      </c>
      <c r="E936" t="s">
        <v>109</v>
      </c>
      <c r="F936" t="s">
        <v>110</v>
      </c>
      <c r="G936">
        <v>140</v>
      </c>
      <c r="H936">
        <v>0</v>
      </c>
      <c r="I936">
        <v>96</v>
      </c>
      <c r="J936">
        <v>44</v>
      </c>
      <c r="K936">
        <v>113</v>
      </c>
      <c r="L936" t="b">
        <v>1</v>
      </c>
      <c r="M936">
        <v>133.82</v>
      </c>
      <c r="N936">
        <v>5888</v>
      </c>
      <c r="O936" t="s">
        <v>27</v>
      </c>
      <c r="P936" t="str">
        <f>IF(J936=G936+H936-I936,"OK","Check")</f>
        <v>OK</v>
      </c>
      <c r="Q936" t="str">
        <f>IF(AND(J936&lt;=K936,L936=TRUE),"OK",IF(AND(J936&gt;K936,L936=FALSE),"OK","Check"))</f>
        <v>OK</v>
      </c>
      <c r="R936" t="str">
        <f>IF(ABS(N936-J936*M936)&lt;=J936*0.005+0.01,"OK","Check")</f>
        <v>OK</v>
      </c>
      <c r="S936" s="3">
        <f t="shared" si="14"/>
        <v>1</v>
      </c>
    </row>
    <row r="937" spans="1:19">
      <c r="A937" s="1">
        <v>46082</v>
      </c>
      <c r="B937" t="s">
        <v>279</v>
      </c>
      <c r="C937" t="s">
        <v>115</v>
      </c>
      <c r="D937" t="s">
        <v>116</v>
      </c>
      <c r="E937" t="s">
        <v>109</v>
      </c>
      <c r="F937" t="s">
        <v>110</v>
      </c>
      <c r="G937">
        <v>243</v>
      </c>
      <c r="H937">
        <v>0</v>
      </c>
      <c r="I937">
        <v>190</v>
      </c>
      <c r="J937">
        <v>53</v>
      </c>
      <c r="K937">
        <v>195</v>
      </c>
      <c r="L937" t="b">
        <v>1</v>
      </c>
      <c r="M937">
        <v>593.75</v>
      </c>
      <c r="N937">
        <v>31468.51</v>
      </c>
      <c r="O937" t="s">
        <v>44</v>
      </c>
      <c r="P937" t="str">
        <f>IF(J937=G937+H937-I937,"OK","Check")</f>
        <v>OK</v>
      </c>
      <c r="Q937" t="str">
        <f>IF(AND(J937&lt;=K937,L937=TRUE),"OK",IF(AND(J937&gt;K937,L937=FALSE),"OK","Check"))</f>
        <v>OK</v>
      </c>
      <c r="R937" t="str">
        <f>IF(ABS(N937-J937*M937)&lt;=J937*0.005+0.01,"OK","Check")</f>
        <v>OK</v>
      </c>
      <c r="S937" s="3">
        <f t="shared" si="14"/>
        <v>1</v>
      </c>
    </row>
    <row r="938" spans="1:19">
      <c r="A938" s="1">
        <v>46082</v>
      </c>
      <c r="B938" t="s">
        <v>279</v>
      </c>
      <c r="C938" t="s">
        <v>119</v>
      </c>
      <c r="D938" t="s">
        <v>120</v>
      </c>
      <c r="E938" t="s">
        <v>109</v>
      </c>
      <c r="F938" t="s">
        <v>110</v>
      </c>
      <c r="G938">
        <v>227</v>
      </c>
      <c r="H938">
        <v>494</v>
      </c>
      <c r="I938">
        <v>187</v>
      </c>
      <c r="J938">
        <v>534</v>
      </c>
      <c r="K938">
        <v>247</v>
      </c>
      <c r="L938" t="b">
        <v>0</v>
      </c>
      <c r="M938">
        <v>204.87</v>
      </c>
      <c r="N938">
        <v>109402.77</v>
      </c>
      <c r="O938" t="s">
        <v>32</v>
      </c>
      <c r="P938" t="str">
        <f>IF(J938=G938+H938-I938,"OK","Check")</f>
        <v>OK</v>
      </c>
      <c r="Q938" t="str">
        <f>IF(AND(J938&lt;=K938,L938=TRUE),"OK",IF(AND(J938&gt;K938,L938=FALSE),"OK","Check"))</f>
        <v>OK</v>
      </c>
      <c r="R938" t="str">
        <f>IF(ABS(N938-J938*M938)&lt;=J938*0.005+0.01,"OK","Check")</f>
        <v>OK</v>
      </c>
      <c r="S938" s="3">
        <f t="shared" si="14"/>
        <v>1</v>
      </c>
    </row>
    <row r="939" spans="1:19">
      <c r="A939" s="1">
        <v>46082</v>
      </c>
      <c r="B939" t="s">
        <v>279</v>
      </c>
      <c r="C939" t="s">
        <v>121</v>
      </c>
      <c r="D939" t="s">
        <v>122</v>
      </c>
      <c r="E939" t="s">
        <v>109</v>
      </c>
      <c r="F939" t="s">
        <v>110</v>
      </c>
      <c r="G939">
        <v>227</v>
      </c>
      <c r="H939">
        <v>474</v>
      </c>
      <c r="I939">
        <v>205</v>
      </c>
      <c r="J939">
        <v>496</v>
      </c>
      <c r="K939">
        <v>261</v>
      </c>
      <c r="L939" t="b">
        <v>0</v>
      </c>
      <c r="M939">
        <v>40.380000000000003</v>
      </c>
      <c r="N939">
        <v>20028.36</v>
      </c>
      <c r="O939" t="s">
        <v>47</v>
      </c>
      <c r="P939" t="str">
        <f>IF(J939=G939+H939-I939,"OK","Check")</f>
        <v>OK</v>
      </c>
      <c r="Q939" t="str">
        <f>IF(AND(J939&lt;=K939,L939=TRUE),"OK",IF(AND(J939&gt;K939,L939=FALSE),"OK","Check"))</f>
        <v>OK</v>
      </c>
      <c r="R939" t="str">
        <f>IF(ABS(N939-J939*M939)&lt;=J939*0.005+0.01,"OK","Check")</f>
        <v>OK</v>
      </c>
      <c r="S939" s="3">
        <f t="shared" si="14"/>
        <v>1</v>
      </c>
    </row>
    <row r="940" spans="1:19">
      <c r="A940" s="1">
        <v>46082</v>
      </c>
      <c r="B940" t="s">
        <v>279</v>
      </c>
      <c r="C940" t="s">
        <v>125</v>
      </c>
      <c r="D940" t="s">
        <v>126</v>
      </c>
      <c r="E940" t="s">
        <v>109</v>
      </c>
      <c r="F940" t="s">
        <v>110</v>
      </c>
      <c r="G940">
        <v>120</v>
      </c>
      <c r="H940">
        <v>298</v>
      </c>
      <c r="I940">
        <v>86</v>
      </c>
      <c r="J940">
        <v>332</v>
      </c>
      <c r="K940">
        <v>126</v>
      </c>
      <c r="L940" t="b">
        <v>0</v>
      </c>
      <c r="M940">
        <v>139.74</v>
      </c>
      <c r="N940">
        <v>46392.6</v>
      </c>
      <c r="O940" t="s">
        <v>47</v>
      </c>
      <c r="P940" t="str">
        <f>IF(J940=G940+H940-I940,"OK","Check")</f>
        <v>OK</v>
      </c>
      <c r="Q940" t="str">
        <f>IF(AND(J940&lt;=K940,L940=TRUE),"OK",IF(AND(J940&gt;K940,L940=FALSE),"OK","Check"))</f>
        <v>OK</v>
      </c>
      <c r="R940" t="str">
        <f>IF(ABS(N940-J940*M940)&lt;=J940*0.005+0.01,"OK","Check")</f>
        <v>OK</v>
      </c>
      <c r="S940" s="3">
        <f t="shared" si="14"/>
        <v>1</v>
      </c>
    </row>
    <row r="941" spans="1:19">
      <c r="A941" s="1">
        <v>46082</v>
      </c>
      <c r="B941" t="s">
        <v>279</v>
      </c>
      <c r="C941" t="s">
        <v>127</v>
      </c>
      <c r="D941" t="s">
        <v>128</v>
      </c>
      <c r="E941" t="s">
        <v>109</v>
      </c>
      <c r="F941" t="s">
        <v>110</v>
      </c>
      <c r="G941">
        <v>42</v>
      </c>
      <c r="H941">
        <v>92</v>
      </c>
      <c r="I941">
        <v>28</v>
      </c>
      <c r="J941">
        <v>106</v>
      </c>
      <c r="K941">
        <v>43</v>
      </c>
      <c r="L941" t="b">
        <v>0</v>
      </c>
      <c r="M941">
        <v>604</v>
      </c>
      <c r="N941">
        <v>64023.75</v>
      </c>
      <c r="O941" t="s">
        <v>44</v>
      </c>
      <c r="P941" t="str">
        <f>IF(J941=G941+H941-I941,"OK","Check")</f>
        <v>OK</v>
      </c>
      <c r="Q941" t="str">
        <f>IF(AND(J941&lt;=K941,L941=TRUE),"OK",IF(AND(J941&gt;K941,L941=FALSE),"OK","Check"))</f>
        <v>OK</v>
      </c>
      <c r="R941" t="str">
        <f>IF(ABS(N941-J941*M941)&lt;=J941*0.005+0.01,"OK","Check")</f>
        <v>OK</v>
      </c>
      <c r="S941" s="3">
        <f t="shared" si="14"/>
        <v>1</v>
      </c>
    </row>
    <row r="942" spans="1:19">
      <c r="A942" s="1">
        <v>46082</v>
      </c>
      <c r="B942" t="s">
        <v>279</v>
      </c>
      <c r="C942" t="s">
        <v>129</v>
      </c>
      <c r="D942" t="s">
        <v>130</v>
      </c>
      <c r="E942" t="s">
        <v>109</v>
      </c>
      <c r="F942" t="s">
        <v>110</v>
      </c>
      <c r="G942">
        <v>244</v>
      </c>
      <c r="H942">
        <v>0</v>
      </c>
      <c r="I942">
        <v>164</v>
      </c>
      <c r="J942">
        <v>80</v>
      </c>
      <c r="K942">
        <v>122</v>
      </c>
      <c r="L942" t="b">
        <v>1</v>
      </c>
      <c r="M942">
        <v>436.01</v>
      </c>
      <c r="N942">
        <v>34880.92</v>
      </c>
      <c r="O942" t="s">
        <v>32</v>
      </c>
      <c r="P942" t="str">
        <f>IF(J942=G942+H942-I942,"OK","Check")</f>
        <v>OK</v>
      </c>
      <c r="Q942" t="str">
        <f>IF(AND(J942&lt;=K942,L942=TRUE),"OK",IF(AND(J942&gt;K942,L942=FALSE),"OK","Check"))</f>
        <v>OK</v>
      </c>
      <c r="R942" t="str">
        <f>IF(ABS(N942-J942*M942)&lt;=J942*0.005+0.01,"OK","Check")</f>
        <v>OK</v>
      </c>
      <c r="S942" s="3">
        <f t="shared" si="14"/>
        <v>1</v>
      </c>
    </row>
    <row r="943" spans="1:19">
      <c r="A943" s="1">
        <v>46082</v>
      </c>
      <c r="B943" t="s">
        <v>279</v>
      </c>
      <c r="C943" t="s">
        <v>131</v>
      </c>
      <c r="D943" t="s">
        <v>132</v>
      </c>
      <c r="E943" t="s">
        <v>109</v>
      </c>
      <c r="F943" t="s">
        <v>110</v>
      </c>
      <c r="G943">
        <v>171</v>
      </c>
      <c r="H943">
        <v>0</v>
      </c>
      <c r="I943">
        <v>88</v>
      </c>
      <c r="J943">
        <v>83</v>
      </c>
      <c r="K943">
        <v>128</v>
      </c>
      <c r="L943" t="b">
        <v>1</v>
      </c>
      <c r="M943">
        <v>1913.41</v>
      </c>
      <c r="N943">
        <v>158812.95000000001</v>
      </c>
      <c r="O943" t="s">
        <v>24</v>
      </c>
      <c r="P943" t="str">
        <f>IF(J943=G943+H943-I943,"OK","Check")</f>
        <v>OK</v>
      </c>
      <c r="Q943" t="str">
        <f>IF(AND(J943&lt;=K943,L943=TRUE),"OK",IF(AND(J943&gt;K943,L943=FALSE),"OK","Check"))</f>
        <v>OK</v>
      </c>
      <c r="R943" t="str">
        <f>IF(ABS(N943-J943*M943)&lt;=J943*0.005+0.01,"OK","Check")</f>
        <v>OK</v>
      </c>
      <c r="S943" s="3">
        <f t="shared" si="14"/>
        <v>1</v>
      </c>
    </row>
    <row r="944" spans="1:19">
      <c r="A944" s="1">
        <v>46082</v>
      </c>
      <c r="B944" t="s">
        <v>279</v>
      </c>
      <c r="C944" t="s">
        <v>133</v>
      </c>
      <c r="D944" t="s">
        <v>134</v>
      </c>
      <c r="E944" t="s">
        <v>109</v>
      </c>
      <c r="F944" t="s">
        <v>110</v>
      </c>
      <c r="G944">
        <v>15</v>
      </c>
      <c r="H944">
        <v>41</v>
      </c>
      <c r="I944">
        <v>14</v>
      </c>
      <c r="J944">
        <v>42</v>
      </c>
      <c r="K944">
        <v>16</v>
      </c>
      <c r="L944" t="b">
        <v>0</v>
      </c>
      <c r="M944">
        <v>22.3</v>
      </c>
      <c r="N944">
        <v>936.5</v>
      </c>
      <c r="O944" t="s">
        <v>98</v>
      </c>
      <c r="P944" t="str">
        <f>IF(J944=G944+H944-I944,"OK","Check")</f>
        <v>OK</v>
      </c>
      <c r="Q944" t="str">
        <f>IF(AND(J944&lt;=K944,L944=TRUE),"OK",IF(AND(J944&gt;K944,L944=FALSE),"OK","Check"))</f>
        <v>OK</v>
      </c>
      <c r="R944" t="str">
        <f>IF(ABS(N944-J944*M944)&lt;=J944*0.005+0.01,"OK","Check")</f>
        <v>OK</v>
      </c>
      <c r="S944" s="3">
        <f t="shared" si="14"/>
        <v>1</v>
      </c>
    </row>
    <row r="945" spans="1:19">
      <c r="A945" s="1">
        <v>46082</v>
      </c>
      <c r="B945" t="s">
        <v>279</v>
      </c>
      <c r="C945" t="s">
        <v>135</v>
      </c>
      <c r="D945" t="s">
        <v>136</v>
      </c>
      <c r="E945" t="s">
        <v>109</v>
      </c>
      <c r="F945" t="s">
        <v>110</v>
      </c>
      <c r="G945">
        <v>103</v>
      </c>
      <c r="H945">
        <v>371</v>
      </c>
      <c r="I945">
        <v>64</v>
      </c>
      <c r="J945">
        <v>410</v>
      </c>
      <c r="K945">
        <v>161</v>
      </c>
      <c r="L945" t="b">
        <v>0</v>
      </c>
      <c r="M945">
        <v>99.57</v>
      </c>
      <c r="N945">
        <v>40823.120000000003</v>
      </c>
      <c r="O945" t="s">
        <v>32</v>
      </c>
      <c r="P945" t="str">
        <f>IF(J945=G945+H945-I945,"OK","Check")</f>
        <v>OK</v>
      </c>
      <c r="Q945" t="str">
        <f>IF(AND(J945&lt;=K945,L945=TRUE),"OK",IF(AND(J945&gt;K945,L945=FALSE),"OK","Check"))</f>
        <v>OK</v>
      </c>
      <c r="R945" t="str">
        <f>IF(ABS(N945-J945*M945)&lt;=J945*0.005+0.01,"OK","Check")</f>
        <v>OK</v>
      </c>
      <c r="S945" s="3">
        <f t="shared" si="14"/>
        <v>1</v>
      </c>
    </row>
    <row r="946" spans="1:19">
      <c r="A946" s="1">
        <v>46082</v>
      </c>
      <c r="B946" t="s">
        <v>279</v>
      </c>
      <c r="C946" t="s">
        <v>137</v>
      </c>
      <c r="D946" t="s">
        <v>138</v>
      </c>
      <c r="E946" t="s">
        <v>109</v>
      </c>
      <c r="F946" t="s">
        <v>110</v>
      </c>
      <c r="G946">
        <v>167</v>
      </c>
      <c r="H946">
        <v>474</v>
      </c>
      <c r="I946">
        <v>96</v>
      </c>
      <c r="J946">
        <v>545</v>
      </c>
      <c r="K946">
        <v>210</v>
      </c>
      <c r="L946" t="b">
        <v>0</v>
      </c>
      <c r="M946">
        <v>58.72</v>
      </c>
      <c r="N946">
        <v>32002.959999999999</v>
      </c>
      <c r="O946" t="s">
        <v>27</v>
      </c>
      <c r="P946" t="str">
        <f>IF(J946=G946+H946-I946,"OK","Check")</f>
        <v>OK</v>
      </c>
      <c r="Q946" t="str">
        <f>IF(AND(J946&lt;=K946,L946=TRUE),"OK",IF(AND(J946&gt;K946,L946=FALSE),"OK","Check"))</f>
        <v>OK</v>
      </c>
      <c r="R946" t="str">
        <f>IF(ABS(N946-J946*M946)&lt;=J946*0.005+0.01,"OK","Check")</f>
        <v>OK</v>
      </c>
      <c r="S946" s="3">
        <f t="shared" si="14"/>
        <v>1</v>
      </c>
    </row>
    <row r="947" spans="1:19">
      <c r="A947" s="1">
        <v>46082</v>
      </c>
      <c r="B947" t="s">
        <v>279</v>
      </c>
      <c r="C947" t="s">
        <v>139</v>
      </c>
      <c r="D947" t="s">
        <v>140</v>
      </c>
      <c r="E947" t="s">
        <v>109</v>
      </c>
      <c r="F947" t="s">
        <v>110</v>
      </c>
      <c r="G947">
        <v>55</v>
      </c>
      <c r="H947">
        <v>0</v>
      </c>
      <c r="I947">
        <v>23</v>
      </c>
      <c r="J947">
        <v>32</v>
      </c>
      <c r="K947">
        <v>17</v>
      </c>
      <c r="L947" t="b">
        <v>0</v>
      </c>
      <c r="M947">
        <v>303.56</v>
      </c>
      <c r="N947">
        <v>9713.99</v>
      </c>
      <c r="O947" t="s">
        <v>32</v>
      </c>
      <c r="P947" t="str">
        <f>IF(J947=G947+H947-I947,"OK","Check")</f>
        <v>OK</v>
      </c>
      <c r="Q947" t="str">
        <f>IF(AND(J947&lt;=K947,L947=TRUE),"OK",IF(AND(J947&gt;K947,L947=FALSE),"OK","Check"))</f>
        <v>OK</v>
      </c>
      <c r="R947" t="str">
        <f>IF(ABS(N947-J947*M947)&lt;=J947*0.005+0.01,"OK","Check")</f>
        <v>OK</v>
      </c>
      <c r="S947" s="3">
        <f t="shared" si="14"/>
        <v>1</v>
      </c>
    </row>
    <row r="948" spans="1:19">
      <c r="A948" s="1">
        <v>46082</v>
      </c>
      <c r="B948" t="s">
        <v>279</v>
      </c>
      <c r="C948" t="s">
        <v>143</v>
      </c>
      <c r="D948" t="s">
        <v>144</v>
      </c>
      <c r="E948" t="s">
        <v>109</v>
      </c>
      <c r="F948" t="s">
        <v>110</v>
      </c>
      <c r="G948">
        <v>99</v>
      </c>
      <c r="H948">
        <v>133</v>
      </c>
      <c r="I948">
        <v>43</v>
      </c>
      <c r="J948">
        <v>189</v>
      </c>
      <c r="K948">
        <v>56</v>
      </c>
      <c r="L948" t="b">
        <v>0</v>
      </c>
      <c r="M948">
        <v>401.16</v>
      </c>
      <c r="N948">
        <v>75819.350000000006</v>
      </c>
      <c r="O948" t="s">
        <v>24</v>
      </c>
      <c r="P948" t="str">
        <f>IF(J948=G948+H948-I948,"OK","Check")</f>
        <v>OK</v>
      </c>
      <c r="Q948" t="str">
        <f>IF(AND(J948&lt;=K948,L948=TRUE),"OK",IF(AND(J948&gt;K948,L948=FALSE),"OK","Check"))</f>
        <v>OK</v>
      </c>
      <c r="R948" t="str">
        <f>IF(ABS(N948-J948*M948)&lt;=J948*0.005+0.01,"OK","Check")</f>
        <v>OK</v>
      </c>
      <c r="S948" s="3">
        <f t="shared" si="14"/>
        <v>1</v>
      </c>
    </row>
    <row r="949" spans="1:19">
      <c r="A949" s="1">
        <v>46082</v>
      </c>
      <c r="B949" t="s">
        <v>279</v>
      </c>
      <c r="C949" t="s">
        <v>152</v>
      </c>
      <c r="D949" t="s">
        <v>153</v>
      </c>
      <c r="E949" t="s">
        <v>151</v>
      </c>
      <c r="F949" t="s">
        <v>23</v>
      </c>
      <c r="G949">
        <v>368</v>
      </c>
      <c r="H949">
        <v>0</v>
      </c>
      <c r="I949">
        <v>80</v>
      </c>
      <c r="J949">
        <v>288</v>
      </c>
      <c r="K949">
        <v>102</v>
      </c>
      <c r="L949" t="b">
        <v>0</v>
      </c>
      <c r="M949">
        <v>1192.8699999999999</v>
      </c>
      <c r="N949">
        <v>343546.46</v>
      </c>
      <c r="O949" t="s">
        <v>98</v>
      </c>
      <c r="P949" t="str">
        <f>IF(J949=G949+H949-I949,"OK","Check")</f>
        <v>OK</v>
      </c>
      <c r="Q949" t="str">
        <f>IF(AND(J949&lt;=K949,L949=TRUE),"OK",IF(AND(J949&gt;K949,L949=FALSE),"OK","Check"))</f>
        <v>OK</v>
      </c>
      <c r="R949" t="str">
        <f>IF(ABS(N949-J949*M949)&lt;=J949*0.005+0.01,"OK","Check")</f>
        <v>OK</v>
      </c>
      <c r="S949" s="3">
        <f t="shared" si="14"/>
        <v>1</v>
      </c>
    </row>
    <row r="950" spans="1:19">
      <c r="A950" s="1">
        <v>46082</v>
      </c>
      <c r="B950" t="s">
        <v>279</v>
      </c>
      <c r="C950" t="s">
        <v>154</v>
      </c>
      <c r="D950" t="s">
        <v>155</v>
      </c>
      <c r="E950" t="s">
        <v>151</v>
      </c>
      <c r="F950" t="s">
        <v>23</v>
      </c>
      <c r="G950">
        <v>94</v>
      </c>
      <c r="H950">
        <v>316</v>
      </c>
      <c r="I950">
        <v>74</v>
      </c>
      <c r="J950">
        <v>336</v>
      </c>
      <c r="K950">
        <v>134</v>
      </c>
      <c r="L950" t="b">
        <v>0</v>
      </c>
      <c r="M950">
        <v>307.29000000000002</v>
      </c>
      <c r="N950">
        <v>103247.94</v>
      </c>
      <c r="O950" t="s">
        <v>60</v>
      </c>
      <c r="P950" t="str">
        <f>IF(J950=G950+H950-I950,"OK","Check")</f>
        <v>OK</v>
      </c>
      <c r="Q950" t="str">
        <f>IF(AND(J950&lt;=K950,L950=TRUE),"OK",IF(AND(J950&gt;K950,L950=FALSE),"OK","Check"))</f>
        <v>OK</v>
      </c>
      <c r="R950" t="str">
        <f>IF(ABS(N950-J950*M950)&lt;=J950*0.005+0.01,"OK","Check")</f>
        <v>OK</v>
      </c>
      <c r="S950" s="3">
        <f t="shared" si="14"/>
        <v>1</v>
      </c>
    </row>
    <row r="951" spans="1:19">
      <c r="A951" s="1">
        <v>46082</v>
      </c>
      <c r="B951" t="s">
        <v>279</v>
      </c>
      <c r="C951" t="s">
        <v>156</v>
      </c>
      <c r="D951" t="s">
        <v>157</v>
      </c>
      <c r="E951" t="s">
        <v>151</v>
      </c>
      <c r="F951" t="s">
        <v>23</v>
      </c>
      <c r="G951">
        <v>341</v>
      </c>
      <c r="H951">
        <v>507</v>
      </c>
      <c r="I951">
        <v>218</v>
      </c>
      <c r="J951">
        <v>630</v>
      </c>
      <c r="K951">
        <v>159</v>
      </c>
      <c r="L951" t="b">
        <v>0</v>
      </c>
      <c r="M951">
        <v>1527.6</v>
      </c>
      <c r="N951">
        <v>962386.32</v>
      </c>
      <c r="O951" t="s">
        <v>32</v>
      </c>
      <c r="P951" t="str">
        <f>IF(J951=G951+H951-I951,"OK","Check")</f>
        <v>OK</v>
      </c>
      <c r="Q951" t="str">
        <f>IF(AND(J951&lt;=K951,L951=TRUE),"OK",IF(AND(J951&gt;K951,L951=FALSE),"OK","Check"))</f>
        <v>OK</v>
      </c>
      <c r="R951" t="str">
        <f>IF(ABS(N951-J951*M951)&lt;=J951*0.005+0.01,"OK","Check")</f>
        <v>OK</v>
      </c>
      <c r="S951" s="3">
        <f t="shared" si="14"/>
        <v>1</v>
      </c>
    </row>
    <row r="952" spans="1:19">
      <c r="A952" s="1">
        <v>46082</v>
      </c>
      <c r="B952" t="s">
        <v>279</v>
      </c>
      <c r="C952" t="s">
        <v>158</v>
      </c>
      <c r="D952" t="s">
        <v>159</v>
      </c>
      <c r="E952" t="s">
        <v>151</v>
      </c>
      <c r="F952" t="s">
        <v>23</v>
      </c>
      <c r="G952">
        <v>267</v>
      </c>
      <c r="H952">
        <v>413</v>
      </c>
      <c r="I952">
        <v>159</v>
      </c>
      <c r="J952">
        <v>521</v>
      </c>
      <c r="K952">
        <v>140</v>
      </c>
      <c r="L952" t="b">
        <v>0</v>
      </c>
      <c r="M952">
        <v>43.2</v>
      </c>
      <c r="N952">
        <v>22509.21</v>
      </c>
      <c r="O952" t="s">
        <v>37</v>
      </c>
      <c r="P952" t="str">
        <f>IF(J952=G952+H952-I952,"OK","Check")</f>
        <v>OK</v>
      </c>
      <c r="Q952" t="str">
        <f>IF(AND(J952&lt;=K952,L952=TRUE),"OK",IF(AND(J952&gt;K952,L952=FALSE),"OK","Check"))</f>
        <v>OK</v>
      </c>
      <c r="R952" t="str">
        <f>IF(ABS(N952-J952*M952)&lt;=J952*0.005+0.01,"OK","Check")</f>
        <v>OK</v>
      </c>
      <c r="S952" s="3">
        <f t="shared" si="14"/>
        <v>1</v>
      </c>
    </row>
    <row r="953" spans="1:19">
      <c r="A953" s="1">
        <v>46082</v>
      </c>
      <c r="B953" t="s">
        <v>279</v>
      </c>
      <c r="C953" t="s">
        <v>160</v>
      </c>
      <c r="D953" t="s">
        <v>161</v>
      </c>
      <c r="E953" t="s">
        <v>151</v>
      </c>
      <c r="F953" t="s">
        <v>23</v>
      </c>
      <c r="G953">
        <v>50</v>
      </c>
      <c r="H953">
        <v>104</v>
      </c>
      <c r="I953">
        <v>32</v>
      </c>
      <c r="J953">
        <v>122</v>
      </c>
      <c r="K953">
        <v>46</v>
      </c>
      <c r="L953" t="b">
        <v>0</v>
      </c>
      <c r="M953">
        <v>226.44</v>
      </c>
      <c r="N953">
        <v>27626.03</v>
      </c>
      <c r="O953" t="s">
        <v>24</v>
      </c>
      <c r="P953" t="str">
        <f>IF(J953=G953+H953-I953,"OK","Check")</f>
        <v>OK</v>
      </c>
      <c r="Q953" t="str">
        <f>IF(AND(J953&lt;=K953,L953=TRUE),"OK",IF(AND(J953&gt;K953,L953=FALSE),"OK","Check"))</f>
        <v>OK</v>
      </c>
      <c r="R953" t="str">
        <f>IF(ABS(N953-J953*M953)&lt;=J953*0.005+0.01,"OK","Check")</f>
        <v>OK</v>
      </c>
      <c r="S953" s="3">
        <f t="shared" si="14"/>
        <v>1</v>
      </c>
    </row>
    <row r="954" spans="1:19">
      <c r="A954" s="1">
        <v>46082</v>
      </c>
      <c r="B954" t="s">
        <v>279</v>
      </c>
      <c r="C954" t="s">
        <v>162</v>
      </c>
      <c r="D954" t="s">
        <v>163</v>
      </c>
      <c r="E954" t="s">
        <v>151</v>
      </c>
      <c r="F954" t="s">
        <v>23</v>
      </c>
      <c r="G954">
        <v>45</v>
      </c>
      <c r="H954">
        <v>142</v>
      </c>
      <c r="I954">
        <v>51</v>
      </c>
      <c r="J954">
        <v>136</v>
      </c>
      <c r="K954">
        <v>67</v>
      </c>
      <c r="L954" t="b">
        <v>0</v>
      </c>
      <c r="M954">
        <v>218.03</v>
      </c>
      <c r="N954">
        <v>29651.5</v>
      </c>
      <c r="O954" t="s">
        <v>37</v>
      </c>
      <c r="P954" t="str">
        <f>IF(J954=G954+H954-I954,"OK","Check")</f>
        <v>OK</v>
      </c>
      <c r="Q954" t="str">
        <f>IF(AND(J954&lt;=K954,L954=TRUE),"OK",IF(AND(J954&gt;K954,L954=FALSE),"OK","Check"))</f>
        <v>OK</v>
      </c>
      <c r="R954" t="str">
        <f>IF(ABS(N954-J954*M954)&lt;=J954*0.005+0.01,"OK","Check")</f>
        <v>OK</v>
      </c>
      <c r="S954" s="3">
        <f t="shared" si="14"/>
        <v>1</v>
      </c>
    </row>
    <row r="955" spans="1:19">
      <c r="A955" s="1">
        <v>46082</v>
      </c>
      <c r="B955" t="s">
        <v>279</v>
      </c>
      <c r="C955" t="s">
        <v>164</v>
      </c>
      <c r="D955" t="s">
        <v>165</v>
      </c>
      <c r="E955" t="s">
        <v>151</v>
      </c>
      <c r="F955" t="s">
        <v>23</v>
      </c>
      <c r="G955">
        <v>154</v>
      </c>
      <c r="H955">
        <v>0</v>
      </c>
      <c r="I955">
        <v>51</v>
      </c>
      <c r="J955">
        <v>103</v>
      </c>
      <c r="K955">
        <v>84</v>
      </c>
      <c r="L955" t="b">
        <v>0</v>
      </c>
      <c r="M955">
        <v>914.71</v>
      </c>
      <c r="N955">
        <v>94214.8</v>
      </c>
      <c r="O955" t="s">
        <v>98</v>
      </c>
      <c r="P955" t="str">
        <f>IF(J955=G955+H955-I955,"OK","Check")</f>
        <v>OK</v>
      </c>
      <c r="Q955" t="str">
        <f>IF(AND(J955&lt;=K955,L955=TRUE),"OK",IF(AND(J955&gt;K955,L955=FALSE),"OK","Check"))</f>
        <v>OK</v>
      </c>
      <c r="R955" t="str">
        <f>IF(ABS(N955-J955*M955)&lt;=J955*0.005+0.01,"OK","Check")</f>
        <v>OK</v>
      </c>
      <c r="S955" s="3">
        <f t="shared" si="14"/>
        <v>1</v>
      </c>
    </row>
    <row r="956" spans="1:19">
      <c r="A956" s="1">
        <v>46082</v>
      </c>
      <c r="B956" t="s">
        <v>279</v>
      </c>
      <c r="C956" t="s">
        <v>166</v>
      </c>
      <c r="D956" t="s">
        <v>167</v>
      </c>
      <c r="E956" t="s">
        <v>151</v>
      </c>
      <c r="F956" t="s">
        <v>23</v>
      </c>
      <c r="G956">
        <v>197</v>
      </c>
      <c r="H956">
        <v>0</v>
      </c>
      <c r="I956">
        <v>134</v>
      </c>
      <c r="J956">
        <v>63</v>
      </c>
      <c r="K956">
        <v>146</v>
      </c>
      <c r="L956" t="b">
        <v>1</v>
      </c>
      <c r="M956">
        <v>132.47999999999999</v>
      </c>
      <c r="N956">
        <v>8346.17</v>
      </c>
      <c r="O956" t="s">
        <v>44</v>
      </c>
      <c r="P956" t="str">
        <f>IF(J956=G956+H956-I956,"OK","Check")</f>
        <v>OK</v>
      </c>
      <c r="Q956" t="str">
        <f>IF(AND(J956&lt;=K956,L956=TRUE),"OK",IF(AND(J956&gt;K956,L956=FALSE),"OK","Check"))</f>
        <v>OK</v>
      </c>
      <c r="R956" t="str">
        <f>IF(ABS(N956-J956*M956)&lt;=J956*0.005+0.01,"OK","Check")</f>
        <v>OK</v>
      </c>
      <c r="S956" s="3">
        <f t="shared" si="14"/>
        <v>1</v>
      </c>
    </row>
    <row r="957" spans="1:19">
      <c r="A957" s="1">
        <v>46082</v>
      </c>
      <c r="B957" t="s">
        <v>279</v>
      </c>
      <c r="C957" t="s">
        <v>249</v>
      </c>
      <c r="D957" t="s">
        <v>250</v>
      </c>
      <c r="E957" t="s">
        <v>151</v>
      </c>
      <c r="F957" t="s">
        <v>23</v>
      </c>
      <c r="G957">
        <v>548</v>
      </c>
      <c r="H957">
        <v>0</v>
      </c>
      <c r="I957">
        <v>146</v>
      </c>
      <c r="J957">
        <v>402</v>
      </c>
      <c r="K957">
        <v>231</v>
      </c>
      <c r="L957" t="b">
        <v>0</v>
      </c>
      <c r="M957">
        <v>594.34</v>
      </c>
      <c r="N957">
        <v>238924.76</v>
      </c>
      <c r="O957" t="s">
        <v>32</v>
      </c>
      <c r="P957" t="str">
        <f>IF(J957=G957+H957-I957,"OK","Check")</f>
        <v>OK</v>
      </c>
      <c r="Q957" t="str">
        <f>IF(AND(J957&lt;=K957,L957=TRUE),"OK",IF(AND(J957&gt;K957,L957=FALSE),"OK","Check"))</f>
        <v>OK</v>
      </c>
      <c r="R957" t="str">
        <f>IF(ABS(N957-J957*M957)&lt;=J957*0.005+0.01,"OK","Check")</f>
        <v>OK</v>
      </c>
      <c r="S957" s="3">
        <f t="shared" si="14"/>
        <v>1</v>
      </c>
    </row>
    <row r="958" spans="1:19">
      <c r="A958" s="1">
        <v>46082</v>
      </c>
      <c r="B958" t="s">
        <v>279</v>
      </c>
      <c r="C958" t="s">
        <v>168</v>
      </c>
      <c r="D958" t="s">
        <v>169</v>
      </c>
      <c r="E958" t="s">
        <v>151</v>
      </c>
      <c r="F958" t="s">
        <v>23</v>
      </c>
      <c r="G958">
        <v>101</v>
      </c>
      <c r="H958">
        <v>529</v>
      </c>
      <c r="I958">
        <v>249</v>
      </c>
      <c r="J958">
        <v>381</v>
      </c>
      <c r="K958">
        <v>180</v>
      </c>
      <c r="L958" t="b">
        <v>0</v>
      </c>
      <c r="M958">
        <v>651.13</v>
      </c>
      <c r="N958">
        <v>248080.32</v>
      </c>
      <c r="O958" t="s">
        <v>27</v>
      </c>
      <c r="P958" t="str">
        <f>IF(J958=G958+H958-I958,"OK","Check")</f>
        <v>OK</v>
      </c>
      <c r="Q958" t="str">
        <f>IF(AND(J958&lt;=K958,L958=TRUE),"OK",IF(AND(J958&gt;K958,L958=FALSE),"OK","Check"))</f>
        <v>OK</v>
      </c>
      <c r="R958" t="str">
        <f>IF(ABS(N958-J958*M958)&lt;=J958*0.005+0.01,"OK","Check")</f>
        <v>OK</v>
      </c>
      <c r="S958" s="3">
        <f t="shared" si="14"/>
        <v>1</v>
      </c>
    </row>
    <row r="959" spans="1:19">
      <c r="A959" s="1">
        <v>46082</v>
      </c>
      <c r="B959" t="s">
        <v>279</v>
      </c>
      <c r="C959" t="s">
        <v>170</v>
      </c>
      <c r="D959" t="s">
        <v>171</v>
      </c>
      <c r="E959" t="s">
        <v>151</v>
      </c>
      <c r="F959" t="s">
        <v>23</v>
      </c>
      <c r="G959">
        <v>65</v>
      </c>
      <c r="H959">
        <v>192</v>
      </c>
      <c r="I959">
        <v>77</v>
      </c>
      <c r="J959">
        <v>180</v>
      </c>
      <c r="K959">
        <v>96</v>
      </c>
      <c r="L959" t="b">
        <v>0</v>
      </c>
      <c r="M959">
        <v>3088.67</v>
      </c>
      <c r="N959">
        <v>555960.28</v>
      </c>
      <c r="O959" t="s">
        <v>47</v>
      </c>
      <c r="P959" t="str">
        <f>IF(J959=G959+H959-I959,"OK","Check")</f>
        <v>OK</v>
      </c>
      <c r="Q959" t="str">
        <f>IF(AND(J959&lt;=K959,L959=TRUE),"OK",IF(AND(J959&gt;K959,L959=FALSE),"OK","Check"))</f>
        <v>OK</v>
      </c>
      <c r="R959" t="str">
        <f>IF(ABS(N959-J959*M959)&lt;=J959*0.005+0.01,"OK","Check")</f>
        <v>OK</v>
      </c>
      <c r="S959" s="3">
        <f t="shared" si="14"/>
        <v>1</v>
      </c>
    </row>
    <row r="960" spans="1:19">
      <c r="A960" s="1">
        <v>46082</v>
      </c>
      <c r="B960" t="s">
        <v>279</v>
      </c>
      <c r="C960" t="s">
        <v>172</v>
      </c>
      <c r="D960" t="s">
        <v>173</v>
      </c>
      <c r="E960" t="s">
        <v>151</v>
      </c>
      <c r="F960" t="s">
        <v>23</v>
      </c>
      <c r="G960">
        <v>502</v>
      </c>
      <c r="H960">
        <v>0</v>
      </c>
      <c r="I960">
        <v>146</v>
      </c>
      <c r="J960">
        <v>356</v>
      </c>
      <c r="K960">
        <v>168</v>
      </c>
      <c r="L960" t="b">
        <v>0</v>
      </c>
      <c r="M960">
        <v>465.62</v>
      </c>
      <c r="N960">
        <v>165760.28</v>
      </c>
      <c r="O960" t="s">
        <v>24</v>
      </c>
      <c r="P960" t="str">
        <f>IF(J960=G960+H960-I960,"OK","Check")</f>
        <v>OK</v>
      </c>
      <c r="Q960" t="str">
        <f>IF(AND(J960&lt;=K960,L960=TRUE),"OK",IF(AND(J960&gt;K960,L960=FALSE),"OK","Check"))</f>
        <v>OK</v>
      </c>
      <c r="R960" t="str">
        <f>IF(ABS(N960-J960*M960)&lt;=J960*0.005+0.01,"OK","Check")</f>
        <v>OK</v>
      </c>
      <c r="S960" s="3">
        <f t="shared" si="14"/>
        <v>1</v>
      </c>
    </row>
    <row r="961" spans="1:19">
      <c r="A961" s="1">
        <v>46082</v>
      </c>
      <c r="B961" t="s">
        <v>279</v>
      </c>
      <c r="C961" t="s">
        <v>174</v>
      </c>
      <c r="D961" t="s">
        <v>175</v>
      </c>
      <c r="E961" t="s">
        <v>151</v>
      </c>
      <c r="F961" t="s">
        <v>23</v>
      </c>
      <c r="G961">
        <v>296</v>
      </c>
      <c r="H961">
        <v>0</v>
      </c>
      <c r="I961">
        <v>187</v>
      </c>
      <c r="J961">
        <v>109</v>
      </c>
      <c r="K961">
        <v>232</v>
      </c>
      <c r="L961" t="b">
        <v>1</v>
      </c>
      <c r="M961">
        <v>2312.85</v>
      </c>
      <c r="N961">
        <v>252100.66</v>
      </c>
      <c r="O961" t="s">
        <v>27</v>
      </c>
      <c r="P961" t="str">
        <f>IF(J961=G961+H961-I961,"OK","Check")</f>
        <v>OK</v>
      </c>
      <c r="Q961" t="str">
        <f>IF(AND(J961&lt;=K961,L961=TRUE),"OK",IF(AND(J961&gt;K961,L961=FALSE),"OK","Check"))</f>
        <v>OK</v>
      </c>
      <c r="R961" t="str">
        <f>IF(ABS(N961-J961*M961)&lt;=J961*0.005+0.01,"OK","Check")</f>
        <v>OK</v>
      </c>
      <c r="S961" s="3">
        <f t="shared" si="14"/>
        <v>1</v>
      </c>
    </row>
    <row r="962" spans="1:19">
      <c r="A962" s="1">
        <v>46082</v>
      </c>
      <c r="B962" t="s">
        <v>279</v>
      </c>
      <c r="C962" t="s">
        <v>176</v>
      </c>
      <c r="D962" t="s">
        <v>177</v>
      </c>
      <c r="E962" t="s">
        <v>151</v>
      </c>
      <c r="F962" t="s">
        <v>23</v>
      </c>
      <c r="G962">
        <v>187</v>
      </c>
      <c r="H962">
        <v>243</v>
      </c>
      <c r="I962">
        <v>65</v>
      </c>
      <c r="J962">
        <v>365</v>
      </c>
      <c r="K962">
        <v>93</v>
      </c>
      <c r="L962" t="b">
        <v>0</v>
      </c>
      <c r="M962">
        <v>65.349999999999994</v>
      </c>
      <c r="N962">
        <v>23850.95</v>
      </c>
      <c r="O962" t="s">
        <v>27</v>
      </c>
      <c r="P962" t="str">
        <f>IF(J962=G962+H962-I962,"OK","Check")</f>
        <v>OK</v>
      </c>
      <c r="Q962" t="str">
        <f>IF(AND(J962&lt;=K962,L962=TRUE),"OK",IF(AND(J962&gt;K962,L962=FALSE),"OK","Check"))</f>
        <v>OK</v>
      </c>
      <c r="R962" t="str">
        <f>IF(ABS(N962-J962*M962)&lt;=J962*0.005+0.01,"OK","Check")</f>
        <v>OK</v>
      </c>
      <c r="S962" s="3">
        <f t="shared" ref="S962:S1001" si="15">COUNTIFS(A:A,A962,B:B,B962,C:C,C962)</f>
        <v>1</v>
      </c>
    </row>
    <row r="963" spans="1:19">
      <c r="A963" s="1">
        <v>46082</v>
      </c>
      <c r="B963" t="s">
        <v>279</v>
      </c>
      <c r="C963" t="s">
        <v>178</v>
      </c>
      <c r="D963" t="s">
        <v>179</v>
      </c>
      <c r="E963" t="s">
        <v>151</v>
      </c>
      <c r="F963" t="s">
        <v>23</v>
      </c>
      <c r="G963">
        <v>14</v>
      </c>
      <c r="H963">
        <v>129</v>
      </c>
      <c r="I963">
        <v>29</v>
      </c>
      <c r="J963">
        <v>114</v>
      </c>
      <c r="K963">
        <v>39</v>
      </c>
      <c r="L963" t="b">
        <v>0</v>
      </c>
      <c r="M963">
        <v>338.06</v>
      </c>
      <c r="N963">
        <v>38538.53</v>
      </c>
      <c r="O963" t="s">
        <v>32</v>
      </c>
      <c r="P963" t="str">
        <f>IF(J963=G963+H963-I963,"OK","Check")</f>
        <v>OK</v>
      </c>
      <c r="Q963" t="str">
        <f>IF(AND(J963&lt;=K963,L963=TRUE),"OK",IF(AND(J963&gt;K963,L963=FALSE),"OK","Check"))</f>
        <v>OK</v>
      </c>
      <c r="R963" t="str">
        <f>IF(ABS(N963-J963*M963)&lt;=J963*0.005+0.01,"OK","Check")</f>
        <v>OK</v>
      </c>
      <c r="S963" s="3">
        <f t="shared" si="15"/>
        <v>1</v>
      </c>
    </row>
    <row r="964" spans="1:19">
      <c r="A964" s="1">
        <v>46082</v>
      </c>
      <c r="B964" t="s">
        <v>279</v>
      </c>
      <c r="C964" t="s">
        <v>180</v>
      </c>
      <c r="D964" t="s">
        <v>181</v>
      </c>
      <c r="E964" t="s">
        <v>151</v>
      </c>
      <c r="F964" t="s">
        <v>23</v>
      </c>
      <c r="G964">
        <v>432</v>
      </c>
      <c r="H964">
        <v>0</v>
      </c>
      <c r="I964">
        <v>127</v>
      </c>
      <c r="J964">
        <v>305</v>
      </c>
      <c r="K964">
        <v>130</v>
      </c>
      <c r="L964" t="b">
        <v>0</v>
      </c>
      <c r="M964">
        <v>53.96</v>
      </c>
      <c r="N964">
        <v>16457.669999999998</v>
      </c>
      <c r="O964" t="s">
        <v>44</v>
      </c>
      <c r="P964" t="str">
        <f>IF(J964=G964+H964-I964,"OK","Check")</f>
        <v>OK</v>
      </c>
      <c r="Q964" t="str">
        <f>IF(AND(J964&lt;=K964,L964=TRUE),"OK",IF(AND(J964&gt;K964,L964=FALSE),"OK","Check"))</f>
        <v>OK</v>
      </c>
      <c r="R964" t="str">
        <f>IF(ABS(N964-J964*M964)&lt;=J964*0.005+0.01,"OK","Check")</f>
        <v>OK</v>
      </c>
      <c r="S964" s="3">
        <f t="shared" si="15"/>
        <v>1</v>
      </c>
    </row>
    <row r="965" spans="1:19">
      <c r="A965" s="1">
        <v>46082</v>
      </c>
      <c r="B965" t="s">
        <v>279</v>
      </c>
      <c r="C965" t="s">
        <v>182</v>
      </c>
      <c r="D965" t="s">
        <v>183</v>
      </c>
      <c r="E965" t="s">
        <v>151</v>
      </c>
      <c r="F965" t="s">
        <v>23</v>
      </c>
      <c r="G965">
        <v>234</v>
      </c>
      <c r="H965">
        <v>0</v>
      </c>
      <c r="I965">
        <v>51</v>
      </c>
      <c r="J965">
        <v>183</v>
      </c>
      <c r="K965">
        <v>66</v>
      </c>
      <c r="L965" t="b">
        <v>0</v>
      </c>
      <c r="M965">
        <v>261.07</v>
      </c>
      <c r="N965">
        <v>47775.28</v>
      </c>
      <c r="O965" t="s">
        <v>32</v>
      </c>
      <c r="P965" t="str">
        <f>IF(J965=G965+H965-I965,"OK","Check")</f>
        <v>OK</v>
      </c>
      <c r="Q965" t="str">
        <f>IF(AND(J965&lt;=K965,L965=TRUE),"OK",IF(AND(J965&gt;K965,L965=FALSE),"OK","Check"))</f>
        <v>OK</v>
      </c>
      <c r="R965" t="str">
        <f>IF(ABS(N965-J965*M965)&lt;=J965*0.005+0.01,"OK","Check")</f>
        <v>OK</v>
      </c>
      <c r="S965" s="3">
        <f t="shared" si="15"/>
        <v>1</v>
      </c>
    </row>
    <row r="966" spans="1:19">
      <c r="A966" s="1">
        <v>46082</v>
      </c>
      <c r="B966" t="s">
        <v>279</v>
      </c>
      <c r="C966" t="s">
        <v>251</v>
      </c>
      <c r="D966" t="s">
        <v>252</v>
      </c>
      <c r="E966" t="s">
        <v>151</v>
      </c>
      <c r="F966" t="s">
        <v>23</v>
      </c>
      <c r="G966">
        <v>202</v>
      </c>
      <c r="H966">
        <v>742</v>
      </c>
      <c r="I966">
        <v>301</v>
      </c>
      <c r="J966">
        <v>643</v>
      </c>
      <c r="K966">
        <v>261</v>
      </c>
      <c r="L966" t="b">
        <v>0</v>
      </c>
      <c r="M966">
        <v>79.44</v>
      </c>
      <c r="N966">
        <v>51081.62</v>
      </c>
      <c r="O966" t="s">
        <v>44</v>
      </c>
      <c r="P966" t="str">
        <f>IF(J966=G966+H966-I966,"OK","Check")</f>
        <v>OK</v>
      </c>
      <c r="Q966" t="str">
        <f>IF(AND(J966&lt;=K966,L966=TRUE),"OK",IF(AND(J966&gt;K966,L966=FALSE),"OK","Check"))</f>
        <v>OK</v>
      </c>
      <c r="R966" t="str">
        <f>IF(ABS(N966-J966*M966)&lt;=J966*0.005+0.01,"OK","Check")</f>
        <v>OK</v>
      </c>
      <c r="S966" s="3">
        <f t="shared" si="15"/>
        <v>1</v>
      </c>
    </row>
    <row r="967" spans="1:19">
      <c r="A967" s="1">
        <v>46082</v>
      </c>
      <c r="B967" t="s">
        <v>279</v>
      </c>
      <c r="C967" t="s">
        <v>184</v>
      </c>
      <c r="D967" t="s">
        <v>185</v>
      </c>
      <c r="E967" t="s">
        <v>151</v>
      </c>
      <c r="F967" t="s">
        <v>23</v>
      </c>
      <c r="G967">
        <v>275</v>
      </c>
      <c r="H967">
        <v>0</v>
      </c>
      <c r="I967">
        <v>88</v>
      </c>
      <c r="J967">
        <v>187</v>
      </c>
      <c r="K967">
        <v>88</v>
      </c>
      <c r="L967" t="b">
        <v>0</v>
      </c>
      <c r="M967">
        <v>383.45</v>
      </c>
      <c r="N967">
        <v>71705.009999999995</v>
      </c>
      <c r="O967" t="s">
        <v>60</v>
      </c>
      <c r="P967" t="str">
        <f>IF(J967=G967+H967-I967,"OK","Check")</f>
        <v>OK</v>
      </c>
      <c r="Q967" t="str">
        <f>IF(AND(J967&lt;=K967,L967=TRUE),"OK",IF(AND(J967&gt;K967,L967=FALSE),"OK","Check"))</f>
        <v>OK</v>
      </c>
      <c r="R967" t="str">
        <f>IF(ABS(N967-J967*M967)&lt;=J967*0.005+0.01,"OK","Check")</f>
        <v>OK</v>
      </c>
      <c r="S967" s="3">
        <f t="shared" si="15"/>
        <v>1</v>
      </c>
    </row>
    <row r="968" spans="1:19">
      <c r="A968" s="1">
        <v>46082</v>
      </c>
      <c r="B968" t="s">
        <v>279</v>
      </c>
      <c r="C968" t="s">
        <v>186</v>
      </c>
      <c r="D968" t="s">
        <v>187</v>
      </c>
      <c r="E968" t="s">
        <v>188</v>
      </c>
      <c r="F968" t="s">
        <v>23</v>
      </c>
      <c r="G968">
        <v>26</v>
      </c>
      <c r="H968">
        <v>0</v>
      </c>
      <c r="I968">
        <v>18</v>
      </c>
      <c r="J968">
        <v>8</v>
      </c>
      <c r="K968">
        <v>15</v>
      </c>
      <c r="L968" t="b">
        <v>1</v>
      </c>
      <c r="M968">
        <v>131.88</v>
      </c>
      <c r="N968">
        <v>1055.06</v>
      </c>
      <c r="O968" t="s">
        <v>24</v>
      </c>
      <c r="P968" t="str">
        <f>IF(J968=G968+H968-I968,"OK","Check")</f>
        <v>OK</v>
      </c>
      <c r="Q968" t="str">
        <f>IF(AND(J968&lt;=K968,L968=TRUE),"OK",IF(AND(J968&gt;K968,L968=FALSE),"OK","Check"))</f>
        <v>OK</v>
      </c>
      <c r="R968" t="str">
        <f>IF(ABS(N968-J968*M968)&lt;=J968*0.005+0.01,"OK","Check")</f>
        <v>OK</v>
      </c>
      <c r="S968" s="3">
        <f t="shared" si="15"/>
        <v>1</v>
      </c>
    </row>
    <row r="969" spans="1:19">
      <c r="A969" s="1">
        <v>46082</v>
      </c>
      <c r="B969" t="s">
        <v>279</v>
      </c>
      <c r="C969" t="s">
        <v>189</v>
      </c>
      <c r="D969" t="s">
        <v>190</v>
      </c>
      <c r="E969" t="s">
        <v>188</v>
      </c>
      <c r="F969" t="s">
        <v>23</v>
      </c>
      <c r="G969">
        <v>154</v>
      </c>
      <c r="H969">
        <v>342</v>
      </c>
      <c r="I969">
        <v>87</v>
      </c>
      <c r="J969">
        <v>409</v>
      </c>
      <c r="K969">
        <v>135</v>
      </c>
      <c r="L969" t="b">
        <v>0</v>
      </c>
      <c r="M969">
        <v>548.28</v>
      </c>
      <c r="N969">
        <v>224246.5</v>
      </c>
      <c r="O969" t="s">
        <v>98</v>
      </c>
      <c r="P969" t="str">
        <f>IF(J969=G969+H969-I969,"OK","Check")</f>
        <v>OK</v>
      </c>
      <c r="Q969" t="str">
        <f>IF(AND(J969&lt;=K969,L969=TRUE),"OK",IF(AND(J969&gt;K969,L969=FALSE),"OK","Check"))</f>
        <v>OK</v>
      </c>
      <c r="R969" t="str">
        <f>IF(ABS(N969-J969*M969)&lt;=J969*0.005+0.01,"OK","Check")</f>
        <v>OK</v>
      </c>
      <c r="S969" s="3">
        <f t="shared" si="15"/>
        <v>1</v>
      </c>
    </row>
    <row r="970" spans="1:19">
      <c r="A970" s="1">
        <v>46082</v>
      </c>
      <c r="B970" t="s">
        <v>279</v>
      </c>
      <c r="C970" t="s">
        <v>195</v>
      </c>
      <c r="D970" t="s">
        <v>196</v>
      </c>
      <c r="E970" t="s">
        <v>188</v>
      </c>
      <c r="F970" t="s">
        <v>23</v>
      </c>
      <c r="G970">
        <v>450</v>
      </c>
      <c r="H970">
        <v>513</v>
      </c>
      <c r="I970">
        <v>197</v>
      </c>
      <c r="J970">
        <v>766</v>
      </c>
      <c r="K970">
        <v>213</v>
      </c>
      <c r="L970" t="b">
        <v>0</v>
      </c>
      <c r="M970">
        <v>63.58</v>
      </c>
      <c r="N970">
        <v>48699.16</v>
      </c>
      <c r="O970" t="s">
        <v>47</v>
      </c>
      <c r="P970" t="str">
        <f>IF(J970=G970+H970-I970,"OK","Check")</f>
        <v>OK</v>
      </c>
      <c r="Q970" t="str">
        <f>IF(AND(J970&lt;=K970,L970=TRUE),"OK",IF(AND(J970&gt;K970,L970=FALSE),"OK","Check"))</f>
        <v>OK</v>
      </c>
      <c r="R970" t="str">
        <f>IF(ABS(N970-J970*M970)&lt;=J970*0.005+0.01,"OK","Check")</f>
        <v>OK</v>
      </c>
      <c r="S970" s="3">
        <f t="shared" si="15"/>
        <v>1</v>
      </c>
    </row>
    <row r="971" spans="1:19">
      <c r="A971" s="1">
        <v>46082</v>
      </c>
      <c r="B971" t="s">
        <v>279</v>
      </c>
      <c r="C971" t="s">
        <v>253</v>
      </c>
      <c r="D971" t="s">
        <v>254</v>
      </c>
      <c r="E971" t="s">
        <v>188</v>
      </c>
      <c r="F971" t="s">
        <v>23</v>
      </c>
      <c r="G971">
        <v>125</v>
      </c>
      <c r="H971">
        <v>451</v>
      </c>
      <c r="I971">
        <v>142</v>
      </c>
      <c r="J971">
        <v>434</v>
      </c>
      <c r="K971">
        <v>171</v>
      </c>
      <c r="L971" t="b">
        <v>0</v>
      </c>
      <c r="M971">
        <v>327.5</v>
      </c>
      <c r="N971">
        <v>142132.95000000001</v>
      </c>
      <c r="O971" t="s">
        <v>60</v>
      </c>
      <c r="P971" t="str">
        <f>IF(J971=G971+H971-I971,"OK","Check")</f>
        <v>OK</v>
      </c>
      <c r="Q971" t="str">
        <f>IF(AND(J971&lt;=K971,L971=TRUE),"OK",IF(AND(J971&gt;K971,L971=FALSE),"OK","Check"))</f>
        <v>OK</v>
      </c>
      <c r="R971" t="str">
        <f>IF(ABS(N971-J971*M971)&lt;=J971*0.005+0.01,"OK","Check")</f>
        <v>OK</v>
      </c>
      <c r="S971" s="3">
        <f t="shared" si="15"/>
        <v>1</v>
      </c>
    </row>
    <row r="972" spans="1:19">
      <c r="A972" s="1">
        <v>46082</v>
      </c>
      <c r="B972" t="s">
        <v>279</v>
      </c>
      <c r="C972" t="s">
        <v>197</v>
      </c>
      <c r="D972" t="s">
        <v>198</v>
      </c>
      <c r="E972" t="s">
        <v>188</v>
      </c>
      <c r="F972" t="s">
        <v>23</v>
      </c>
      <c r="G972">
        <v>72</v>
      </c>
      <c r="H972">
        <v>0</v>
      </c>
      <c r="I972">
        <v>44</v>
      </c>
      <c r="J972">
        <v>28</v>
      </c>
      <c r="K972">
        <v>55</v>
      </c>
      <c r="L972" t="b">
        <v>1</v>
      </c>
      <c r="M972">
        <v>116.76</v>
      </c>
      <c r="N972">
        <v>3269.29</v>
      </c>
      <c r="O972" t="s">
        <v>98</v>
      </c>
      <c r="P972" t="str">
        <f>IF(J972=G972+H972-I972,"OK","Check")</f>
        <v>OK</v>
      </c>
      <c r="Q972" t="str">
        <f>IF(AND(J972&lt;=K972,L972=TRUE),"OK",IF(AND(J972&gt;K972,L972=FALSE),"OK","Check"))</f>
        <v>OK</v>
      </c>
      <c r="R972" t="str">
        <f>IF(ABS(N972-J972*M972)&lt;=J972*0.005+0.01,"OK","Check")</f>
        <v>OK</v>
      </c>
      <c r="S972" s="3">
        <f t="shared" si="15"/>
        <v>1</v>
      </c>
    </row>
    <row r="973" spans="1:19">
      <c r="A973" s="1">
        <v>46082</v>
      </c>
      <c r="B973" t="s">
        <v>279</v>
      </c>
      <c r="C973" t="s">
        <v>199</v>
      </c>
      <c r="D973" t="s">
        <v>200</v>
      </c>
      <c r="E973" t="s">
        <v>188</v>
      </c>
      <c r="F973" t="s">
        <v>23</v>
      </c>
      <c r="G973">
        <v>26</v>
      </c>
      <c r="H973">
        <v>365</v>
      </c>
      <c r="I973">
        <v>102</v>
      </c>
      <c r="J973">
        <v>289</v>
      </c>
      <c r="K973">
        <v>112</v>
      </c>
      <c r="L973" t="b">
        <v>0</v>
      </c>
      <c r="M973">
        <v>535.87</v>
      </c>
      <c r="N973">
        <v>154865.01999999999</v>
      </c>
      <c r="O973" t="s">
        <v>98</v>
      </c>
      <c r="P973" t="str">
        <f>IF(J973=G973+H973-I973,"OK","Check")</f>
        <v>OK</v>
      </c>
      <c r="Q973" t="str">
        <f>IF(AND(J973&lt;=K973,L973=TRUE),"OK",IF(AND(J973&gt;K973,L973=FALSE),"OK","Check"))</f>
        <v>OK</v>
      </c>
      <c r="R973" t="str">
        <f>IF(ABS(N973-J973*M973)&lt;=J973*0.005+0.01,"OK","Check")</f>
        <v>OK</v>
      </c>
      <c r="S973" s="3">
        <f t="shared" si="15"/>
        <v>1</v>
      </c>
    </row>
    <row r="974" spans="1:19">
      <c r="A974" s="1">
        <v>46082</v>
      </c>
      <c r="B974" t="s">
        <v>279</v>
      </c>
      <c r="C974" t="s">
        <v>201</v>
      </c>
      <c r="D974" t="s">
        <v>202</v>
      </c>
      <c r="E974" t="s">
        <v>188</v>
      </c>
      <c r="F974" t="s">
        <v>23</v>
      </c>
      <c r="G974">
        <v>265</v>
      </c>
      <c r="H974">
        <v>0</v>
      </c>
      <c r="I974">
        <v>204</v>
      </c>
      <c r="J974">
        <v>61</v>
      </c>
      <c r="K974">
        <v>194</v>
      </c>
      <c r="L974" t="b">
        <v>1</v>
      </c>
      <c r="M974">
        <v>865.53</v>
      </c>
      <c r="N974">
        <v>52797.47</v>
      </c>
      <c r="O974" t="s">
        <v>47</v>
      </c>
      <c r="P974" t="str">
        <f>IF(J974=G974+H974-I974,"OK","Check")</f>
        <v>OK</v>
      </c>
      <c r="Q974" t="str">
        <f>IF(AND(J974&lt;=K974,L974=TRUE),"OK",IF(AND(J974&gt;K974,L974=FALSE),"OK","Check"))</f>
        <v>OK</v>
      </c>
      <c r="R974" t="str">
        <f>IF(ABS(N974-J974*M974)&lt;=J974*0.005+0.01,"OK","Check")</f>
        <v>OK</v>
      </c>
      <c r="S974" s="3">
        <f t="shared" si="15"/>
        <v>1</v>
      </c>
    </row>
    <row r="975" spans="1:19">
      <c r="A975" s="1">
        <v>46082</v>
      </c>
      <c r="B975" t="s">
        <v>279</v>
      </c>
      <c r="C975" t="s">
        <v>203</v>
      </c>
      <c r="D975" t="s">
        <v>204</v>
      </c>
      <c r="E975" t="s">
        <v>188</v>
      </c>
      <c r="F975" t="s">
        <v>23</v>
      </c>
      <c r="G975">
        <v>272</v>
      </c>
      <c r="H975">
        <v>0</v>
      </c>
      <c r="I975">
        <v>95</v>
      </c>
      <c r="J975">
        <v>177</v>
      </c>
      <c r="K975">
        <v>192</v>
      </c>
      <c r="L975" t="b">
        <v>1</v>
      </c>
      <c r="M975">
        <v>4042.96</v>
      </c>
      <c r="N975">
        <v>715603.45</v>
      </c>
      <c r="O975" t="s">
        <v>47</v>
      </c>
      <c r="P975" t="str">
        <f>IF(J975=G975+H975-I975,"OK","Check")</f>
        <v>OK</v>
      </c>
      <c r="Q975" t="str">
        <f>IF(AND(J975&lt;=K975,L975=TRUE),"OK",IF(AND(J975&gt;K975,L975=FALSE),"OK","Check"))</f>
        <v>OK</v>
      </c>
      <c r="R975" t="str">
        <f>IF(ABS(N975-J975*M975)&lt;=J975*0.005+0.01,"OK","Check")</f>
        <v>OK</v>
      </c>
      <c r="S975" s="3">
        <f t="shared" si="15"/>
        <v>1</v>
      </c>
    </row>
    <row r="976" spans="1:19">
      <c r="A976" s="1">
        <v>46082</v>
      </c>
      <c r="B976" t="s">
        <v>279</v>
      </c>
      <c r="C976" t="s">
        <v>205</v>
      </c>
      <c r="D976" t="s">
        <v>206</v>
      </c>
      <c r="E976" t="s">
        <v>188</v>
      </c>
      <c r="F976" t="s">
        <v>23</v>
      </c>
      <c r="G976">
        <v>122</v>
      </c>
      <c r="H976">
        <v>409</v>
      </c>
      <c r="I976">
        <v>123</v>
      </c>
      <c r="J976">
        <v>408</v>
      </c>
      <c r="K976">
        <v>245</v>
      </c>
      <c r="L976" t="b">
        <v>0</v>
      </c>
      <c r="M976">
        <v>94.34</v>
      </c>
      <c r="N976">
        <v>38488.800000000003</v>
      </c>
      <c r="O976" t="s">
        <v>98</v>
      </c>
      <c r="P976" t="str">
        <f>IF(J976=G976+H976-I976,"OK","Check")</f>
        <v>OK</v>
      </c>
      <c r="Q976" t="str">
        <f>IF(AND(J976&lt;=K976,L976=TRUE),"OK",IF(AND(J976&gt;K976,L976=FALSE),"OK","Check"))</f>
        <v>OK</v>
      </c>
      <c r="R976" t="str">
        <f>IF(ABS(N976-J976*M976)&lt;=J976*0.005+0.01,"OK","Check")</f>
        <v>OK</v>
      </c>
      <c r="S976" s="3">
        <f t="shared" si="15"/>
        <v>1</v>
      </c>
    </row>
    <row r="977" spans="1:19">
      <c r="A977" s="1">
        <v>46082</v>
      </c>
      <c r="B977" t="s">
        <v>279</v>
      </c>
      <c r="C977" t="s">
        <v>255</v>
      </c>
      <c r="D977" t="s">
        <v>256</v>
      </c>
      <c r="E977" t="s">
        <v>188</v>
      </c>
      <c r="F977" t="s">
        <v>23</v>
      </c>
      <c r="G977">
        <v>135</v>
      </c>
      <c r="H977">
        <v>0</v>
      </c>
      <c r="I977">
        <v>128</v>
      </c>
      <c r="J977">
        <v>7</v>
      </c>
      <c r="K977">
        <v>111</v>
      </c>
      <c r="L977" t="b">
        <v>1</v>
      </c>
      <c r="M977">
        <v>389.87</v>
      </c>
      <c r="N977">
        <v>2729.08</v>
      </c>
      <c r="O977" t="s">
        <v>37</v>
      </c>
      <c r="P977" t="str">
        <f>IF(J977=G977+H977-I977,"OK","Check")</f>
        <v>OK</v>
      </c>
      <c r="Q977" t="str">
        <f>IF(AND(J977&lt;=K977,L977=TRUE),"OK",IF(AND(J977&gt;K977,L977=FALSE),"OK","Check"))</f>
        <v>OK</v>
      </c>
      <c r="R977" t="str">
        <f>IF(ABS(N977-J977*M977)&lt;=J977*0.005+0.01,"OK","Check")</f>
        <v>OK</v>
      </c>
      <c r="S977" s="3">
        <f t="shared" si="15"/>
        <v>1</v>
      </c>
    </row>
    <row r="978" spans="1:19">
      <c r="A978" s="1">
        <v>46082</v>
      </c>
      <c r="B978" t="s">
        <v>279</v>
      </c>
      <c r="C978" t="s">
        <v>209</v>
      </c>
      <c r="D978" t="s">
        <v>210</v>
      </c>
      <c r="E978" t="s">
        <v>188</v>
      </c>
      <c r="F978" t="s">
        <v>23</v>
      </c>
      <c r="G978">
        <v>746</v>
      </c>
      <c r="H978">
        <v>470</v>
      </c>
      <c r="I978">
        <v>262</v>
      </c>
      <c r="J978">
        <v>954</v>
      </c>
      <c r="K978">
        <v>293</v>
      </c>
      <c r="L978" t="b">
        <v>0</v>
      </c>
      <c r="M978">
        <v>367.55</v>
      </c>
      <c r="N978">
        <v>350646.91</v>
      </c>
      <c r="O978" t="s">
        <v>37</v>
      </c>
      <c r="P978" t="str">
        <f>IF(J978=G978+H978-I978,"OK","Check")</f>
        <v>OK</v>
      </c>
      <c r="Q978" t="str">
        <f>IF(AND(J978&lt;=K978,L978=TRUE),"OK",IF(AND(J978&gt;K978,L978=FALSE),"OK","Check"))</f>
        <v>OK</v>
      </c>
      <c r="R978" t="str">
        <f>IF(ABS(N978-J978*M978)&lt;=J978*0.005+0.01,"OK","Check")</f>
        <v>OK</v>
      </c>
      <c r="S978" s="3">
        <f t="shared" si="15"/>
        <v>1</v>
      </c>
    </row>
    <row r="979" spans="1:19">
      <c r="A979" s="1">
        <v>46082</v>
      </c>
      <c r="B979" t="s">
        <v>279</v>
      </c>
      <c r="C979" t="s">
        <v>266</v>
      </c>
      <c r="D979" t="s">
        <v>267</v>
      </c>
      <c r="E979" t="s">
        <v>188</v>
      </c>
      <c r="F979" t="s">
        <v>23</v>
      </c>
      <c r="G979">
        <v>162</v>
      </c>
      <c r="H979">
        <v>274</v>
      </c>
      <c r="I979">
        <v>97</v>
      </c>
      <c r="J979">
        <v>339</v>
      </c>
      <c r="K979">
        <v>141</v>
      </c>
      <c r="L979" t="b">
        <v>0</v>
      </c>
      <c r="M979">
        <v>102.05</v>
      </c>
      <c r="N979">
        <v>34594.550000000003</v>
      </c>
      <c r="O979" t="s">
        <v>24</v>
      </c>
      <c r="P979" t="str">
        <f>IF(J979=G979+H979-I979,"OK","Check")</f>
        <v>OK</v>
      </c>
      <c r="Q979" t="str">
        <f>IF(AND(J979&lt;=K979,L979=TRUE),"OK",IF(AND(J979&gt;K979,L979=FALSE),"OK","Check"))</f>
        <v>OK</v>
      </c>
      <c r="R979" t="str">
        <f>IF(ABS(N979-J979*M979)&lt;=J979*0.005+0.01,"OK","Check")</f>
        <v>OK</v>
      </c>
      <c r="S979" s="3">
        <f t="shared" si="15"/>
        <v>1</v>
      </c>
    </row>
    <row r="980" spans="1:19">
      <c r="A980" s="1">
        <v>46082</v>
      </c>
      <c r="B980" t="s">
        <v>279</v>
      </c>
      <c r="C980" t="s">
        <v>211</v>
      </c>
      <c r="D980" t="s">
        <v>212</v>
      </c>
      <c r="E980" t="s">
        <v>188</v>
      </c>
      <c r="F980" t="s">
        <v>23</v>
      </c>
      <c r="G980">
        <v>23</v>
      </c>
      <c r="H980">
        <v>98</v>
      </c>
      <c r="I980">
        <v>51</v>
      </c>
      <c r="J980">
        <v>70</v>
      </c>
      <c r="K980">
        <v>43</v>
      </c>
      <c r="L980" t="b">
        <v>0</v>
      </c>
      <c r="M980">
        <v>432.1</v>
      </c>
      <c r="N980">
        <v>30247</v>
      </c>
      <c r="O980" t="s">
        <v>60</v>
      </c>
      <c r="P980" t="str">
        <f>IF(J980=G980+H980-I980,"OK","Check")</f>
        <v>OK</v>
      </c>
      <c r="Q980" t="str">
        <f>IF(AND(J980&lt;=K980,L980=TRUE),"OK",IF(AND(J980&gt;K980,L980=FALSE),"OK","Check"))</f>
        <v>OK</v>
      </c>
      <c r="R980" t="str">
        <f>IF(ABS(N980-J980*M980)&lt;=J980*0.005+0.01,"OK","Check")</f>
        <v>OK</v>
      </c>
      <c r="S980" s="3">
        <f t="shared" si="15"/>
        <v>1</v>
      </c>
    </row>
    <row r="981" spans="1:19">
      <c r="A981" s="1">
        <v>46082</v>
      </c>
      <c r="B981" t="s">
        <v>279</v>
      </c>
      <c r="C981" t="s">
        <v>268</v>
      </c>
      <c r="D981" t="s">
        <v>269</v>
      </c>
      <c r="E981" t="s">
        <v>188</v>
      </c>
      <c r="F981" t="s">
        <v>23</v>
      </c>
      <c r="G981">
        <v>29</v>
      </c>
      <c r="H981">
        <v>90</v>
      </c>
      <c r="I981">
        <v>29</v>
      </c>
      <c r="J981">
        <v>90</v>
      </c>
      <c r="K981">
        <v>28</v>
      </c>
      <c r="L981" t="b">
        <v>0</v>
      </c>
      <c r="M981">
        <v>40.53</v>
      </c>
      <c r="N981">
        <v>3647.36</v>
      </c>
      <c r="O981" t="s">
        <v>47</v>
      </c>
      <c r="P981" t="str">
        <f>IF(J981=G981+H981-I981,"OK","Check")</f>
        <v>OK</v>
      </c>
      <c r="Q981" t="str">
        <f>IF(AND(J981&lt;=K981,L981=TRUE),"OK",IF(AND(J981&gt;K981,L981=FALSE),"OK","Check"))</f>
        <v>OK</v>
      </c>
      <c r="R981" t="str">
        <f>IF(ABS(N981-J981*M981)&lt;=J981*0.005+0.01,"OK","Check")</f>
        <v>OK</v>
      </c>
      <c r="S981" s="3">
        <f t="shared" si="15"/>
        <v>1</v>
      </c>
    </row>
    <row r="982" spans="1:19">
      <c r="A982" s="1">
        <v>46082</v>
      </c>
      <c r="B982" t="s">
        <v>279</v>
      </c>
      <c r="C982" t="s">
        <v>270</v>
      </c>
      <c r="D982" t="s">
        <v>271</v>
      </c>
      <c r="E982" t="s">
        <v>188</v>
      </c>
      <c r="F982" t="s">
        <v>23</v>
      </c>
      <c r="G982">
        <v>40</v>
      </c>
      <c r="H982">
        <v>261</v>
      </c>
      <c r="I982">
        <v>85</v>
      </c>
      <c r="J982">
        <v>216</v>
      </c>
      <c r="K982">
        <v>105</v>
      </c>
      <c r="L982" t="b">
        <v>0</v>
      </c>
      <c r="M982">
        <v>176.28</v>
      </c>
      <c r="N982">
        <v>38076.81</v>
      </c>
      <c r="O982" t="s">
        <v>24</v>
      </c>
      <c r="P982" t="str">
        <f>IF(J982=G982+H982-I982,"OK","Check")</f>
        <v>OK</v>
      </c>
      <c r="Q982" t="str">
        <f>IF(AND(J982&lt;=K982,L982=TRUE),"OK",IF(AND(J982&gt;K982,L982=FALSE),"OK","Check"))</f>
        <v>OK</v>
      </c>
      <c r="R982" t="str">
        <f>IF(ABS(N982-J982*M982)&lt;=J982*0.005+0.01,"OK","Check")</f>
        <v>OK</v>
      </c>
      <c r="S982" s="3">
        <f t="shared" si="15"/>
        <v>1</v>
      </c>
    </row>
    <row r="983" spans="1:19">
      <c r="A983" s="1">
        <v>46082</v>
      </c>
      <c r="B983" t="s">
        <v>279</v>
      </c>
      <c r="C983" t="s">
        <v>213</v>
      </c>
      <c r="D983" t="s">
        <v>214</v>
      </c>
      <c r="E983" t="s">
        <v>188</v>
      </c>
      <c r="F983" t="s">
        <v>23</v>
      </c>
      <c r="G983">
        <v>231</v>
      </c>
      <c r="H983">
        <v>564</v>
      </c>
      <c r="I983">
        <v>118</v>
      </c>
      <c r="J983">
        <v>677</v>
      </c>
      <c r="K983">
        <v>284</v>
      </c>
      <c r="L983" t="b">
        <v>0</v>
      </c>
      <c r="M983">
        <v>314.54000000000002</v>
      </c>
      <c r="N983">
        <v>212943.45</v>
      </c>
      <c r="O983" t="s">
        <v>44</v>
      </c>
      <c r="P983" t="str">
        <f>IF(J983=G983+H983-I983,"OK","Check")</f>
        <v>OK</v>
      </c>
      <c r="Q983" t="str">
        <f>IF(AND(J983&lt;=K983,L983=TRUE),"OK",IF(AND(J983&gt;K983,L983=FALSE),"OK","Check"))</f>
        <v>OK</v>
      </c>
      <c r="R983" t="str">
        <f>IF(ABS(N983-J983*M983)&lt;=J983*0.005+0.01,"OK","Check")</f>
        <v>OK</v>
      </c>
      <c r="S983" s="3">
        <f t="shared" si="15"/>
        <v>1</v>
      </c>
    </row>
    <row r="984" spans="1:19">
      <c r="A984" s="1">
        <v>46082</v>
      </c>
      <c r="B984" t="s">
        <v>279</v>
      </c>
      <c r="C984" t="s">
        <v>215</v>
      </c>
      <c r="D984" t="s">
        <v>216</v>
      </c>
      <c r="E984" t="s">
        <v>188</v>
      </c>
      <c r="F984" t="s">
        <v>23</v>
      </c>
      <c r="G984">
        <v>399</v>
      </c>
      <c r="H984">
        <v>0</v>
      </c>
      <c r="I984">
        <v>279</v>
      </c>
      <c r="J984">
        <v>120</v>
      </c>
      <c r="K984">
        <v>286</v>
      </c>
      <c r="L984" t="b">
        <v>1</v>
      </c>
      <c r="M984">
        <v>1737.94</v>
      </c>
      <c r="N984">
        <v>208552.3</v>
      </c>
      <c r="O984" t="s">
        <v>27</v>
      </c>
      <c r="P984" t="str">
        <f>IF(J984=G984+H984-I984,"OK","Check")</f>
        <v>OK</v>
      </c>
      <c r="Q984" t="str">
        <f>IF(AND(J984&lt;=K984,L984=TRUE),"OK",IF(AND(J984&gt;K984,L984=FALSE),"OK","Check"))</f>
        <v>OK</v>
      </c>
      <c r="R984" t="str">
        <f>IF(ABS(N984-J984*M984)&lt;=J984*0.005+0.01,"OK","Check")</f>
        <v>OK</v>
      </c>
      <c r="S984" s="3">
        <f t="shared" si="15"/>
        <v>1</v>
      </c>
    </row>
    <row r="985" spans="1:19">
      <c r="A985" s="1">
        <v>46082</v>
      </c>
      <c r="B985" t="s">
        <v>279</v>
      </c>
      <c r="C985" t="s">
        <v>217</v>
      </c>
      <c r="D985" t="s">
        <v>218</v>
      </c>
      <c r="E985" t="s">
        <v>219</v>
      </c>
      <c r="F985" t="s">
        <v>23</v>
      </c>
      <c r="G985">
        <v>772</v>
      </c>
      <c r="H985">
        <v>0</v>
      </c>
      <c r="I985">
        <v>167</v>
      </c>
      <c r="J985">
        <v>605</v>
      </c>
      <c r="K985">
        <v>171</v>
      </c>
      <c r="L985" t="b">
        <v>0</v>
      </c>
      <c r="M985">
        <v>17.13</v>
      </c>
      <c r="N985">
        <v>10362.84</v>
      </c>
      <c r="O985" t="s">
        <v>37</v>
      </c>
      <c r="P985" t="str">
        <f>IF(J985=G985+H985-I985,"OK","Check")</f>
        <v>OK</v>
      </c>
      <c r="Q985" t="str">
        <f>IF(AND(J985&lt;=K985,L985=TRUE),"OK",IF(AND(J985&gt;K985,L985=FALSE),"OK","Check"))</f>
        <v>OK</v>
      </c>
      <c r="R985" t="str">
        <f>IF(ABS(N985-J985*M985)&lt;=J985*0.005+0.01,"OK","Check")</f>
        <v>OK</v>
      </c>
      <c r="S985" s="3">
        <f t="shared" si="15"/>
        <v>1</v>
      </c>
    </row>
    <row r="986" spans="1:19">
      <c r="A986" s="1">
        <v>46082</v>
      </c>
      <c r="B986" t="s">
        <v>279</v>
      </c>
      <c r="C986" t="s">
        <v>220</v>
      </c>
      <c r="D986" t="s">
        <v>221</v>
      </c>
      <c r="E986" t="s">
        <v>219</v>
      </c>
      <c r="F986" t="s">
        <v>23</v>
      </c>
      <c r="G986">
        <v>258</v>
      </c>
      <c r="H986">
        <v>550</v>
      </c>
      <c r="I986">
        <v>111</v>
      </c>
      <c r="J986">
        <v>697</v>
      </c>
      <c r="K986">
        <v>221</v>
      </c>
      <c r="L986" t="b">
        <v>0</v>
      </c>
      <c r="M986">
        <v>85.95</v>
      </c>
      <c r="N986">
        <v>59904.75</v>
      </c>
      <c r="O986" t="s">
        <v>60</v>
      </c>
      <c r="P986" t="str">
        <f>IF(J986=G986+H986-I986,"OK","Check")</f>
        <v>OK</v>
      </c>
      <c r="Q986" t="str">
        <f>IF(AND(J986&lt;=K986,L986=TRUE),"OK",IF(AND(J986&gt;K986,L986=FALSE),"OK","Check"))</f>
        <v>OK</v>
      </c>
      <c r="R986" t="str">
        <f>IF(ABS(N986-J986*M986)&lt;=J986*0.005+0.01,"OK","Check")</f>
        <v>OK</v>
      </c>
      <c r="S986" s="3">
        <f t="shared" si="15"/>
        <v>1</v>
      </c>
    </row>
    <row r="987" spans="1:19">
      <c r="A987" s="1">
        <v>46082</v>
      </c>
      <c r="B987" t="s">
        <v>279</v>
      </c>
      <c r="C987" t="s">
        <v>222</v>
      </c>
      <c r="D987" t="s">
        <v>223</v>
      </c>
      <c r="E987" t="s">
        <v>219</v>
      </c>
      <c r="F987" t="s">
        <v>23</v>
      </c>
      <c r="G987">
        <v>295</v>
      </c>
      <c r="H987">
        <v>271</v>
      </c>
      <c r="I987">
        <v>79</v>
      </c>
      <c r="J987">
        <v>487</v>
      </c>
      <c r="K987">
        <v>138</v>
      </c>
      <c r="L987" t="b">
        <v>0</v>
      </c>
      <c r="M987">
        <v>41.47</v>
      </c>
      <c r="N987">
        <v>20195.830000000002</v>
      </c>
      <c r="O987" t="s">
        <v>37</v>
      </c>
      <c r="P987" t="str">
        <f>IF(J987=G987+H987-I987,"OK","Check")</f>
        <v>OK</v>
      </c>
      <c r="Q987" t="str">
        <f>IF(AND(J987&lt;=K987,L987=TRUE),"OK",IF(AND(J987&gt;K987,L987=FALSE),"OK","Check"))</f>
        <v>OK</v>
      </c>
      <c r="R987" t="str">
        <f>IF(ABS(N987-J987*M987)&lt;=J987*0.005+0.01,"OK","Check")</f>
        <v>OK</v>
      </c>
      <c r="S987" s="3">
        <f t="shared" si="15"/>
        <v>1</v>
      </c>
    </row>
    <row r="988" spans="1:19">
      <c r="A988" s="1">
        <v>46082</v>
      </c>
      <c r="B988" t="s">
        <v>279</v>
      </c>
      <c r="C988" t="s">
        <v>224</v>
      </c>
      <c r="D988" t="s">
        <v>225</v>
      </c>
      <c r="E988" t="s">
        <v>219</v>
      </c>
      <c r="F988" t="s">
        <v>23</v>
      </c>
      <c r="G988">
        <v>214</v>
      </c>
      <c r="H988">
        <v>0</v>
      </c>
      <c r="I988">
        <v>128</v>
      </c>
      <c r="J988">
        <v>86</v>
      </c>
      <c r="K988">
        <v>133</v>
      </c>
      <c r="L988" t="b">
        <v>1</v>
      </c>
      <c r="M988">
        <v>178.99</v>
      </c>
      <c r="N988">
        <v>15393.37</v>
      </c>
      <c r="O988" t="s">
        <v>44</v>
      </c>
      <c r="P988" t="str">
        <f>IF(J988=G988+H988-I988,"OK","Check")</f>
        <v>OK</v>
      </c>
      <c r="Q988" t="str">
        <f>IF(AND(J988&lt;=K988,L988=TRUE),"OK",IF(AND(J988&gt;K988,L988=FALSE),"OK","Check"))</f>
        <v>OK</v>
      </c>
      <c r="R988" t="str">
        <f>IF(ABS(N988-J988*M988)&lt;=J988*0.005+0.01,"OK","Check")</f>
        <v>OK</v>
      </c>
      <c r="S988" s="3">
        <f t="shared" si="15"/>
        <v>1</v>
      </c>
    </row>
    <row r="989" spans="1:19">
      <c r="A989" s="1">
        <v>46082</v>
      </c>
      <c r="B989" t="s">
        <v>279</v>
      </c>
      <c r="C989" t="s">
        <v>272</v>
      </c>
      <c r="D989" t="s">
        <v>273</v>
      </c>
      <c r="E989" t="s">
        <v>219</v>
      </c>
      <c r="F989" t="s">
        <v>23</v>
      </c>
      <c r="G989">
        <v>250</v>
      </c>
      <c r="H989">
        <v>0</v>
      </c>
      <c r="I989">
        <v>136</v>
      </c>
      <c r="J989">
        <v>114</v>
      </c>
      <c r="K989">
        <v>120</v>
      </c>
      <c r="L989" t="b">
        <v>1</v>
      </c>
      <c r="M989">
        <v>1721.55</v>
      </c>
      <c r="N989">
        <v>196256.15</v>
      </c>
      <c r="O989" t="s">
        <v>98</v>
      </c>
      <c r="P989" t="str">
        <f>IF(J989=G989+H989-I989,"OK","Check")</f>
        <v>OK</v>
      </c>
      <c r="Q989" t="str">
        <f>IF(AND(J989&lt;=K989,L989=TRUE),"OK",IF(AND(J989&gt;K989,L989=FALSE),"OK","Check"))</f>
        <v>OK</v>
      </c>
      <c r="R989" t="str">
        <f>IF(ABS(N989-J989*M989)&lt;=J989*0.005+0.01,"OK","Check")</f>
        <v>OK</v>
      </c>
      <c r="S989" s="3">
        <f t="shared" si="15"/>
        <v>1</v>
      </c>
    </row>
    <row r="990" spans="1:19">
      <c r="A990" s="1">
        <v>46082</v>
      </c>
      <c r="B990" t="s">
        <v>279</v>
      </c>
      <c r="C990" t="s">
        <v>228</v>
      </c>
      <c r="D990" t="s">
        <v>229</v>
      </c>
      <c r="E990" t="s">
        <v>219</v>
      </c>
      <c r="F990" t="s">
        <v>23</v>
      </c>
      <c r="G990">
        <v>714</v>
      </c>
      <c r="H990">
        <v>0</v>
      </c>
      <c r="I990">
        <v>187</v>
      </c>
      <c r="J990">
        <v>527</v>
      </c>
      <c r="K990">
        <v>215</v>
      </c>
      <c r="L990" t="b">
        <v>0</v>
      </c>
      <c r="M990">
        <v>47.58</v>
      </c>
      <c r="N990">
        <v>25075.77</v>
      </c>
      <c r="O990" t="s">
        <v>44</v>
      </c>
      <c r="P990" t="str">
        <f>IF(J990=G990+H990-I990,"OK","Check")</f>
        <v>OK</v>
      </c>
      <c r="Q990" t="str">
        <f>IF(AND(J990&lt;=K990,L990=TRUE),"OK",IF(AND(J990&gt;K990,L990=FALSE),"OK","Check"))</f>
        <v>OK</v>
      </c>
      <c r="R990" t="str">
        <f>IF(ABS(N990-J990*M990)&lt;=J990*0.005+0.01,"OK","Check")</f>
        <v>OK</v>
      </c>
      <c r="S990" s="3">
        <f t="shared" si="15"/>
        <v>1</v>
      </c>
    </row>
    <row r="991" spans="1:19">
      <c r="A991" s="1">
        <v>46082</v>
      </c>
      <c r="B991" t="s">
        <v>279</v>
      </c>
      <c r="C991" t="s">
        <v>230</v>
      </c>
      <c r="D991" t="s">
        <v>231</v>
      </c>
      <c r="E991" t="s">
        <v>219</v>
      </c>
      <c r="F991" t="s">
        <v>23</v>
      </c>
      <c r="G991">
        <v>186</v>
      </c>
      <c r="H991">
        <v>527</v>
      </c>
      <c r="I991">
        <v>137</v>
      </c>
      <c r="J991">
        <v>576</v>
      </c>
      <c r="K991">
        <v>216</v>
      </c>
      <c r="L991" t="b">
        <v>0</v>
      </c>
      <c r="M991">
        <v>215.86</v>
      </c>
      <c r="N991">
        <v>124334.22</v>
      </c>
      <c r="O991" t="s">
        <v>32</v>
      </c>
      <c r="P991" t="str">
        <f>IF(J991=G991+H991-I991,"OK","Check")</f>
        <v>OK</v>
      </c>
      <c r="Q991" t="str">
        <f>IF(AND(J991&lt;=K991,L991=TRUE),"OK",IF(AND(J991&gt;K991,L991=FALSE),"OK","Check"))</f>
        <v>OK</v>
      </c>
      <c r="R991" t="str">
        <f>IF(ABS(N991-J991*M991)&lt;=J991*0.005+0.01,"OK","Check")</f>
        <v>OK</v>
      </c>
      <c r="S991" s="3">
        <f t="shared" si="15"/>
        <v>1</v>
      </c>
    </row>
    <row r="992" spans="1:19">
      <c r="A992" s="1">
        <v>46082</v>
      </c>
      <c r="B992" t="s">
        <v>279</v>
      </c>
      <c r="C992" t="s">
        <v>257</v>
      </c>
      <c r="D992" t="s">
        <v>258</v>
      </c>
      <c r="E992" t="s">
        <v>219</v>
      </c>
      <c r="F992" t="s">
        <v>23</v>
      </c>
      <c r="G992">
        <v>65</v>
      </c>
      <c r="H992">
        <v>305</v>
      </c>
      <c r="I992">
        <v>74</v>
      </c>
      <c r="J992">
        <v>296</v>
      </c>
      <c r="K992">
        <v>74</v>
      </c>
      <c r="L992" t="b">
        <v>0</v>
      </c>
      <c r="M992">
        <v>698.76</v>
      </c>
      <c r="N992">
        <v>206833.89</v>
      </c>
      <c r="O992" t="s">
        <v>47</v>
      </c>
      <c r="P992" t="str">
        <f>IF(J992=G992+H992-I992,"OK","Check")</f>
        <v>OK</v>
      </c>
      <c r="Q992" t="str">
        <f>IF(AND(J992&lt;=K992,L992=TRUE),"OK",IF(AND(J992&gt;K992,L992=FALSE),"OK","Check"))</f>
        <v>OK</v>
      </c>
      <c r="R992" t="str">
        <f>IF(ABS(N992-J992*M992)&lt;=J992*0.005+0.01,"OK","Check")</f>
        <v>OK</v>
      </c>
      <c r="S992" s="3">
        <f t="shared" si="15"/>
        <v>1</v>
      </c>
    </row>
    <row r="993" spans="1:19">
      <c r="A993" s="1">
        <v>46082</v>
      </c>
      <c r="B993" t="s">
        <v>279</v>
      </c>
      <c r="C993" t="s">
        <v>259</v>
      </c>
      <c r="D993" t="s">
        <v>260</v>
      </c>
      <c r="E993" t="s">
        <v>219</v>
      </c>
      <c r="F993" t="s">
        <v>23</v>
      </c>
      <c r="G993">
        <v>48</v>
      </c>
      <c r="H993">
        <v>212</v>
      </c>
      <c r="I993">
        <v>105</v>
      </c>
      <c r="J993">
        <v>155</v>
      </c>
      <c r="K993">
        <v>97</v>
      </c>
      <c r="L993" t="b">
        <v>0</v>
      </c>
      <c r="M993">
        <v>555.27</v>
      </c>
      <c r="N993">
        <v>86067.59</v>
      </c>
      <c r="O993" t="s">
        <v>60</v>
      </c>
      <c r="P993" t="str">
        <f>IF(J993=G993+H993-I993,"OK","Check")</f>
        <v>OK</v>
      </c>
      <c r="Q993" t="str">
        <f>IF(AND(J993&lt;=K993,L993=TRUE),"OK",IF(AND(J993&gt;K993,L993=FALSE),"OK","Check"))</f>
        <v>OK</v>
      </c>
      <c r="R993" t="str">
        <f>IF(ABS(N993-J993*M993)&lt;=J993*0.005+0.01,"OK","Check")</f>
        <v>OK</v>
      </c>
      <c r="S993" s="3">
        <f t="shared" si="15"/>
        <v>1</v>
      </c>
    </row>
    <row r="994" spans="1:19">
      <c r="A994" s="1">
        <v>46082</v>
      </c>
      <c r="B994" t="s">
        <v>279</v>
      </c>
      <c r="C994" t="s">
        <v>234</v>
      </c>
      <c r="D994" t="s">
        <v>235</v>
      </c>
      <c r="E994" t="s">
        <v>219</v>
      </c>
      <c r="F994" t="s">
        <v>23</v>
      </c>
      <c r="G994">
        <v>281</v>
      </c>
      <c r="H994">
        <v>0</v>
      </c>
      <c r="I994">
        <v>66</v>
      </c>
      <c r="J994">
        <v>215</v>
      </c>
      <c r="K994">
        <v>101</v>
      </c>
      <c r="L994" t="b">
        <v>0</v>
      </c>
      <c r="M994">
        <v>2413.5100000000002</v>
      </c>
      <c r="N994">
        <v>518905.59</v>
      </c>
      <c r="O994" t="s">
        <v>47</v>
      </c>
      <c r="P994" t="str">
        <f>IF(J994=G994+H994-I994,"OK","Check")</f>
        <v>OK</v>
      </c>
      <c r="Q994" t="str">
        <f>IF(AND(J994&lt;=K994,L994=TRUE),"OK",IF(AND(J994&gt;K994,L994=FALSE),"OK","Check"))</f>
        <v>OK</v>
      </c>
      <c r="R994" t="str">
        <f>IF(ABS(N994-J994*M994)&lt;=J994*0.005+0.01,"OK","Check")</f>
        <v>OK</v>
      </c>
      <c r="S994" s="3">
        <f t="shared" si="15"/>
        <v>1</v>
      </c>
    </row>
    <row r="995" spans="1:19">
      <c r="A995" s="1">
        <v>46082</v>
      </c>
      <c r="B995" t="s">
        <v>279</v>
      </c>
      <c r="C995" t="s">
        <v>277</v>
      </c>
      <c r="D995" t="s">
        <v>278</v>
      </c>
      <c r="E995" t="s">
        <v>219</v>
      </c>
      <c r="F995" t="s">
        <v>23</v>
      </c>
      <c r="G995">
        <v>278</v>
      </c>
      <c r="H995">
        <v>0</v>
      </c>
      <c r="I995">
        <v>93</v>
      </c>
      <c r="J995">
        <v>185</v>
      </c>
      <c r="K995">
        <v>109</v>
      </c>
      <c r="L995" t="b">
        <v>0</v>
      </c>
      <c r="M995">
        <v>1274.8599999999999</v>
      </c>
      <c r="N995">
        <v>235849.49</v>
      </c>
      <c r="O995" t="s">
        <v>44</v>
      </c>
      <c r="P995" t="str">
        <f>IF(J995=G995+H995-I995,"OK","Check")</f>
        <v>OK</v>
      </c>
      <c r="Q995" t="str">
        <f>IF(AND(J995&lt;=K995,L995=TRUE),"OK",IF(AND(J995&gt;K995,L995=FALSE),"OK","Check"))</f>
        <v>OK</v>
      </c>
      <c r="R995" t="str">
        <f>IF(ABS(N995-J995*M995)&lt;=J995*0.005+0.01,"OK","Check")</f>
        <v>OK</v>
      </c>
      <c r="S995" s="3">
        <f t="shared" si="15"/>
        <v>1</v>
      </c>
    </row>
    <row r="996" spans="1:19">
      <c r="A996" s="1">
        <v>46082</v>
      </c>
      <c r="B996" t="s">
        <v>279</v>
      </c>
      <c r="C996" t="s">
        <v>274</v>
      </c>
      <c r="D996" t="s">
        <v>275</v>
      </c>
      <c r="E996" t="s">
        <v>219</v>
      </c>
      <c r="F996" t="s">
        <v>23</v>
      </c>
      <c r="G996">
        <v>544</v>
      </c>
      <c r="H996">
        <v>0</v>
      </c>
      <c r="I996">
        <v>200</v>
      </c>
      <c r="J996">
        <v>344</v>
      </c>
      <c r="K996">
        <v>197</v>
      </c>
      <c r="L996" t="b">
        <v>0</v>
      </c>
      <c r="M996">
        <v>237.82</v>
      </c>
      <c r="N996">
        <v>81810.53</v>
      </c>
      <c r="O996" t="s">
        <v>60</v>
      </c>
      <c r="P996" t="str">
        <f>IF(J996=G996+H996-I996,"OK","Check")</f>
        <v>OK</v>
      </c>
      <c r="Q996" t="str">
        <f>IF(AND(J996&lt;=K996,L996=TRUE),"OK",IF(AND(J996&gt;K996,L996=FALSE),"OK","Check"))</f>
        <v>OK</v>
      </c>
      <c r="R996" t="str">
        <f>IF(ABS(N996-J996*M996)&lt;=J996*0.005+0.01,"OK","Check")</f>
        <v>OK</v>
      </c>
      <c r="S996" s="3">
        <f t="shared" si="15"/>
        <v>1</v>
      </c>
    </row>
    <row r="997" spans="1:19">
      <c r="A997" s="1">
        <v>46082</v>
      </c>
      <c r="B997" t="s">
        <v>279</v>
      </c>
      <c r="C997" t="s">
        <v>236</v>
      </c>
      <c r="D997" t="s">
        <v>237</v>
      </c>
      <c r="E997" t="s">
        <v>219</v>
      </c>
      <c r="F997" t="s">
        <v>23</v>
      </c>
      <c r="G997">
        <v>443</v>
      </c>
      <c r="H997">
        <v>0</v>
      </c>
      <c r="I997">
        <v>98</v>
      </c>
      <c r="J997">
        <v>345</v>
      </c>
      <c r="K997">
        <v>84</v>
      </c>
      <c r="L997" t="b">
        <v>0</v>
      </c>
      <c r="M997">
        <v>955</v>
      </c>
      <c r="N997">
        <v>329474.45</v>
      </c>
      <c r="O997" t="s">
        <v>98</v>
      </c>
      <c r="P997" t="str">
        <f>IF(J997=G997+H997-I997,"OK","Check")</f>
        <v>OK</v>
      </c>
      <c r="Q997" t="str">
        <f>IF(AND(J997&lt;=K997,L997=TRUE),"OK",IF(AND(J997&gt;K997,L997=FALSE),"OK","Check"))</f>
        <v>OK</v>
      </c>
      <c r="R997" t="str">
        <f>IF(ABS(N997-J997*M997)&lt;=J997*0.005+0.01,"OK","Check")</f>
        <v>OK</v>
      </c>
      <c r="S997" s="3">
        <f t="shared" si="15"/>
        <v>1</v>
      </c>
    </row>
    <row r="998" spans="1:19">
      <c r="A998" s="1">
        <v>46082</v>
      </c>
      <c r="B998" t="s">
        <v>279</v>
      </c>
      <c r="C998" t="s">
        <v>263</v>
      </c>
      <c r="D998" t="s">
        <v>264</v>
      </c>
      <c r="E998" t="s">
        <v>219</v>
      </c>
      <c r="F998" t="s">
        <v>23</v>
      </c>
      <c r="G998">
        <v>172</v>
      </c>
      <c r="H998">
        <v>0</v>
      </c>
      <c r="I998">
        <v>146</v>
      </c>
      <c r="J998">
        <v>26</v>
      </c>
      <c r="K998">
        <v>139</v>
      </c>
      <c r="L998" t="b">
        <v>1</v>
      </c>
      <c r="M998">
        <v>32.99</v>
      </c>
      <c r="N998">
        <v>857.74</v>
      </c>
      <c r="O998" t="s">
        <v>27</v>
      </c>
      <c r="P998" t="str">
        <f>IF(J998=G998+H998-I998,"OK","Check")</f>
        <v>OK</v>
      </c>
      <c r="Q998" t="str">
        <f>IF(AND(J998&lt;=K998,L998=TRUE),"OK",IF(AND(J998&gt;K998,L998=FALSE),"OK","Check"))</f>
        <v>OK</v>
      </c>
      <c r="R998" t="str">
        <f>IF(ABS(N998-J998*M998)&lt;=J998*0.005+0.01,"OK","Check")</f>
        <v>OK</v>
      </c>
      <c r="S998" s="3">
        <f t="shared" si="15"/>
        <v>1</v>
      </c>
    </row>
    <row r="999" spans="1:19">
      <c r="A999" s="1">
        <v>46082</v>
      </c>
      <c r="B999" t="s">
        <v>279</v>
      </c>
      <c r="C999" t="s">
        <v>238</v>
      </c>
      <c r="D999" t="s">
        <v>239</v>
      </c>
      <c r="E999" t="s">
        <v>219</v>
      </c>
      <c r="F999" t="s">
        <v>23</v>
      </c>
      <c r="G999">
        <v>295</v>
      </c>
      <c r="H999">
        <v>0</v>
      </c>
      <c r="I999">
        <v>138</v>
      </c>
      <c r="J999">
        <v>157</v>
      </c>
      <c r="K999">
        <v>204</v>
      </c>
      <c r="L999" t="b">
        <v>1</v>
      </c>
      <c r="M999">
        <v>154.08000000000001</v>
      </c>
      <c r="N999">
        <v>24189.86</v>
      </c>
      <c r="O999" t="s">
        <v>32</v>
      </c>
      <c r="P999" t="str">
        <f>IF(J999=G999+H999-I999,"OK","Check")</f>
        <v>OK</v>
      </c>
      <c r="Q999" t="str">
        <f>IF(AND(J999&lt;=K999,L999=TRUE),"OK",IF(AND(J999&gt;K999,L999=FALSE),"OK","Check"))</f>
        <v>OK</v>
      </c>
      <c r="R999" t="str">
        <f>IF(ABS(N999-J999*M999)&lt;=J999*0.005+0.01,"OK","Check")</f>
        <v>OK</v>
      </c>
      <c r="S999" s="3">
        <f t="shared" si="15"/>
        <v>1</v>
      </c>
    </row>
    <row r="1000" spans="1:19">
      <c r="A1000" s="1">
        <v>46082</v>
      </c>
      <c r="B1000" t="s">
        <v>279</v>
      </c>
      <c r="C1000" t="s">
        <v>240</v>
      </c>
      <c r="D1000" t="s">
        <v>241</v>
      </c>
      <c r="E1000" t="s">
        <v>219</v>
      </c>
      <c r="F1000" t="s">
        <v>23</v>
      </c>
      <c r="G1000">
        <v>212</v>
      </c>
      <c r="H1000">
        <v>0</v>
      </c>
      <c r="I1000">
        <v>94</v>
      </c>
      <c r="J1000">
        <v>118</v>
      </c>
      <c r="K1000">
        <v>130</v>
      </c>
      <c r="L1000" t="b">
        <v>1</v>
      </c>
      <c r="M1000">
        <v>58.94</v>
      </c>
      <c r="N1000">
        <v>6954.94</v>
      </c>
      <c r="O1000" t="s">
        <v>27</v>
      </c>
      <c r="P1000" t="str">
        <f>IF(J1000=G1000+H1000-I1000,"OK","Check")</f>
        <v>OK</v>
      </c>
      <c r="Q1000" t="str">
        <f>IF(AND(J1000&lt;=K1000,L1000=TRUE),"OK",IF(AND(J1000&gt;K1000,L1000=FALSE),"OK","Check"))</f>
        <v>OK</v>
      </c>
      <c r="R1000" t="str">
        <f>IF(ABS(N1000-J1000*M1000)&lt;=J1000*0.005+0.01,"OK","Check")</f>
        <v>OK</v>
      </c>
      <c r="S1000" s="3">
        <f t="shared" si="15"/>
        <v>1</v>
      </c>
    </row>
    <row r="1001" spans="1:19">
      <c r="A1001" s="1">
        <v>46082</v>
      </c>
      <c r="B1001" t="s">
        <v>279</v>
      </c>
      <c r="C1001" t="s">
        <v>242</v>
      </c>
      <c r="D1001" t="s">
        <v>243</v>
      </c>
      <c r="E1001" t="s">
        <v>219</v>
      </c>
      <c r="F1001" t="s">
        <v>23</v>
      </c>
      <c r="G1001">
        <v>249</v>
      </c>
      <c r="H1001">
        <v>0</v>
      </c>
      <c r="I1001">
        <v>60</v>
      </c>
      <c r="J1001">
        <v>189</v>
      </c>
      <c r="K1001">
        <v>100</v>
      </c>
      <c r="L1001" t="b">
        <v>0</v>
      </c>
      <c r="M1001">
        <v>284.95</v>
      </c>
      <c r="N1001">
        <v>53854.86</v>
      </c>
      <c r="O1001" t="s">
        <v>60</v>
      </c>
      <c r="P1001" t="str">
        <f>IF(J1001=G1001+H1001-I1001,"OK","Check")</f>
        <v>OK</v>
      </c>
      <c r="Q1001" t="str">
        <f>IF(AND(J1001&lt;=K1001,L1001=TRUE),"OK",IF(AND(J1001&gt;K1001,L1001=FALSE),"OK","Check"))</f>
        <v>OK</v>
      </c>
      <c r="R1001" t="str">
        <f>IF(ABS(N1001-J1001*M1001)&lt;=J1001*0.005+0.01,"OK","Check")</f>
        <v>OK</v>
      </c>
      <c r="S1001" s="3">
        <f t="shared" si="15"/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73A09-5805-467A-B8DC-AC6EACBAD405}">
  <dimension ref="A1:B8"/>
  <sheetViews>
    <sheetView workbookViewId="0">
      <selection activeCell="A8" sqref="A8"/>
    </sheetView>
  </sheetViews>
  <sheetFormatPr defaultRowHeight="15"/>
  <cols>
    <col min="1" max="1" width="31.7109375" customWidth="1"/>
    <col min="2" max="2" width="21.140625" customWidth="1"/>
    <col min="3" max="3" width="11.5703125" customWidth="1"/>
  </cols>
  <sheetData>
    <row r="1" spans="1:2" ht="26.25">
      <c r="A1" s="5" t="s">
        <v>280</v>
      </c>
    </row>
    <row r="3" spans="1:2" ht="23.25">
      <c r="A3" s="6" t="s">
        <v>281</v>
      </c>
      <c r="B3" s="7" t="s">
        <v>282</v>
      </c>
    </row>
    <row r="4" spans="1:2">
      <c r="A4" s="4" t="s">
        <v>283</v>
      </c>
      <c r="B4">
        <f>SUM(in!N2:N1001)</f>
        <v>162186704.88000032</v>
      </c>
    </row>
    <row r="5" spans="1:2">
      <c r="A5" s="4" t="s">
        <v>284</v>
      </c>
      <c r="B5">
        <f>SUM(in!J2:J1001)</f>
        <v>247837</v>
      </c>
    </row>
    <row r="6" spans="1:2">
      <c r="A6" t="s">
        <v>285</v>
      </c>
      <c r="B6">
        <f>SUM(in!I2:I1001)</f>
        <v>118139</v>
      </c>
    </row>
    <row r="7" spans="1:2">
      <c r="A7" t="s">
        <v>286</v>
      </c>
      <c r="B7">
        <f>SUM(in!H2:H1001)</f>
        <v>134661</v>
      </c>
    </row>
    <row r="8" spans="1:2">
      <c r="A8" t="s">
        <v>287</v>
      </c>
      <c r="B8">
        <f>COUNTA(in!C2:C1001)</f>
        <v>1000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1FCB2-7738-44FB-A402-A432DDB5B865}">
  <dimension ref="A3:B9"/>
  <sheetViews>
    <sheetView workbookViewId="0">
      <selection activeCell="F26" sqref="F26"/>
    </sheetView>
  </sheetViews>
  <sheetFormatPr defaultRowHeight="15"/>
  <cols>
    <col min="1" max="1" width="14.140625" bestFit="1" customWidth="1"/>
    <col min="2" max="2" width="18.7109375" bestFit="1" customWidth="1"/>
  </cols>
  <sheetData>
    <row r="3" spans="1:2">
      <c r="A3" s="8" t="s">
        <v>1</v>
      </c>
      <c r="B3" t="s">
        <v>288</v>
      </c>
    </row>
    <row r="4" spans="1:2">
      <c r="A4" t="s">
        <v>265</v>
      </c>
      <c r="B4" s="3">
        <v>33711648.749999985</v>
      </c>
    </row>
    <row r="5" spans="1:2">
      <c r="A5" t="s">
        <v>276</v>
      </c>
      <c r="B5" s="3">
        <v>33282114.690000005</v>
      </c>
    </row>
    <row r="6" spans="1:2">
      <c r="A6" t="s">
        <v>19</v>
      </c>
      <c r="B6" s="3">
        <v>32312068.480000008</v>
      </c>
    </row>
    <row r="7" spans="1:2">
      <c r="A7" t="s">
        <v>279</v>
      </c>
      <c r="B7" s="3">
        <v>31925297.890000015</v>
      </c>
    </row>
    <row r="8" spans="1:2">
      <c r="A8" t="s">
        <v>244</v>
      </c>
      <c r="B8" s="3">
        <v>30955575.070000008</v>
      </c>
    </row>
    <row r="9" spans="1:2">
      <c r="A9" t="s">
        <v>289</v>
      </c>
      <c r="B9" s="3">
        <v>162186704.88000003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0B002-9FB3-4FA1-8CE5-F988695A3F04}">
  <dimension ref="A3:B10"/>
  <sheetViews>
    <sheetView workbookViewId="0">
      <selection activeCell="H30" sqref="H30"/>
    </sheetView>
  </sheetViews>
  <sheetFormatPr defaultRowHeight="15"/>
  <cols>
    <col min="1" max="1" width="12" bestFit="1" customWidth="1"/>
    <col min="2" max="2" width="18.7109375" bestFit="1" customWidth="1"/>
  </cols>
  <sheetData>
    <row r="3" spans="1:2">
      <c r="A3" s="8" t="s">
        <v>4</v>
      </c>
      <c r="B3" t="s">
        <v>288</v>
      </c>
    </row>
    <row r="4" spans="1:2">
      <c r="A4" t="s">
        <v>71</v>
      </c>
      <c r="B4" s="3">
        <v>66942028.079999998</v>
      </c>
    </row>
    <row r="5" spans="1:2">
      <c r="A5" t="s">
        <v>151</v>
      </c>
      <c r="B5" s="3">
        <v>28949775.460000008</v>
      </c>
    </row>
    <row r="6" spans="1:2">
      <c r="A6" t="s">
        <v>188</v>
      </c>
      <c r="B6" s="3">
        <v>19167362.449999996</v>
      </c>
    </row>
    <row r="7" spans="1:2">
      <c r="A7" t="s">
        <v>22</v>
      </c>
      <c r="B7" s="3">
        <v>16852386.149999991</v>
      </c>
    </row>
    <row r="8" spans="1:2">
      <c r="A8" t="s">
        <v>219</v>
      </c>
      <c r="B8" s="3">
        <v>16000110.679999989</v>
      </c>
    </row>
    <row r="9" spans="1:2">
      <c r="A9" t="s">
        <v>109</v>
      </c>
      <c r="B9" s="3">
        <v>14275042.059999997</v>
      </c>
    </row>
    <row r="10" spans="1:2">
      <c r="A10" t="s">
        <v>289</v>
      </c>
      <c r="B10" s="3">
        <v>162186704.88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CCDE1-C6D5-4319-8654-039B3F4C6958}">
  <dimension ref="A3:B6"/>
  <sheetViews>
    <sheetView workbookViewId="0">
      <selection activeCell="B5" sqref="B5"/>
    </sheetView>
  </sheetViews>
  <sheetFormatPr defaultRowHeight="15"/>
  <cols>
    <col min="1" max="1" width="17.5703125" bestFit="1" customWidth="1"/>
    <col min="2" max="2" width="12.28515625" bestFit="1" customWidth="1"/>
  </cols>
  <sheetData>
    <row r="3" spans="1:2">
      <c r="A3" s="8" t="s">
        <v>11</v>
      </c>
      <c r="B3" t="s">
        <v>290</v>
      </c>
    </row>
    <row r="4" spans="1:2">
      <c r="A4" t="s">
        <v>291</v>
      </c>
      <c r="B4" s="3">
        <v>733</v>
      </c>
    </row>
    <row r="5" spans="1:2">
      <c r="A5" t="s">
        <v>292</v>
      </c>
      <c r="B5" s="3">
        <v>267</v>
      </c>
    </row>
    <row r="6" spans="1:2">
      <c r="A6" t="s">
        <v>289</v>
      </c>
      <c r="B6" s="3">
        <v>1000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FEA2C-D6B8-489B-8F72-5DFF0876CBB2}">
  <dimension ref="A3:B6"/>
  <sheetViews>
    <sheetView workbookViewId="0">
      <selection activeCell="L32" sqref="L32"/>
    </sheetView>
  </sheetViews>
  <sheetFormatPr defaultRowHeight="15"/>
  <cols>
    <col min="1" max="1" width="11.7109375" bestFit="1" customWidth="1"/>
    <col min="2" max="2" width="18.7109375" bestFit="1" customWidth="1"/>
  </cols>
  <sheetData>
    <row r="3" spans="1:2">
      <c r="A3" s="8" t="s">
        <v>0</v>
      </c>
      <c r="B3" t="s">
        <v>288</v>
      </c>
    </row>
    <row r="4" spans="1:2">
      <c r="A4" s="1">
        <v>46054</v>
      </c>
      <c r="B4" s="3">
        <v>74861784.870000094</v>
      </c>
    </row>
    <row r="5" spans="1:2">
      <c r="A5" s="1">
        <v>46082</v>
      </c>
      <c r="B5" s="3">
        <v>87324920.00999999</v>
      </c>
    </row>
    <row r="6" spans="1:2">
      <c r="A6" s="1" t="s">
        <v>289</v>
      </c>
      <c r="B6" s="3">
        <v>162186704.88000008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D249D-E822-40A4-840A-D83C96BA47AD}">
  <dimension ref="A1:O1001"/>
  <sheetViews>
    <sheetView tabSelected="1" topLeftCell="K1" workbookViewId="0">
      <selection activeCell="P1" sqref="P1:P1048576"/>
    </sheetView>
  </sheetViews>
  <sheetFormatPr defaultRowHeight="15"/>
  <cols>
    <col min="1" max="1" width="15" customWidth="1"/>
    <col min="2" max="2" width="13.28515625" bestFit="1" customWidth="1"/>
    <col min="3" max="3" width="10.85546875" customWidth="1"/>
    <col min="4" max="4" width="27.85546875" bestFit="1" customWidth="1"/>
    <col min="5" max="5" width="11.7109375" customWidth="1"/>
    <col min="7" max="7" width="16.5703125" bestFit="1" customWidth="1"/>
    <col min="8" max="8" width="15" bestFit="1" customWidth="1"/>
    <col min="9" max="9" width="13" bestFit="1" customWidth="1"/>
    <col min="10" max="10" width="15.28515625" bestFit="1" customWidth="1"/>
    <col min="11" max="11" width="15.5703125" bestFit="1" customWidth="1"/>
    <col min="12" max="12" width="16.7109375" bestFit="1" customWidth="1"/>
    <col min="13" max="13" width="11.7109375" bestFit="1" customWidth="1"/>
    <col min="14" max="14" width="14" bestFit="1" customWidth="1"/>
    <col min="15" max="15" width="22" bestFit="1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s="1">
        <v>46054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>
        <v>320</v>
      </c>
      <c r="H2">
        <v>0</v>
      </c>
      <c r="I2">
        <v>152</v>
      </c>
      <c r="J2">
        <v>168</v>
      </c>
      <c r="K2">
        <v>123</v>
      </c>
      <c r="L2" t="b">
        <v>0</v>
      </c>
      <c r="M2">
        <v>276.76</v>
      </c>
      <c r="N2">
        <v>46495.88</v>
      </c>
      <c r="O2" t="s">
        <v>24</v>
      </c>
    </row>
    <row r="3" spans="1:15">
      <c r="A3" s="1">
        <v>46054</v>
      </c>
      <c r="B3" t="s">
        <v>19</v>
      </c>
      <c r="C3" t="s">
        <v>25</v>
      </c>
      <c r="D3" t="s">
        <v>26</v>
      </c>
      <c r="E3" t="s">
        <v>22</v>
      </c>
      <c r="F3" t="s">
        <v>23</v>
      </c>
      <c r="G3">
        <v>83</v>
      </c>
      <c r="H3">
        <v>0</v>
      </c>
      <c r="I3">
        <v>36</v>
      </c>
      <c r="J3">
        <v>47</v>
      </c>
      <c r="K3">
        <v>53</v>
      </c>
      <c r="L3" t="b">
        <v>1</v>
      </c>
      <c r="M3">
        <v>1274.6300000000001</v>
      </c>
      <c r="N3">
        <v>59907.46</v>
      </c>
      <c r="O3" t="s">
        <v>27</v>
      </c>
    </row>
    <row r="4" spans="1:15">
      <c r="A4" s="1">
        <v>46054</v>
      </c>
      <c r="B4" t="s">
        <v>19</v>
      </c>
      <c r="C4" t="s">
        <v>28</v>
      </c>
      <c r="D4" t="s">
        <v>29</v>
      </c>
      <c r="E4" t="s">
        <v>22</v>
      </c>
      <c r="F4" t="s">
        <v>23</v>
      </c>
      <c r="G4">
        <v>394</v>
      </c>
      <c r="H4">
        <v>486</v>
      </c>
      <c r="I4">
        <v>208</v>
      </c>
      <c r="J4">
        <v>672</v>
      </c>
      <c r="K4">
        <v>176</v>
      </c>
      <c r="L4" t="b">
        <v>0</v>
      </c>
      <c r="M4">
        <v>98.38</v>
      </c>
      <c r="N4">
        <v>66110.37</v>
      </c>
      <c r="O4" t="s">
        <v>24</v>
      </c>
    </row>
    <row r="5" spans="1:15">
      <c r="A5" s="1">
        <v>46054</v>
      </c>
      <c r="B5" t="s">
        <v>19</v>
      </c>
      <c r="C5" t="s">
        <v>30</v>
      </c>
      <c r="D5" t="s">
        <v>31</v>
      </c>
      <c r="E5" t="s">
        <v>22</v>
      </c>
      <c r="F5" t="s">
        <v>23</v>
      </c>
      <c r="G5">
        <v>146</v>
      </c>
      <c r="H5">
        <v>148</v>
      </c>
      <c r="I5">
        <v>22</v>
      </c>
      <c r="J5">
        <v>272</v>
      </c>
      <c r="K5">
        <v>96</v>
      </c>
      <c r="L5" t="b">
        <v>0</v>
      </c>
      <c r="M5">
        <v>412.63</v>
      </c>
      <c r="N5">
        <v>112236.34</v>
      </c>
      <c r="O5" t="s">
        <v>32</v>
      </c>
    </row>
    <row r="6" spans="1:15">
      <c r="A6" s="1">
        <v>46054</v>
      </c>
      <c r="B6" t="s">
        <v>19</v>
      </c>
      <c r="C6" t="s">
        <v>33</v>
      </c>
      <c r="D6" t="s">
        <v>34</v>
      </c>
      <c r="E6" t="s">
        <v>22</v>
      </c>
      <c r="F6" t="s">
        <v>23</v>
      </c>
      <c r="G6">
        <v>160</v>
      </c>
      <c r="H6">
        <v>322</v>
      </c>
      <c r="I6">
        <v>122</v>
      </c>
      <c r="J6">
        <v>360</v>
      </c>
      <c r="K6">
        <v>136</v>
      </c>
      <c r="L6" t="b">
        <v>0</v>
      </c>
      <c r="M6">
        <v>128.44</v>
      </c>
      <c r="N6">
        <v>46238.8</v>
      </c>
      <c r="O6" t="s">
        <v>24</v>
      </c>
    </row>
    <row r="7" spans="1:15">
      <c r="A7" s="1">
        <v>46054</v>
      </c>
      <c r="B7" t="s">
        <v>19</v>
      </c>
      <c r="C7" t="s">
        <v>35</v>
      </c>
      <c r="D7" t="s">
        <v>36</v>
      </c>
      <c r="E7" t="s">
        <v>22</v>
      </c>
      <c r="F7" t="s">
        <v>23</v>
      </c>
      <c r="G7">
        <v>512</v>
      </c>
      <c r="H7">
        <v>585</v>
      </c>
      <c r="I7">
        <v>209</v>
      </c>
      <c r="J7">
        <v>888</v>
      </c>
      <c r="K7">
        <v>159</v>
      </c>
      <c r="L7" t="b">
        <v>0</v>
      </c>
      <c r="M7">
        <v>523.72</v>
      </c>
      <c r="N7">
        <v>465065.6</v>
      </c>
      <c r="O7" t="s">
        <v>37</v>
      </c>
    </row>
    <row r="8" spans="1:15">
      <c r="A8" s="1">
        <v>46054</v>
      </c>
      <c r="B8" t="s">
        <v>19</v>
      </c>
      <c r="C8" t="s">
        <v>38</v>
      </c>
      <c r="D8" t="s">
        <v>39</v>
      </c>
      <c r="E8" t="s">
        <v>22</v>
      </c>
      <c r="F8" t="s">
        <v>23</v>
      </c>
      <c r="G8">
        <v>193</v>
      </c>
      <c r="H8">
        <v>384</v>
      </c>
      <c r="I8">
        <v>131</v>
      </c>
      <c r="J8">
        <v>446</v>
      </c>
      <c r="K8">
        <v>135</v>
      </c>
      <c r="L8" t="b">
        <v>0</v>
      </c>
      <c r="M8">
        <v>67.930000000000007</v>
      </c>
      <c r="N8">
        <v>30297</v>
      </c>
      <c r="O8" t="s">
        <v>24</v>
      </c>
    </row>
    <row r="9" spans="1:15">
      <c r="A9" s="1">
        <v>46054</v>
      </c>
      <c r="B9" t="s">
        <v>19</v>
      </c>
      <c r="C9" t="s">
        <v>40</v>
      </c>
      <c r="D9" t="s">
        <v>41</v>
      </c>
      <c r="E9" t="s">
        <v>22</v>
      </c>
      <c r="F9" t="s">
        <v>23</v>
      </c>
      <c r="G9">
        <v>269</v>
      </c>
      <c r="H9">
        <v>0</v>
      </c>
      <c r="I9">
        <v>234</v>
      </c>
      <c r="J9">
        <v>35</v>
      </c>
      <c r="K9">
        <v>175</v>
      </c>
      <c r="L9" t="b">
        <v>1</v>
      </c>
      <c r="M9">
        <v>365.55</v>
      </c>
      <c r="N9">
        <v>12794.27</v>
      </c>
      <c r="O9" t="s">
        <v>24</v>
      </c>
    </row>
    <row r="10" spans="1:15">
      <c r="A10" s="1">
        <v>46054</v>
      </c>
      <c r="B10" t="s">
        <v>19</v>
      </c>
      <c r="C10" t="s">
        <v>42</v>
      </c>
      <c r="D10" t="s">
        <v>43</v>
      </c>
      <c r="E10" t="s">
        <v>22</v>
      </c>
      <c r="F10" t="s">
        <v>23</v>
      </c>
      <c r="G10">
        <v>203</v>
      </c>
      <c r="H10">
        <v>0</v>
      </c>
      <c r="I10">
        <v>76</v>
      </c>
      <c r="J10">
        <v>127</v>
      </c>
      <c r="K10">
        <v>120</v>
      </c>
      <c r="L10" t="b">
        <v>0</v>
      </c>
      <c r="M10">
        <v>152.84</v>
      </c>
      <c r="N10">
        <v>19410.759999999998</v>
      </c>
      <c r="O10" t="s">
        <v>44</v>
      </c>
    </row>
    <row r="11" spans="1:15">
      <c r="A11" s="1">
        <v>46054</v>
      </c>
      <c r="B11" t="s">
        <v>19</v>
      </c>
      <c r="C11" t="s">
        <v>45</v>
      </c>
      <c r="D11" t="s">
        <v>46</v>
      </c>
      <c r="E11" t="s">
        <v>22</v>
      </c>
      <c r="F11" t="s">
        <v>23</v>
      </c>
      <c r="G11">
        <v>20</v>
      </c>
      <c r="H11">
        <v>51</v>
      </c>
      <c r="I11">
        <v>15</v>
      </c>
      <c r="J11">
        <v>56</v>
      </c>
      <c r="K11">
        <v>25</v>
      </c>
      <c r="L11" t="b">
        <v>0</v>
      </c>
      <c r="M11">
        <v>768.39</v>
      </c>
      <c r="N11">
        <v>43030.12</v>
      </c>
      <c r="O11" t="s">
        <v>47</v>
      </c>
    </row>
    <row r="12" spans="1:15">
      <c r="A12" s="1">
        <v>46054</v>
      </c>
      <c r="B12" t="s">
        <v>19</v>
      </c>
      <c r="C12" t="s">
        <v>48</v>
      </c>
      <c r="D12" t="s">
        <v>49</v>
      </c>
      <c r="E12" t="s">
        <v>22</v>
      </c>
      <c r="F12" t="s">
        <v>23</v>
      </c>
      <c r="G12">
        <v>274</v>
      </c>
      <c r="H12">
        <v>247</v>
      </c>
      <c r="I12">
        <v>115</v>
      </c>
      <c r="J12">
        <v>406</v>
      </c>
      <c r="K12">
        <v>153</v>
      </c>
      <c r="L12" t="b">
        <v>0</v>
      </c>
      <c r="M12">
        <v>61.75</v>
      </c>
      <c r="N12">
        <v>25070.84</v>
      </c>
      <c r="O12" t="s">
        <v>44</v>
      </c>
    </row>
    <row r="13" spans="1:15">
      <c r="A13" s="1">
        <v>46054</v>
      </c>
      <c r="B13" t="s">
        <v>19</v>
      </c>
      <c r="C13" t="s">
        <v>50</v>
      </c>
      <c r="D13" t="s">
        <v>51</v>
      </c>
      <c r="E13" t="s">
        <v>22</v>
      </c>
      <c r="F13" t="s">
        <v>23</v>
      </c>
      <c r="G13">
        <v>137</v>
      </c>
      <c r="H13">
        <v>398</v>
      </c>
      <c r="I13">
        <v>77</v>
      </c>
      <c r="J13">
        <v>458</v>
      </c>
      <c r="K13">
        <v>156</v>
      </c>
      <c r="L13" t="b">
        <v>0</v>
      </c>
      <c r="M13">
        <v>260.63</v>
      </c>
      <c r="N13">
        <v>119369.51</v>
      </c>
      <c r="O13" t="s">
        <v>24</v>
      </c>
    </row>
    <row r="14" spans="1:15">
      <c r="A14" s="1">
        <v>46054</v>
      </c>
      <c r="B14" t="s">
        <v>19</v>
      </c>
      <c r="C14" t="s">
        <v>52</v>
      </c>
      <c r="D14" t="s">
        <v>53</v>
      </c>
      <c r="E14" t="s">
        <v>22</v>
      </c>
      <c r="F14" t="s">
        <v>23</v>
      </c>
      <c r="G14">
        <v>339</v>
      </c>
      <c r="H14">
        <v>378</v>
      </c>
      <c r="I14">
        <v>199</v>
      </c>
      <c r="J14">
        <v>518</v>
      </c>
      <c r="K14">
        <v>159</v>
      </c>
      <c r="L14" t="b">
        <v>0</v>
      </c>
      <c r="M14">
        <v>54.71</v>
      </c>
      <c r="N14">
        <v>28337.64</v>
      </c>
      <c r="O14" t="s">
        <v>47</v>
      </c>
    </row>
    <row r="15" spans="1:15">
      <c r="A15" s="1">
        <v>46054</v>
      </c>
      <c r="B15" t="s">
        <v>19</v>
      </c>
      <c r="C15" t="s">
        <v>54</v>
      </c>
      <c r="D15" t="s">
        <v>55</v>
      </c>
      <c r="E15" t="s">
        <v>22</v>
      </c>
      <c r="F15" t="s">
        <v>23</v>
      </c>
      <c r="G15">
        <v>308</v>
      </c>
      <c r="H15">
        <v>0</v>
      </c>
      <c r="I15">
        <v>143</v>
      </c>
      <c r="J15">
        <v>165</v>
      </c>
      <c r="K15">
        <v>135</v>
      </c>
      <c r="L15" t="b">
        <v>0</v>
      </c>
      <c r="M15">
        <v>244.44</v>
      </c>
      <c r="N15">
        <v>40332.28</v>
      </c>
      <c r="O15" t="s">
        <v>44</v>
      </c>
    </row>
    <row r="16" spans="1:15">
      <c r="A16" s="1">
        <v>46054</v>
      </c>
      <c r="B16" t="s">
        <v>19</v>
      </c>
      <c r="C16" t="s">
        <v>56</v>
      </c>
      <c r="D16" t="s">
        <v>57</v>
      </c>
      <c r="E16" t="s">
        <v>22</v>
      </c>
      <c r="F16" t="s">
        <v>23</v>
      </c>
      <c r="G16">
        <v>239</v>
      </c>
      <c r="H16">
        <v>0</v>
      </c>
      <c r="I16">
        <v>192</v>
      </c>
      <c r="J16">
        <v>47</v>
      </c>
      <c r="K16">
        <v>157</v>
      </c>
      <c r="L16" t="b">
        <v>1</v>
      </c>
      <c r="M16">
        <v>415.86</v>
      </c>
      <c r="N16">
        <v>19545.37</v>
      </c>
      <c r="O16" t="s">
        <v>24</v>
      </c>
    </row>
    <row r="17" spans="1:15">
      <c r="A17" s="1">
        <v>46054</v>
      </c>
      <c r="B17" t="s">
        <v>19</v>
      </c>
      <c r="C17" t="s">
        <v>58</v>
      </c>
      <c r="D17" t="s">
        <v>59</v>
      </c>
      <c r="E17" t="s">
        <v>22</v>
      </c>
      <c r="F17" t="s">
        <v>23</v>
      </c>
      <c r="G17">
        <v>112</v>
      </c>
      <c r="H17">
        <v>0</v>
      </c>
      <c r="I17">
        <v>38</v>
      </c>
      <c r="J17">
        <v>74</v>
      </c>
      <c r="K17">
        <v>48</v>
      </c>
      <c r="L17" t="b">
        <v>0</v>
      </c>
      <c r="M17">
        <v>2178.5500000000002</v>
      </c>
      <c r="N17">
        <v>161212.44</v>
      </c>
      <c r="O17" t="s">
        <v>60</v>
      </c>
    </row>
    <row r="18" spans="1:15">
      <c r="A18" s="1">
        <v>46054</v>
      </c>
      <c r="B18" t="s">
        <v>19</v>
      </c>
      <c r="C18" t="s">
        <v>61</v>
      </c>
      <c r="D18" t="s">
        <v>62</v>
      </c>
      <c r="E18" t="s">
        <v>22</v>
      </c>
      <c r="F18" t="s">
        <v>23</v>
      </c>
      <c r="G18">
        <v>104</v>
      </c>
      <c r="H18">
        <v>0</v>
      </c>
      <c r="I18">
        <v>51</v>
      </c>
      <c r="J18">
        <v>53</v>
      </c>
      <c r="K18">
        <v>50</v>
      </c>
      <c r="L18" t="b">
        <v>0</v>
      </c>
      <c r="M18">
        <v>26.12</v>
      </c>
      <c r="N18">
        <v>1384.52</v>
      </c>
      <c r="O18" t="s">
        <v>44</v>
      </c>
    </row>
    <row r="19" spans="1:15">
      <c r="A19" s="1">
        <v>46054</v>
      </c>
      <c r="B19" t="s">
        <v>19</v>
      </c>
      <c r="C19" t="s">
        <v>63</v>
      </c>
      <c r="D19" t="s">
        <v>64</v>
      </c>
      <c r="E19" t="s">
        <v>22</v>
      </c>
      <c r="F19" t="s">
        <v>23</v>
      </c>
      <c r="G19">
        <v>337</v>
      </c>
      <c r="H19">
        <v>0</v>
      </c>
      <c r="I19">
        <v>232</v>
      </c>
      <c r="J19">
        <v>105</v>
      </c>
      <c r="K19">
        <v>251</v>
      </c>
      <c r="L19" t="b">
        <v>1</v>
      </c>
      <c r="M19">
        <v>105.81</v>
      </c>
      <c r="N19">
        <v>11110.27</v>
      </c>
      <c r="O19" t="s">
        <v>47</v>
      </c>
    </row>
    <row r="20" spans="1:15">
      <c r="A20" s="1">
        <v>46054</v>
      </c>
      <c r="B20" t="s">
        <v>19</v>
      </c>
      <c r="C20" t="s">
        <v>65</v>
      </c>
      <c r="D20" t="s">
        <v>66</v>
      </c>
      <c r="E20" t="s">
        <v>22</v>
      </c>
      <c r="F20" t="s">
        <v>23</v>
      </c>
      <c r="G20">
        <v>74</v>
      </c>
      <c r="H20">
        <v>150</v>
      </c>
      <c r="I20">
        <v>40</v>
      </c>
      <c r="J20">
        <v>184</v>
      </c>
      <c r="K20">
        <v>52</v>
      </c>
      <c r="L20" t="b">
        <v>0</v>
      </c>
      <c r="M20">
        <v>72.23</v>
      </c>
      <c r="N20">
        <v>13289.65</v>
      </c>
      <c r="O20" t="s">
        <v>44</v>
      </c>
    </row>
    <row r="21" spans="1:15">
      <c r="A21" s="1">
        <v>46054</v>
      </c>
      <c r="B21" t="s">
        <v>19</v>
      </c>
      <c r="C21" t="s">
        <v>67</v>
      </c>
      <c r="D21" t="s">
        <v>68</v>
      </c>
      <c r="E21" t="s">
        <v>22</v>
      </c>
      <c r="F21" t="s">
        <v>23</v>
      </c>
      <c r="G21">
        <v>367</v>
      </c>
      <c r="H21">
        <v>0</v>
      </c>
      <c r="I21">
        <v>103</v>
      </c>
      <c r="J21">
        <v>264</v>
      </c>
      <c r="K21">
        <v>123</v>
      </c>
      <c r="L21" t="b">
        <v>0</v>
      </c>
      <c r="M21">
        <v>371.93</v>
      </c>
      <c r="N21">
        <v>98188.79</v>
      </c>
      <c r="O21" t="s">
        <v>27</v>
      </c>
    </row>
    <row r="22" spans="1:15">
      <c r="A22" s="1">
        <v>46054</v>
      </c>
      <c r="B22" t="s">
        <v>19</v>
      </c>
      <c r="C22" t="s">
        <v>69</v>
      </c>
      <c r="D22" t="s">
        <v>70</v>
      </c>
      <c r="E22" t="s">
        <v>71</v>
      </c>
      <c r="F22" t="s">
        <v>23</v>
      </c>
      <c r="G22">
        <v>432</v>
      </c>
      <c r="H22">
        <v>519</v>
      </c>
      <c r="I22">
        <v>123</v>
      </c>
      <c r="J22">
        <v>828</v>
      </c>
      <c r="K22">
        <v>140</v>
      </c>
      <c r="L22" t="b">
        <v>0</v>
      </c>
      <c r="M22">
        <v>94.83</v>
      </c>
      <c r="N22">
        <v>78516.5</v>
      </c>
      <c r="O22" t="s">
        <v>27</v>
      </c>
    </row>
    <row r="23" spans="1:15">
      <c r="A23" s="1">
        <v>46054</v>
      </c>
      <c r="B23" t="s">
        <v>19</v>
      </c>
      <c r="C23" t="s">
        <v>72</v>
      </c>
      <c r="D23" t="s">
        <v>73</v>
      </c>
      <c r="E23" t="s">
        <v>71</v>
      </c>
      <c r="F23" t="s">
        <v>23</v>
      </c>
      <c r="G23">
        <v>375</v>
      </c>
      <c r="H23">
        <v>0</v>
      </c>
      <c r="I23">
        <v>174</v>
      </c>
      <c r="J23">
        <v>201</v>
      </c>
      <c r="K23">
        <v>233</v>
      </c>
      <c r="L23" t="b">
        <v>1</v>
      </c>
      <c r="M23">
        <v>431.8</v>
      </c>
      <c r="N23">
        <v>86791.19</v>
      </c>
      <c r="O23" t="s">
        <v>60</v>
      </c>
    </row>
    <row r="24" spans="1:15">
      <c r="A24" s="1">
        <v>46054</v>
      </c>
      <c r="B24" t="s">
        <v>19</v>
      </c>
      <c r="C24" t="s">
        <v>74</v>
      </c>
      <c r="D24" t="s">
        <v>75</v>
      </c>
      <c r="E24" t="s">
        <v>71</v>
      </c>
      <c r="F24" t="s">
        <v>23</v>
      </c>
      <c r="G24">
        <v>152</v>
      </c>
      <c r="H24">
        <v>0</v>
      </c>
      <c r="I24">
        <v>57</v>
      </c>
      <c r="J24">
        <v>95</v>
      </c>
      <c r="K24">
        <v>44</v>
      </c>
      <c r="L24" t="b">
        <v>0</v>
      </c>
      <c r="M24">
        <v>238.93</v>
      </c>
      <c r="N24">
        <v>22698.45</v>
      </c>
      <c r="O24" t="s">
        <v>37</v>
      </c>
    </row>
    <row r="25" spans="1:15">
      <c r="A25" s="1">
        <v>46054</v>
      </c>
      <c r="B25" t="s">
        <v>19</v>
      </c>
      <c r="C25" t="s">
        <v>76</v>
      </c>
      <c r="D25" t="s">
        <v>77</v>
      </c>
      <c r="E25" t="s">
        <v>71</v>
      </c>
      <c r="F25" t="s">
        <v>23</v>
      </c>
      <c r="G25">
        <v>210</v>
      </c>
      <c r="H25">
        <v>378</v>
      </c>
      <c r="I25">
        <v>185</v>
      </c>
      <c r="J25">
        <v>403</v>
      </c>
      <c r="K25">
        <v>198</v>
      </c>
      <c r="L25" t="b">
        <v>0</v>
      </c>
      <c r="M25">
        <v>1132.58</v>
      </c>
      <c r="N25">
        <v>456430.39</v>
      </c>
      <c r="O25" t="s">
        <v>37</v>
      </c>
    </row>
    <row r="26" spans="1:15">
      <c r="A26" s="1">
        <v>46054</v>
      </c>
      <c r="B26" t="s">
        <v>19</v>
      </c>
      <c r="C26" t="s">
        <v>78</v>
      </c>
      <c r="D26" t="s">
        <v>79</v>
      </c>
      <c r="E26" t="s">
        <v>71</v>
      </c>
      <c r="F26" t="s">
        <v>23</v>
      </c>
      <c r="G26">
        <v>55</v>
      </c>
      <c r="H26">
        <v>0</v>
      </c>
      <c r="I26">
        <v>16</v>
      </c>
      <c r="J26">
        <v>39</v>
      </c>
      <c r="K26">
        <v>23</v>
      </c>
      <c r="L26" t="b">
        <v>0</v>
      </c>
      <c r="M26">
        <v>365.09</v>
      </c>
      <c r="N26">
        <v>14238.57</v>
      </c>
      <c r="O26" t="s">
        <v>47</v>
      </c>
    </row>
    <row r="27" spans="1:15">
      <c r="A27" s="1">
        <v>46054</v>
      </c>
      <c r="B27" t="s">
        <v>19</v>
      </c>
      <c r="C27" t="s">
        <v>80</v>
      </c>
      <c r="D27" t="s">
        <v>81</v>
      </c>
      <c r="E27" t="s">
        <v>71</v>
      </c>
      <c r="F27" t="s">
        <v>23</v>
      </c>
      <c r="G27">
        <v>553</v>
      </c>
      <c r="H27">
        <v>0</v>
      </c>
      <c r="I27">
        <v>215</v>
      </c>
      <c r="J27">
        <v>338</v>
      </c>
      <c r="K27">
        <v>193</v>
      </c>
      <c r="L27" t="b">
        <v>0</v>
      </c>
      <c r="M27">
        <v>1785.17</v>
      </c>
      <c r="N27">
        <v>603387</v>
      </c>
      <c r="O27" t="s">
        <v>32</v>
      </c>
    </row>
    <row r="28" spans="1:15">
      <c r="A28" s="1">
        <v>46054</v>
      </c>
      <c r="B28" t="s">
        <v>19</v>
      </c>
      <c r="C28" t="s">
        <v>82</v>
      </c>
      <c r="D28" t="s">
        <v>83</v>
      </c>
      <c r="E28" t="s">
        <v>71</v>
      </c>
      <c r="F28" t="s">
        <v>23</v>
      </c>
      <c r="G28">
        <v>362</v>
      </c>
      <c r="H28">
        <v>496</v>
      </c>
      <c r="I28">
        <v>150</v>
      </c>
      <c r="J28">
        <v>708</v>
      </c>
      <c r="K28">
        <v>169</v>
      </c>
      <c r="L28" t="b">
        <v>0</v>
      </c>
      <c r="M28">
        <v>1831.69</v>
      </c>
      <c r="N28">
        <v>1296836.77</v>
      </c>
      <c r="O28" t="s">
        <v>37</v>
      </c>
    </row>
    <row r="29" spans="1:15">
      <c r="A29" s="1">
        <v>46054</v>
      </c>
      <c r="B29" t="s">
        <v>19</v>
      </c>
      <c r="C29" t="s">
        <v>84</v>
      </c>
      <c r="D29" t="s">
        <v>85</v>
      </c>
      <c r="E29" t="s">
        <v>71</v>
      </c>
      <c r="F29" t="s">
        <v>23</v>
      </c>
      <c r="G29">
        <v>315</v>
      </c>
      <c r="H29">
        <v>0</v>
      </c>
      <c r="I29">
        <v>91</v>
      </c>
      <c r="J29">
        <v>224</v>
      </c>
      <c r="K29">
        <v>148</v>
      </c>
      <c r="L29" t="b">
        <v>0</v>
      </c>
      <c r="M29">
        <v>8178.76</v>
      </c>
      <c r="N29">
        <v>1832041.61</v>
      </c>
      <c r="O29" t="s">
        <v>47</v>
      </c>
    </row>
    <row r="30" spans="1:15">
      <c r="A30" s="1">
        <v>46054</v>
      </c>
      <c r="B30" t="s">
        <v>19</v>
      </c>
      <c r="C30" t="s">
        <v>86</v>
      </c>
      <c r="D30" t="s">
        <v>87</v>
      </c>
      <c r="E30" t="s">
        <v>71</v>
      </c>
      <c r="F30" t="s">
        <v>23</v>
      </c>
      <c r="G30">
        <v>352</v>
      </c>
      <c r="H30">
        <v>0</v>
      </c>
      <c r="I30">
        <v>107</v>
      </c>
      <c r="J30">
        <v>245</v>
      </c>
      <c r="K30">
        <v>174</v>
      </c>
      <c r="L30" t="b">
        <v>0</v>
      </c>
      <c r="M30">
        <v>49.03</v>
      </c>
      <c r="N30">
        <v>12011.94</v>
      </c>
      <c r="O30" t="s">
        <v>60</v>
      </c>
    </row>
    <row r="31" spans="1:15">
      <c r="A31" s="1">
        <v>46054</v>
      </c>
      <c r="B31" t="s">
        <v>19</v>
      </c>
      <c r="C31" t="s">
        <v>88</v>
      </c>
      <c r="D31" t="s">
        <v>89</v>
      </c>
      <c r="E31" t="s">
        <v>71</v>
      </c>
      <c r="F31" t="s">
        <v>23</v>
      </c>
      <c r="G31">
        <v>133</v>
      </c>
      <c r="H31">
        <v>0</v>
      </c>
      <c r="I31">
        <v>54</v>
      </c>
      <c r="J31">
        <v>79</v>
      </c>
      <c r="K31">
        <v>54</v>
      </c>
      <c r="L31" t="b">
        <v>0</v>
      </c>
      <c r="M31">
        <v>192.8</v>
      </c>
      <c r="N31">
        <v>15231.37</v>
      </c>
      <c r="O31" t="s">
        <v>32</v>
      </c>
    </row>
    <row r="32" spans="1:15">
      <c r="A32" s="1">
        <v>46054</v>
      </c>
      <c r="B32" t="s">
        <v>19</v>
      </c>
      <c r="C32" t="s">
        <v>90</v>
      </c>
      <c r="D32" t="s">
        <v>91</v>
      </c>
      <c r="E32" t="s">
        <v>71</v>
      </c>
      <c r="F32" t="s">
        <v>23</v>
      </c>
      <c r="G32">
        <v>50</v>
      </c>
      <c r="H32">
        <v>106</v>
      </c>
      <c r="I32">
        <v>44</v>
      </c>
      <c r="J32">
        <v>112</v>
      </c>
      <c r="K32">
        <v>43</v>
      </c>
      <c r="L32" t="b">
        <v>0</v>
      </c>
      <c r="M32">
        <v>1633.67</v>
      </c>
      <c r="N32">
        <v>182970.62</v>
      </c>
      <c r="O32" t="s">
        <v>32</v>
      </c>
    </row>
    <row r="33" spans="1:15">
      <c r="A33" s="1">
        <v>46054</v>
      </c>
      <c r="B33" t="s">
        <v>19</v>
      </c>
      <c r="C33" t="s">
        <v>92</v>
      </c>
      <c r="D33" t="s">
        <v>93</v>
      </c>
      <c r="E33" t="s">
        <v>71</v>
      </c>
      <c r="F33" t="s">
        <v>23</v>
      </c>
      <c r="G33">
        <v>200</v>
      </c>
      <c r="H33">
        <v>291</v>
      </c>
      <c r="I33">
        <v>84</v>
      </c>
      <c r="J33">
        <v>407</v>
      </c>
      <c r="K33">
        <v>137</v>
      </c>
      <c r="L33" t="b">
        <v>0</v>
      </c>
      <c r="M33">
        <v>270.76</v>
      </c>
      <c r="N33">
        <v>110200.01</v>
      </c>
      <c r="O33" t="s">
        <v>24</v>
      </c>
    </row>
    <row r="34" spans="1:15">
      <c r="A34" s="1">
        <v>46054</v>
      </c>
      <c r="B34" t="s">
        <v>19</v>
      </c>
      <c r="C34" t="s">
        <v>94</v>
      </c>
      <c r="D34" t="s">
        <v>95</v>
      </c>
      <c r="E34" t="s">
        <v>71</v>
      </c>
      <c r="F34" t="s">
        <v>23</v>
      </c>
      <c r="G34">
        <v>377</v>
      </c>
      <c r="H34">
        <v>0</v>
      </c>
      <c r="I34">
        <v>132</v>
      </c>
      <c r="J34">
        <v>245</v>
      </c>
      <c r="K34">
        <v>177</v>
      </c>
      <c r="L34" t="b">
        <v>0</v>
      </c>
      <c r="M34">
        <v>1297.4000000000001</v>
      </c>
      <c r="N34">
        <v>317862.88</v>
      </c>
      <c r="O34" t="s">
        <v>32</v>
      </c>
    </row>
    <row r="35" spans="1:15">
      <c r="A35" s="1">
        <v>46054</v>
      </c>
      <c r="B35" t="s">
        <v>19</v>
      </c>
      <c r="C35" t="s">
        <v>96</v>
      </c>
      <c r="D35" t="s">
        <v>97</v>
      </c>
      <c r="E35" t="s">
        <v>71</v>
      </c>
      <c r="F35" t="s">
        <v>23</v>
      </c>
      <c r="G35">
        <v>409</v>
      </c>
      <c r="H35">
        <v>0</v>
      </c>
      <c r="I35">
        <v>152</v>
      </c>
      <c r="J35">
        <v>257</v>
      </c>
      <c r="K35">
        <v>218</v>
      </c>
      <c r="L35" t="b">
        <v>0</v>
      </c>
      <c r="M35">
        <v>760.71</v>
      </c>
      <c r="N35">
        <v>195503.39</v>
      </c>
      <c r="O35" t="s">
        <v>98</v>
      </c>
    </row>
    <row r="36" spans="1:15">
      <c r="A36" s="1">
        <v>46054</v>
      </c>
      <c r="B36" t="s">
        <v>19</v>
      </c>
      <c r="C36" t="s">
        <v>99</v>
      </c>
      <c r="D36" t="s">
        <v>100</v>
      </c>
      <c r="E36" t="s">
        <v>71</v>
      </c>
      <c r="F36" t="s">
        <v>23</v>
      </c>
      <c r="G36">
        <v>234</v>
      </c>
      <c r="H36">
        <v>0</v>
      </c>
      <c r="I36">
        <v>97</v>
      </c>
      <c r="J36">
        <v>137</v>
      </c>
      <c r="K36">
        <v>120</v>
      </c>
      <c r="L36" t="b">
        <v>0</v>
      </c>
      <c r="M36">
        <v>3483.02</v>
      </c>
      <c r="N36">
        <v>477173.32</v>
      </c>
      <c r="O36" t="s">
        <v>47</v>
      </c>
    </row>
    <row r="37" spans="1:15">
      <c r="A37" s="1">
        <v>46054</v>
      </c>
      <c r="B37" t="s">
        <v>19</v>
      </c>
      <c r="C37" t="s">
        <v>101</v>
      </c>
      <c r="D37" t="s">
        <v>102</v>
      </c>
      <c r="E37" t="s">
        <v>71</v>
      </c>
      <c r="F37" t="s">
        <v>23</v>
      </c>
      <c r="G37">
        <v>245</v>
      </c>
      <c r="H37">
        <v>0</v>
      </c>
      <c r="I37">
        <v>158</v>
      </c>
      <c r="J37">
        <v>87</v>
      </c>
      <c r="K37">
        <v>156</v>
      </c>
      <c r="L37" t="b">
        <v>1</v>
      </c>
      <c r="M37">
        <v>57.69</v>
      </c>
      <c r="N37">
        <v>5019.1499999999996</v>
      </c>
      <c r="O37" t="s">
        <v>32</v>
      </c>
    </row>
    <row r="38" spans="1:15">
      <c r="A38" s="1">
        <v>46054</v>
      </c>
      <c r="B38" t="s">
        <v>19</v>
      </c>
      <c r="C38" t="s">
        <v>103</v>
      </c>
      <c r="D38" t="s">
        <v>104</v>
      </c>
      <c r="E38" t="s">
        <v>71</v>
      </c>
      <c r="F38" t="s">
        <v>23</v>
      </c>
      <c r="G38">
        <v>265</v>
      </c>
      <c r="H38">
        <v>0</v>
      </c>
      <c r="I38">
        <v>179</v>
      </c>
      <c r="J38">
        <v>86</v>
      </c>
      <c r="K38">
        <v>201</v>
      </c>
      <c r="L38" t="b">
        <v>1</v>
      </c>
      <c r="M38">
        <v>480.93</v>
      </c>
      <c r="N38">
        <v>41360.22</v>
      </c>
      <c r="O38" t="s">
        <v>98</v>
      </c>
    </row>
    <row r="39" spans="1:15">
      <c r="A39" s="1">
        <v>46054</v>
      </c>
      <c r="B39" t="s">
        <v>19</v>
      </c>
      <c r="C39" t="s">
        <v>105</v>
      </c>
      <c r="D39" t="s">
        <v>106</v>
      </c>
      <c r="E39" t="s">
        <v>71</v>
      </c>
      <c r="F39" t="s">
        <v>23</v>
      </c>
      <c r="G39">
        <v>450</v>
      </c>
      <c r="H39">
        <v>0</v>
      </c>
      <c r="I39">
        <v>173</v>
      </c>
      <c r="J39">
        <v>277</v>
      </c>
      <c r="K39">
        <v>201</v>
      </c>
      <c r="L39" t="b">
        <v>0</v>
      </c>
      <c r="M39">
        <v>2392.23</v>
      </c>
      <c r="N39">
        <v>662646.56999999995</v>
      </c>
      <c r="O39" t="s">
        <v>32</v>
      </c>
    </row>
    <row r="40" spans="1:15">
      <c r="A40" s="1">
        <v>46054</v>
      </c>
      <c r="B40" t="s">
        <v>19</v>
      </c>
      <c r="C40" t="s">
        <v>107</v>
      </c>
      <c r="D40" t="s">
        <v>108</v>
      </c>
      <c r="E40" t="s">
        <v>109</v>
      </c>
      <c r="F40" t="s">
        <v>110</v>
      </c>
      <c r="G40">
        <v>125</v>
      </c>
      <c r="H40">
        <v>0</v>
      </c>
      <c r="I40">
        <v>125</v>
      </c>
      <c r="J40">
        <v>0</v>
      </c>
      <c r="K40">
        <v>99</v>
      </c>
      <c r="L40" t="b">
        <v>1</v>
      </c>
      <c r="M40">
        <v>93.71</v>
      </c>
      <c r="N40">
        <v>0</v>
      </c>
      <c r="O40" t="s">
        <v>24</v>
      </c>
    </row>
    <row r="41" spans="1:15">
      <c r="A41" s="1">
        <v>46054</v>
      </c>
      <c r="B41" t="s">
        <v>19</v>
      </c>
      <c r="C41" t="s">
        <v>111</v>
      </c>
      <c r="D41" t="s">
        <v>112</v>
      </c>
      <c r="E41" t="s">
        <v>109</v>
      </c>
      <c r="F41" t="s">
        <v>110</v>
      </c>
      <c r="G41">
        <v>95</v>
      </c>
      <c r="H41">
        <v>248</v>
      </c>
      <c r="I41">
        <v>87</v>
      </c>
      <c r="J41">
        <v>256</v>
      </c>
      <c r="K41">
        <v>79</v>
      </c>
      <c r="L41" t="b">
        <v>0</v>
      </c>
      <c r="M41">
        <v>477.37</v>
      </c>
      <c r="N41">
        <v>122206.98</v>
      </c>
      <c r="O41" t="s">
        <v>98</v>
      </c>
    </row>
    <row r="42" spans="1:15">
      <c r="A42" s="1">
        <v>46054</v>
      </c>
      <c r="B42" t="s">
        <v>19</v>
      </c>
      <c r="C42" t="s">
        <v>113</v>
      </c>
      <c r="D42" t="s">
        <v>114</v>
      </c>
      <c r="E42" t="s">
        <v>109</v>
      </c>
      <c r="F42" t="s">
        <v>110</v>
      </c>
      <c r="G42">
        <v>540</v>
      </c>
      <c r="H42">
        <v>499</v>
      </c>
      <c r="I42">
        <v>151</v>
      </c>
      <c r="J42">
        <v>888</v>
      </c>
      <c r="K42">
        <v>224</v>
      </c>
      <c r="L42" t="b">
        <v>0</v>
      </c>
      <c r="M42">
        <v>153.99</v>
      </c>
      <c r="N42">
        <v>136741.37</v>
      </c>
      <c r="O42" t="s">
        <v>27</v>
      </c>
    </row>
    <row r="43" spans="1:15">
      <c r="A43" s="1">
        <v>46054</v>
      </c>
      <c r="B43" t="s">
        <v>19</v>
      </c>
      <c r="C43" t="s">
        <v>115</v>
      </c>
      <c r="D43" t="s">
        <v>116</v>
      </c>
      <c r="E43" t="s">
        <v>109</v>
      </c>
      <c r="F43" t="s">
        <v>110</v>
      </c>
      <c r="G43">
        <v>165</v>
      </c>
      <c r="H43">
        <v>389</v>
      </c>
      <c r="I43">
        <v>187</v>
      </c>
      <c r="J43">
        <v>367</v>
      </c>
      <c r="K43">
        <v>151</v>
      </c>
      <c r="L43" t="b">
        <v>0</v>
      </c>
      <c r="M43">
        <v>677.01</v>
      </c>
      <c r="N43">
        <v>248461.73</v>
      </c>
      <c r="O43" t="s">
        <v>44</v>
      </c>
    </row>
    <row r="44" spans="1:15">
      <c r="A44" s="1">
        <v>46054</v>
      </c>
      <c r="B44" t="s">
        <v>19</v>
      </c>
      <c r="C44" t="s">
        <v>117</v>
      </c>
      <c r="D44" t="s">
        <v>118</v>
      </c>
      <c r="E44" t="s">
        <v>109</v>
      </c>
      <c r="F44" t="s">
        <v>110</v>
      </c>
      <c r="G44">
        <v>315</v>
      </c>
      <c r="H44">
        <v>318</v>
      </c>
      <c r="I44">
        <v>108</v>
      </c>
      <c r="J44">
        <v>525</v>
      </c>
      <c r="K44">
        <v>139</v>
      </c>
      <c r="L44" t="b">
        <v>0</v>
      </c>
      <c r="M44">
        <v>41.2</v>
      </c>
      <c r="N44">
        <v>21628.48</v>
      </c>
      <c r="O44" t="s">
        <v>32</v>
      </c>
    </row>
    <row r="45" spans="1:15">
      <c r="A45" s="1">
        <v>46054</v>
      </c>
      <c r="B45" t="s">
        <v>19</v>
      </c>
      <c r="C45" t="s">
        <v>119</v>
      </c>
      <c r="D45" t="s">
        <v>120</v>
      </c>
      <c r="E45" t="s">
        <v>109</v>
      </c>
      <c r="F45" t="s">
        <v>110</v>
      </c>
      <c r="G45">
        <v>267</v>
      </c>
      <c r="H45">
        <v>444</v>
      </c>
      <c r="I45">
        <v>111</v>
      </c>
      <c r="J45">
        <v>600</v>
      </c>
      <c r="K45">
        <v>167</v>
      </c>
      <c r="L45" t="b">
        <v>0</v>
      </c>
      <c r="M45">
        <v>185.85</v>
      </c>
      <c r="N45">
        <v>111512.1</v>
      </c>
      <c r="O45" t="s">
        <v>32</v>
      </c>
    </row>
    <row r="46" spans="1:15">
      <c r="A46" s="1">
        <v>46054</v>
      </c>
      <c r="B46" t="s">
        <v>19</v>
      </c>
      <c r="C46" t="s">
        <v>121</v>
      </c>
      <c r="D46" t="s">
        <v>122</v>
      </c>
      <c r="E46" t="s">
        <v>109</v>
      </c>
      <c r="F46" t="s">
        <v>110</v>
      </c>
      <c r="G46">
        <v>202</v>
      </c>
      <c r="H46">
        <v>0</v>
      </c>
      <c r="I46">
        <v>77</v>
      </c>
      <c r="J46">
        <v>125</v>
      </c>
      <c r="K46">
        <v>89</v>
      </c>
      <c r="L46" t="b">
        <v>0</v>
      </c>
      <c r="M46">
        <v>40.72</v>
      </c>
      <c r="N46">
        <v>5089.8500000000004</v>
      </c>
      <c r="O46" t="s">
        <v>47</v>
      </c>
    </row>
    <row r="47" spans="1:15">
      <c r="A47" s="1">
        <v>46054</v>
      </c>
      <c r="B47" t="s">
        <v>19</v>
      </c>
      <c r="C47" t="s">
        <v>123</v>
      </c>
      <c r="D47" t="s">
        <v>124</v>
      </c>
      <c r="E47" t="s">
        <v>109</v>
      </c>
      <c r="F47" t="s">
        <v>110</v>
      </c>
      <c r="G47">
        <v>130</v>
      </c>
      <c r="H47">
        <v>0</v>
      </c>
      <c r="I47">
        <v>90</v>
      </c>
      <c r="J47">
        <v>40</v>
      </c>
      <c r="K47">
        <v>106</v>
      </c>
      <c r="L47" t="b">
        <v>1</v>
      </c>
      <c r="M47">
        <v>190.36</v>
      </c>
      <c r="N47">
        <v>7614.56</v>
      </c>
      <c r="O47" t="s">
        <v>24</v>
      </c>
    </row>
    <row r="48" spans="1:15">
      <c r="A48" s="1">
        <v>46054</v>
      </c>
      <c r="B48" t="s">
        <v>19</v>
      </c>
      <c r="C48" t="s">
        <v>125</v>
      </c>
      <c r="D48" t="s">
        <v>126</v>
      </c>
      <c r="E48" t="s">
        <v>109</v>
      </c>
      <c r="F48" t="s">
        <v>110</v>
      </c>
      <c r="G48">
        <v>347</v>
      </c>
      <c r="H48">
        <v>0</v>
      </c>
      <c r="I48">
        <v>179</v>
      </c>
      <c r="J48">
        <v>168</v>
      </c>
      <c r="K48">
        <v>215</v>
      </c>
      <c r="L48" t="b">
        <v>1</v>
      </c>
      <c r="M48">
        <v>129.99</v>
      </c>
      <c r="N48">
        <v>21838.65</v>
      </c>
      <c r="O48" t="s">
        <v>47</v>
      </c>
    </row>
    <row r="49" spans="1:15">
      <c r="A49" s="1">
        <v>46054</v>
      </c>
      <c r="B49" t="s">
        <v>19</v>
      </c>
      <c r="C49" t="s">
        <v>127</v>
      </c>
      <c r="D49" t="s">
        <v>128</v>
      </c>
      <c r="E49" t="s">
        <v>109</v>
      </c>
      <c r="F49" t="s">
        <v>110</v>
      </c>
      <c r="G49">
        <v>146</v>
      </c>
      <c r="H49">
        <v>0</v>
      </c>
      <c r="I49">
        <v>60</v>
      </c>
      <c r="J49">
        <v>86</v>
      </c>
      <c r="K49">
        <v>120</v>
      </c>
      <c r="L49" t="b">
        <v>1</v>
      </c>
      <c r="M49">
        <v>622.80999999999995</v>
      </c>
      <c r="N49">
        <v>53561.91</v>
      </c>
      <c r="O49" t="s">
        <v>44</v>
      </c>
    </row>
    <row r="50" spans="1:15">
      <c r="A50" s="1">
        <v>46054</v>
      </c>
      <c r="B50" t="s">
        <v>19</v>
      </c>
      <c r="C50" t="s">
        <v>129</v>
      </c>
      <c r="D50" t="s">
        <v>130</v>
      </c>
      <c r="E50" t="s">
        <v>109</v>
      </c>
      <c r="F50" t="s">
        <v>110</v>
      </c>
      <c r="G50">
        <v>453</v>
      </c>
      <c r="H50">
        <v>0</v>
      </c>
      <c r="I50">
        <v>263</v>
      </c>
      <c r="J50">
        <v>190</v>
      </c>
      <c r="K50">
        <v>274</v>
      </c>
      <c r="L50" t="b">
        <v>1</v>
      </c>
      <c r="M50">
        <v>412.71</v>
      </c>
      <c r="N50">
        <v>78415.429999999993</v>
      </c>
      <c r="O50" t="s">
        <v>32</v>
      </c>
    </row>
    <row r="51" spans="1:15">
      <c r="A51" s="1">
        <v>46054</v>
      </c>
      <c r="B51" t="s">
        <v>19</v>
      </c>
      <c r="C51" t="s">
        <v>131</v>
      </c>
      <c r="D51" t="s">
        <v>132</v>
      </c>
      <c r="E51" t="s">
        <v>109</v>
      </c>
      <c r="F51" t="s">
        <v>110</v>
      </c>
      <c r="G51">
        <v>134</v>
      </c>
      <c r="H51">
        <v>0</v>
      </c>
      <c r="I51">
        <v>59</v>
      </c>
      <c r="J51">
        <v>75</v>
      </c>
      <c r="K51">
        <v>56</v>
      </c>
      <c r="L51" t="b">
        <v>0</v>
      </c>
      <c r="M51">
        <v>1980.46</v>
      </c>
      <c r="N51">
        <v>148534.35</v>
      </c>
      <c r="O51" t="s">
        <v>24</v>
      </c>
    </row>
    <row r="52" spans="1:15">
      <c r="A52" s="1">
        <v>46054</v>
      </c>
      <c r="B52" t="s">
        <v>19</v>
      </c>
      <c r="C52" t="s">
        <v>133</v>
      </c>
      <c r="D52" t="s">
        <v>134</v>
      </c>
      <c r="E52" t="s">
        <v>109</v>
      </c>
      <c r="F52" t="s">
        <v>110</v>
      </c>
      <c r="G52">
        <v>358</v>
      </c>
      <c r="H52">
        <v>0</v>
      </c>
      <c r="I52">
        <v>276</v>
      </c>
      <c r="J52">
        <v>82</v>
      </c>
      <c r="K52">
        <v>160</v>
      </c>
      <c r="L52" t="b">
        <v>1</v>
      </c>
      <c r="M52">
        <v>23.88</v>
      </c>
      <c r="N52">
        <v>1958.3</v>
      </c>
      <c r="O52" t="s">
        <v>98</v>
      </c>
    </row>
    <row r="53" spans="1:15">
      <c r="A53" s="1">
        <v>46054</v>
      </c>
      <c r="B53" t="s">
        <v>19</v>
      </c>
      <c r="C53" t="s">
        <v>135</v>
      </c>
      <c r="D53" t="s">
        <v>136</v>
      </c>
      <c r="E53" t="s">
        <v>109</v>
      </c>
      <c r="F53" t="s">
        <v>110</v>
      </c>
      <c r="G53">
        <v>130</v>
      </c>
      <c r="H53">
        <v>282</v>
      </c>
      <c r="I53">
        <v>97</v>
      </c>
      <c r="J53">
        <v>315</v>
      </c>
      <c r="K53">
        <v>135</v>
      </c>
      <c r="L53" t="b">
        <v>0</v>
      </c>
      <c r="M53">
        <v>110.78</v>
      </c>
      <c r="N53">
        <v>34894.589999999997</v>
      </c>
      <c r="O53" t="s">
        <v>32</v>
      </c>
    </row>
    <row r="54" spans="1:15">
      <c r="A54" s="1">
        <v>46054</v>
      </c>
      <c r="B54" t="s">
        <v>19</v>
      </c>
      <c r="C54" t="s">
        <v>137</v>
      </c>
      <c r="D54" t="s">
        <v>138</v>
      </c>
      <c r="E54" t="s">
        <v>109</v>
      </c>
      <c r="F54" t="s">
        <v>110</v>
      </c>
      <c r="G54">
        <v>184</v>
      </c>
      <c r="H54">
        <v>0</v>
      </c>
      <c r="I54">
        <v>119</v>
      </c>
      <c r="J54">
        <v>65</v>
      </c>
      <c r="K54">
        <v>135</v>
      </c>
      <c r="L54" t="b">
        <v>1</v>
      </c>
      <c r="M54">
        <v>60.61</v>
      </c>
      <c r="N54">
        <v>3939.65</v>
      </c>
      <c r="O54" t="s">
        <v>27</v>
      </c>
    </row>
    <row r="55" spans="1:15">
      <c r="A55" s="1">
        <v>46054</v>
      </c>
      <c r="B55" t="s">
        <v>19</v>
      </c>
      <c r="C55" t="s">
        <v>139</v>
      </c>
      <c r="D55" t="s">
        <v>140</v>
      </c>
      <c r="E55" t="s">
        <v>109</v>
      </c>
      <c r="F55" t="s">
        <v>110</v>
      </c>
      <c r="G55">
        <v>382</v>
      </c>
      <c r="H55">
        <v>0</v>
      </c>
      <c r="I55">
        <v>164</v>
      </c>
      <c r="J55">
        <v>218</v>
      </c>
      <c r="K55">
        <v>110</v>
      </c>
      <c r="L55" t="b">
        <v>0</v>
      </c>
      <c r="M55">
        <v>298.79000000000002</v>
      </c>
      <c r="N55">
        <v>65137.03</v>
      </c>
      <c r="O55" t="s">
        <v>32</v>
      </c>
    </row>
    <row r="56" spans="1:15">
      <c r="A56" s="1">
        <v>46054</v>
      </c>
      <c r="B56" t="s">
        <v>19</v>
      </c>
      <c r="C56" t="s">
        <v>141</v>
      </c>
      <c r="D56" t="s">
        <v>142</v>
      </c>
      <c r="E56" t="s">
        <v>109</v>
      </c>
      <c r="F56" t="s">
        <v>110</v>
      </c>
      <c r="G56">
        <v>291</v>
      </c>
      <c r="H56">
        <v>0</v>
      </c>
      <c r="I56">
        <v>87</v>
      </c>
      <c r="J56">
        <v>204</v>
      </c>
      <c r="K56">
        <v>96</v>
      </c>
      <c r="L56" t="b">
        <v>0</v>
      </c>
      <c r="M56">
        <v>89.97</v>
      </c>
      <c r="N56">
        <v>18354.03</v>
      </c>
      <c r="O56" t="s">
        <v>37</v>
      </c>
    </row>
    <row r="57" spans="1:15">
      <c r="A57" s="1">
        <v>46054</v>
      </c>
      <c r="B57" t="s">
        <v>19</v>
      </c>
      <c r="C57" t="s">
        <v>143</v>
      </c>
      <c r="D57" t="s">
        <v>144</v>
      </c>
      <c r="E57" t="s">
        <v>109</v>
      </c>
      <c r="F57" t="s">
        <v>110</v>
      </c>
      <c r="G57">
        <v>250</v>
      </c>
      <c r="H57">
        <v>0</v>
      </c>
      <c r="I57">
        <v>130</v>
      </c>
      <c r="J57">
        <v>120</v>
      </c>
      <c r="K57">
        <v>187</v>
      </c>
      <c r="L57" t="b">
        <v>1</v>
      </c>
      <c r="M57">
        <v>441.72</v>
      </c>
      <c r="N57">
        <v>53005.82</v>
      </c>
      <c r="O57" t="s">
        <v>24</v>
      </c>
    </row>
    <row r="58" spans="1:15">
      <c r="A58" s="1">
        <v>46054</v>
      </c>
      <c r="B58" t="s">
        <v>19</v>
      </c>
      <c r="C58" t="s">
        <v>145</v>
      </c>
      <c r="D58" t="s">
        <v>146</v>
      </c>
      <c r="E58" t="s">
        <v>109</v>
      </c>
      <c r="F58" t="s">
        <v>110</v>
      </c>
      <c r="G58">
        <v>454</v>
      </c>
      <c r="H58">
        <v>0</v>
      </c>
      <c r="I58">
        <v>289</v>
      </c>
      <c r="J58">
        <v>165</v>
      </c>
      <c r="K58">
        <v>209</v>
      </c>
      <c r="L58" t="b">
        <v>1</v>
      </c>
      <c r="M58">
        <v>63.49</v>
      </c>
      <c r="N58">
        <v>10475.290000000001</v>
      </c>
      <c r="O58" t="s">
        <v>37</v>
      </c>
    </row>
    <row r="59" spans="1:15">
      <c r="A59" s="1">
        <v>46054</v>
      </c>
      <c r="B59" t="s">
        <v>19</v>
      </c>
      <c r="C59" t="s">
        <v>147</v>
      </c>
      <c r="D59" t="s">
        <v>148</v>
      </c>
      <c r="E59" t="s">
        <v>109</v>
      </c>
      <c r="F59" t="s">
        <v>110</v>
      </c>
      <c r="G59">
        <v>562</v>
      </c>
      <c r="H59">
        <v>533</v>
      </c>
      <c r="I59">
        <v>153</v>
      </c>
      <c r="J59">
        <v>942</v>
      </c>
      <c r="K59">
        <v>235</v>
      </c>
      <c r="L59" t="b">
        <v>0</v>
      </c>
      <c r="M59">
        <v>320.77</v>
      </c>
      <c r="N59">
        <v>302164.21999999997</v>
      </c>
      <c r="O59" t="s">
        <v>98</v>
      </c>
    </row>
    <row r="60" spans="1:15">
      <c r="A60" s="1">
        <v>46054</v>
      </c>
      <c r="B60" t="s">
        <v>19</v>
      </c>
      <c r="C60" t="s">
        <v>149</v>
      </c>
      <c r="D60" t="s">
        <v>150</v>
      </c>
      <c r="E60" t="s">
        <v>151</v>
      </c>
      <c r="F60" t="s">
        <v>23</v>
      </c>
      <c r="G60">
        <v>131</v>
      </c>
      <c r="H60">
        <v>0</v>
      </c>
      <c r="I60">
        <v>91</v>
      </c>
      <c r="J60">
        <v>40</v>
      </c>
      <c r="K60">
        <v>96</v>
      </c>
      <c r="L60" t="b">
        <v>1</v>
      </c>
      <c r="M60">
        <v>282.58</v>
      </c>
      <c r="N60">
        <v>11303.24</v>
      </c>
      <c r="O60" t="s">
        <v>32</v>
      </c>
    </row>
    <row r="61" spans="1:15">
      <c r="A61" s="1">
        <v>46054</v>
      </c>
      <c r="B61" t="s">
        <v>19</v>
      </c>
      <c r="C61" t="s">
        <v>152</v>
      </c>
      <c r="D61" t="s">
        <v>153</v>
      </c>
      <c r="E61" t="s">
        <v>151</v>
      </c>
      <c r="F61" t="s">
        <v>23</v>
      </c>
      <c r="G61">
        <v>186</v>
      </c>
      <c r="H61">
        <v>238</v>
      </c>
      <c r="I61">
        <v>67</v>
      </c>
      <c r="J61">
        <v>357</v>
      </c>
      <c r="K61">
        <v>163</v>
      </c>
      <c r="L61" t="b">
        <v>0</v>
      </c>
      <c r="M61">
        <v>1147.81</v>
      </c>
      <c r="N61">
        <v>409769.8</v>
      </c>
      <c r="O61" t="s">
        <v>98</v>
      </c>
    </row>
    <row r="62" spans="1:15">
      <c r="A62" s="1">
        <v>46054</v>
      </c>
      <c r="B62" t="s">
        <v>19</v>
      </c>
      <c r="C62" t="s">
        <v>154</v>
      </c>
      <c r="D62" t="s">
        <v>155</v>
      </c>
      <c r="E62" t="s">
        <v>151</v>
      </c>
      <c r="F62" t="s">
        <v>23</v>
      </c>
      <c r="G62">
        <v>267</v>
      </c>
      <c r="H62">
        <v>0</v>
      </c>
      <c r="I62">
        <v>133</v>
      </c>
      <c r="J62">
        <v>134</v>
      </c>
      <c r="K62">
        <v>202</v>
      </c>
      <c r="L62" t="b">
        <v>1</v>
      </c>
      <c r="M62">
        <v>297.51</v>
      </c>
      <c r="N62">
        <v>39866.35</v>
      </c>
      <c r="O62" t="s">
        <v>60</v>
      </c>
    </row>
    <row r="63" spans="1:15">
      <c r="A63" s="1">
        <v>46054</v>
      </c>
      <c r="B63" t="s">
        <v>19</v>
      </c>
      <c r="C63" t="s">
        <v>156</v>
      </c>
      <c r="D63" t="s">
        <v>157</v>
      </c>
      <c r="E63" t="s">
        <v>151</v>
      </c>
      <c r="F63" t="s">
        <v>23</v>
      </c>
      <c r="G63">
        <v>263</v>
      </c>
      <c r="H63">
        <v>0</v>
      </c>
      <c r="I63">
        <v>110</v>
      </c>
      <c r="J63">
        <v>153</v>
      </c>
      <c r="K63">
        <v>130</v>
      </c>
      <c r="L63" t="b">
        <v>0</v>
      </c>
      <c r="M63">
        <v>1484.79</v>
      </c>
      <c r="N63">
        <v>227172.23</v>
      </c>
      <c r="O63" t="s">
        <v>32</v>
      </c>
    </row>
    <row r="64" spans="1:15">
      <c r="A64" s="1">
        <v>46054</v>
      </c>
      <c r="B64" t="s">
        <v>19</v>
      </c>
      <c r="C64" t="s">
        <v>158</v>
      </c>
      <c r="D64" t="s">
        <v>159</v>
      </c>
      <c r="E64" t="s">
        <v>151</v>
      </c>
      <c r="F64" t="s">
        <v>23</v>
      </c>
      <c r="G64">
        <v>149</v>
      </c>
      <c r="H64">
        <v>378</v>
      </c>
      <c r="I64">
        <v>105</v>
      </c>
      <c r="J64">
        <v>422</v>
      </c>
      <c r="K64">
        <v>111</v>
      </c>
      <c r="L64" t="b">
        <v>0</v>
      </c>
      <c r="M64">
        <v>46.78</v>
      </c>
      <c r="N64">
        <v>19740.099999999999</v>
      </c>
      <c r="O64" t="s">
        <v>37</v>
      </c>
    </row>
    <row r="65" spans="1:15">
      <c r="A65" s="1">
        <v>46054</v>
      </c>
      <c r="B65" t="s">
        <v>19</v>
      </c>
      <c r="C65" t="s">
        <v>160</v>
      </c>
      <c r="D65" t="s">
        <v>161</v>
      </c>
      <c r="E65" t="s">
        <v>151</v>
      </c>
      <c r="F65" t="s">
        <v>23</v>
      </c>
      <c r="G65">
        <v>337</v>
      </c>
      <c r="H65">
        <v>0</v>
      </c>
      <c r="I65">
        <v>118</v>
      </c>
      <c r="J65">
        <v>219</v>
      </c>
      <c r="K65">
        <v>127</v>
      </c>
      <c r="L65" t="b">
        <v>0</v>
      </c>
      <c r="M65">
        <v>188.11</v>
      </c>
      <c r="N65">
        <v>41195.43</v>
      </c>
      <c r="O65" t="s">
        <v>24</v>
      </c>
    </row>
    <row r="66" spans="1:15">
      <c r="A66" s="1">
        <v>46054</v>
      </c>
      <c r="B66" t="s">
        <v>19</v>
      </c>
      <c r="C66" t="s">
        <v>162</v>
      </c>
      <c r="D66" t="s">
        <v>163</v>
      </c>
      <c r="E66" t="s">
        <v>151</v>
      </c>
      <c r="F66" t="s">
        <v>23</v>
      </c>
      <c r="G66">
        <v>439</v>
      </c>
      <c r="H66">
        <v>0</v>
      </c>
      <c r="I66">
        <v>88</v>
      </c>
      <c r="J66">
        <v>351</v>
      </c>
      <c r="K66">
        <v>216</v>
      </c>
      <c r="L66" t="b">
        <v>0</v>
      </c>
      <c r="M66">
        <v>205.22</v>
      </c>
      <c r="N66">
        <v>72030.570000000007</v>
      </c>
      <c r="O66" t="s">
        <v>37</v>
      </c>
    </row>
    <row r="67" spans="1:15">
      <c r="A67" s="1">
        <v>46054</v>
      </c>
      <c r="B67" t="s">
        <v>19</v>
      </c>
      <c r="C67" t="s">
        <v>164</v>
      </c>
      <c r="D67" t="s">
        <v>165</v>
      </c>
      <c r="E67" t="s">
        <v>151</v>
      </c>
      <c r="F67" t="s">
        <v>23</v>
      </c>
      <c r="G67">
        <v>447</v>
      </c>
      <c r="H67">
        <v>332</v>
      </c>
      <c r="I67">
        <v>224</v>
      </c>
      <c r="J67">
        <v>555</v>
      </c>
      <c r="K67">
        <v>207</v>
      </c>
      <c r="L67" t="b">
        <v>0</v>
      </c>
      <c r="M67">
        <v>965.1</v>
      </c>
      <c r="N67">
        <v>535629.11</v>
      </c>
      <c r="O67" t="s">
        <v>98</v>
      </c>
    </row>
    <row r="68" spans="1:15">
      <c r="A68" s="1">
        <v>46054</v>
      </c>
      <c r="B68" t="s">
        <v>19</v>
      </c>
      <c r="C68" t="s">
        <v>166</v>
      </c>
      <c r="D68" t="s">
        <v>167</v>
      </c>
      <c r="E68" t="s">
        <v>151</v>
      </c>
      <c r="F68" t="s">
        <v>23</v>
      </c>
      <c r="G68">
        <v>49</v>
      </c>
      <c r="H68">
        <v>64</v>
      </c>
      <c r="I68">
        <v>9</v>
      </c>
      <c r="J68">
        <v>104</v>
      </c>
      <c r="K68">
        <v>26</v>
      </c>
      <c r="L68" t="b">
        <v>0</v>
      </c>
      <c r="M68">
        <v>150.35</v>
      </c>
      <c r="N68">
        <v>15636.57</v>
      </c>
      <c r="O68" t="s">
        <v>44</v>
      </c>
    </row>
    <row r="69" spans="1:15">
      <c r="A69" s="1">
        <v>46054</v>
      </c>
      <c r="B69" t="s">
        <v>19</v>
      </c>
      <c r="C69" t="s">
        <v>168</v>
      </c>
      <c r="D69" t="s">
        <v>169</v>
      </c>
      <c r="E69" t="s">
        <v>151</v>
      </c>
      <c r="F69" t="s">
        <v>23</v>
      </c>
      <c r="G69">
        <v>398</v>
      </c>
      <c r="H69">
        <v>0</v>
      </c>
      <c r="I69">
        <v>243</v>
      </c>
      <c r="J69">
        <v>155</v>
      </c>
      <c r="K69">
        <v>215</v>
      </c>
      <c r="L69" t="b">
        <v>1</v>
      </c>
      <c r="M69">
        <v>644.4</v>
      </c>
      <c r="N69">
        <v>99882.1</v>
      </c>
      <c r="O69" t="s">
        <v>27</v>
      </c>
    </row>
    <row r="70" spans="1:15">
      <c r="A70" s="1">
        <v>46054</v>
      </c>
      <c r="B70" t="s">
        <v>19</v>
      </c>
      <c r="C70" t="s">
        <v>170</v>
      </c>
      <c r="D70" t="s">
        <v>171</v>
      </c>
      <c r="E70" t="s">
        <v>151</v>
      </c>
      <c r="F70" t="s">
        <v>23</v>
      </c>
      <c r="G70">
        <v>376</v>
      </c>
      <c r="H70">
        <v>0</v>
      </c>
      <c r="I70">
        <v>142</v>
      </c>
      <c r="J70">
        <v>234</v>
      </c>
      <c r="K70">
        <v>177</v>
      </c>
      <c r="L70" t="b">
        <v>0</v>
      </c>
      <c r="M70">
        <v>2783.31</v>
      </c>
      <c r="N70">
        <v>651294.06999999995</v>
      </c>
      <c r="O70" t="s">
        <v>47</v>
      </c>
    </row>
    <row r="71" spans="1:15">
      <c r="A71" s="1">
        <v>46054</v>
      </c>
      <c r="B71" t="s">
        <v>19</v>
      </c>
      <c r="C71" t="s">
        <v>172</v>
      </c>
      <c r="D71" t="s">
        <v>173</v>
      </c>
      <c r="E71" t="s">
        <v>151</v>
      </c>
      <c r="F71" t="s">
        <v>23</v>
      </c>
      <c r="G71">
        <v>186</v>
      </c>
      <c r="H71">
        <v>267</v>
      </c>
      <c r="I71">
        <v>68</v>
      </c>
      <c r="J71">
        <v>385</v>
      </c>
      <c r="K71">
        <v>164</v>
      </c>
      <c r="L71" t="b">
        <v>0</v>
      </c>
      <c r="M71">
        <v>498.5</v>
      </c>
      <c r="N71">
        <v>191922.36</v>
      </c>
      <c r="O71" t="s">
        <v>24</v>
      </c>
    </row>
    <row r="72" spans="1:15">
      <c r="A72" s="1">
        <v>46054</v>
      </c>
      <c r="B72" t="s">
        <v>19</v>
      </c>
      <c r="C72" t="s">
        <v>174</v>
      </c>
      <c r="D72" t="s">
        <v>175</v>
      </c>
      <c r="E72" t="s">
        <v>151</v>
      </c>
      <c r="F72" t="s">
        <v>23</v>
      </c>
      <c r="G72">
        <v>400</v>
      </c>
      <c r="H72">
        <v>0</v>
      </c>
      <c r="I72">
        <v>157</v>
      </c>
      <c r="J72">
        <v>243</v>
      </c>
      <c r="K72">
        <v>206</v>
      </c>
      <c r="L72" t="b">
        <v>0</v>
      </c>
      <c r="M72">
        <v>2366.69</v>
      </c>
      <c r="N72">
        <v>575104.57999999996</v>
      </c>
      <c r="O72" t="s">
        <v>27</v>
      </c>
    </row>
    <row r="73" spans="1:15">
      <c r="A73" s="1">
        <v>46054</v>
      </c>
      <c r="B73" t="s">
        <v>19</v>
      </c>
      <c r="C73" t="s">
        <v>176</v>
      </c>
      <c r="D73" t="s">
        <v>177</v>
      </c>
      <c r="E73" t="s">
        <v>151</v>
      </c>
      <c r="F73" t="s">
        <v>23</v>
      </c>
      <c r="G73">
        <v>226</v>
      </c>
      <c r="H73">
        <v>0</v>
      </c>
      <c r="I73">
        <v>62</v>
      </c>
      <c r="J73">
        <v>164</v>
      </c>
      <c r="K73">
        <v>94</v>
      </c>
      <c r="L73" t="b">
        <v>0</v>
      </c>
      <c r="M73">
        <v>73.63</v>
      </c>
      <c r="N73">
        <v>12075.59</v>
      </c>
      <c r="O73" t="s">
        <v>27</v>
      </c>
    </row>
    <row r="74" spans="1:15">
      <c r="A74" s="1">
        <v>46054</v>
      </c>
      <c r="B74" t="s">
        <v>19</v>
      </c>
      <c r="C74" t="s">
        <v>178</v>
      </c>
      <c r="D74" t="s">
        <v>179</v>
      </c>
      <c r="E74" t="s">
        <v>151</v>
      </c>
      <c r="F74" t="s">
        <v>23</v>
      </c>
      <c r="G74">
        <v>220</v>
      </c>
      <c r="H74">
        <v>0</v>
      </c>
      <c r="I74">
        <v>71</v>
      </c>
      <c r="J74">
        <v>149</v>
      </c>
      <c r="K74">
        <v>159</v>
      </c>
      <c r="L74" t="b">
        <v>1</v>
      </c>
      <c r="M74">
        <v>330.45</v>
      </c>
      <c r="N74">
        <v>49236.57</v>
      </c>
      <c r="O74" t="s">
        <v>32</v>
      </c>
    </row>
    <row r="75" spans="1:15">
      <c r="A75" s="1">
        <v>46054</v>
      </c>
      <c r="B75" t="s">
        <v>19</v>
      </c>
      <c r="C75" t="s">
        <v>180</v>
      </c>
      <c r="D75" t="s">
        <v>181</v>
      </c>
      <c r="E75" t="s">
        <v>151</v>
      </c>
      <c r="F75" t="s">
        <v>23</v>
      </c>
      <c r="G75">
        <v>508</v>
      </c>
      <c r="H75">
        <v>0</v>
      </c>
      <c r="I75">
        <v>174</v>
      </c>
      <c r="J75">
        <v>334</v>
      </c>
      <c r="K75">
        <v>305</v>
      </c>
      <c r="L75" t="b">
        <v>0</v>
      </c>
      <c r="M75">
        <v>54.27</v>
      </c>
      <c r="N75">
        <v>18127.41</v>
      </c>
      <c r="O75" t="s">
        <v>44</v>
      </c>
    </row>
    <row r="76" spans="1:15">
      <c r="A76" s="1">
        <v>46054</v>
      </c>
      <c r="B76" t="s">
        <v>19</v>
      </c>
      <c r="C76" t="s">
        <v>182</v>
      </c>
      <c r="D76" t="s">
        <v>183</v>
      </c>
      <c r="E76" t="s">
        <v>151</v>
      </c>
      <c r="F76" t="s">
        <v>23</v>
      </c>
      <c r="G76">
        <v>96</v>
      </c>
      <c r="H76">
        <v>78</v>
      </c>
      <c r="I76">
        <v>28</v>
      </c>
      <c r="J76">
        <v>146</v>
      </c>
      <c r="K76">
        <v>43</v>
      </c>
      <c r="L76" t="b">
        <v>0</v>
      </c>
      <c r="M76">
        <v>250.15</v>
      </c>
      <c r="N76">
        <v>36521.919999999998</v>
      </c>
      <c r="O76" t="s">
        <v>32</v>
      </c>
    </row>
    <row r="77" spans="1:15">
      <c r="A77" s="1">
        <v>46054</v>
      </c>
      <c r="B77" t="s">
        <v>19</v>
      </c>
      <c r="C77" t="s">
        <v>184</v>
      </c>
      <c r="D77" t="s">
        <v>185</v>
      </c>
      <c r="E77" t="s">
        <v>151</v>
      </c>
      <c r="F77" t="s">
        <v>23</v>
      </c>
      <c r="G77">
        <v>171</v>
      </c>
      <c r="H77">
        <v>324</v>
      </c>
      <c r="I77">
        <v>89</v>
      </c>
      <c r="J77">
        <v>406</v>
      </c>
      <c r="K77">
        <v>225</v>
      </c>
      <c r="L77" t="b">
        <v>0</v>
      </c>
      <c r="M77">
        <v>414.16</v>
      </c>
      <c r="N77">
        <v>168148.32</v>
      </c>
      <c r="O77" t="s">
        <v>60</v>
      </c>
    </row>
    <row r="78" spans="1:15">
      <c r="A78" s="1">
        <v>46054</v>
      </c>
      <c r="B78" t="s">
        <v>19</v>
      </c>
      <c r="C78" t="s">
        <v>186</v>
      </c>
      <c r="D78" t="s">
        <v>187</v>
      </c>
      <c r="E78" t="s">
        <v>188</v>
      </c>
      <c r="F78" t="s">
        <v>23</v>
      </c>
      <c r="G78">
        <v>97</v>
      </c>
      <c r="H78">
        <v>0</v>
      </c>
      <c r="I78">
        <v>87</v>
      </c>
      <c r="J78">
        <v>10</v>
      </c>
      <c r="K78">
        <v>79</v>
      </c>
      <c r="L78" t="b">
        <v>1</v>
      </c>
      <c r="M78">
        <v>120.75</v>
      </c>
      <c r="N78">
        <v>1207.48</v>
      </c>
      <c r="O78" t="s">
        <v>24</v>
      </c>
    </row>
    <row r="79" spans="1:15">
      <c r="A79" s="1">
        <v>46054</v>
      </c>
      <c r="B79" t="s">
        <v>19</v>
      </c>
      <c r="C79" t="s">
        <v>189</v>
      </c>
      <c r="D79" t="s">
        <v>190</v>
      </c>
      <c r="E79" t="s">
        <v>188</v>
      </c>
      <c r="F79" t="s">
        <v>23</v>
      </c>
      <c r="G79">
        <v>175</v>
      </c>
      <c r="H79">
        <v>362</v>
      </c>
      <c r="I79">
        <v>144</v>
      </c>
      <c r="J79">
        <v>393</v>
      </c>
      <c r="K79">
        <v>177</v>
      </c>
      <c r="L79" t="b">
        <v>0</v>
      </c>
      <c r="M79">
        <v>505.52</v>
      </c>
      <c r="N79">
        <v>198668.62</v>
      </c>
      <c r="O79" t="s">
        <v>98</v>
      </c>
    </row>
    <row r="80" spans="1:15">
      <c r="A80" s="1">
        <v>46054</v>
      </c>
      <c r="B80" t="s">
        <v>19</v>
      </c>
      <c r="C80" t="s">
        <v>191</v>
      </c>
      <c r="D80" t="s">
        <v>192</v>
      </c>
      <c r="E80" t="s">
        <v>188</v>
      </c>
      <c r="F80" t="s">
        <v>23</v>
      </c>
      <c r="G80">
        <v>286</v>
      </c>
      <c r="H80">
        <v>0</v>
      </c>
      <c r="I80">
        <v>205</v>
      </c>
      <c r="J80">
        <v>81</v>
      </c>
      <c r="K80">
        <v>238</v>
      </c>
      <c r="L80" t="b">
        <v>1</v>
      </c>
      <c r="M80">
        <v>102.84</v>
      </c>
      <c r="N80">
        <v>8330.34</v>
      </c>
      <c r="O80" t="s">
        <v>98</v>
      </c>
    </row>
    <row r="81" spans="1:15">
      <c r="A81" s="1">
        <v>46054</v>
      </c>
      <c r="B81" t="s">
        <v>19</v>
      </c>
      <c r="C81" t="s">
        <v>193</v>
      </c>
      <c r="D81" t="s">
        <v>194</v>
      </c>
      <c r="E81" t="s">
        <v>188</v>
      </c>
      <c r="F81" t="s">
        <v>23</v>
      </c>
      <c r="G81">
        <v>66</v>
      </c>
      <c r="H81">
        <v>0</v>
      </c>
      <c r="I81">
        <v>44</v>
      </c>
      <c r="J81">
        <v>22</v>
      </c>
      <c r="K81">
        <v>49</v>
      </c>
      <c r="L81" t="b">
        <v>1</v>
      </c>
      <c r="M81">
        <v>415.62</v>
      </c>
      <c r="N81">
        <v>9143.5400000000009</v>
      </c>
      <c r="O81" t="s">
        <v>27</v>
      </c>
    </row>
    <row r="82" spans="1:15">
      <c r="A82" s="1">
        <v>46054</v>
      </c>
      <c r="B82" t="s">
        <v>19</v>
      </c>
      <c r="C82" t="s">
        <v>195</v>
      </c>
      <c r="D82" t="s">
        <v>196</v>
      </c>
      <c r="E82" t="s">
        <v>188</v>
      </c>
      <c r="F82" t="s">
        <v>23</v>
      </c>
      <c r="G82">
        <v>47</v>
      </c>
      <c r="H82">
        <v>0</v>
      </c>
      <c r="I82">
        <v>9</v>
      </c>
      <c r="J82">
        <v>38</v>
      </c>
      <c r="K82">
        <v>23</v>
      </c>
      <c r="L82" t="b">
        <v>0</v>
      </c>
      <c r="M82">
        <v>72.489999999999995</v>
      </c>
      <c r="N82">
        <v>2754.49</v>
      </c>
      <c r="O82" t="s">
        <v>47</v>
      </c>
    </row>
    <row r="83" spans="1:15">
      <c r="A83" s="1">
        <v>46054</v>
      </c>
      <c r="B83" t="s">
        <v>19</v>
      </c>
      <c r="C83" t="s">
        <v>197</v>
      </c>
      <c r="D83" t="s">
        <v>198</v>
      </c>
      <c r="E83" t="s">
        <v>188</v>
      </c>
      <c r="F83" t="s">
        <v>23</v>
      </c>
      <c r="G83">
        <v>80</v>
      </c>
      <c r="H83">
        <v>153</v>
      </c>
      <c r="I83">
        <v>52</v>
      </c>
      <c r="J83">
        <v>181</v>
      </c>
      <c r="K83">
        <v>52</v>
      </c>
      <c r="L83" t="b">
        <v>0</v>
      </c>
      <c r="M83">
        <v>111.93</v>
      </c>
      <c r="N83">
        <v>20258.71</v>
      </c>
      <c r="O83" t="s">
        <v>98</v>
      </c>
    </row>
    <row r="84" spans="1:15">
      <c r="A84" s="1">
        <v>46054</v>
      </c>
      <c r="B84" t="s">
        <v>19</v>
      </c>
      <c r="C84" t="s">
        <v>199</v>
      </c>
      <c r="D84" t="s">
        <v>200</v>
      </c>
      <c r="E84" t="s">
        <v>188</v>
      </c>
      <c r="F84" t="s">
        <v>23</v>
      </c>
      <c r="G84">
        <v>219</v>
      </c>
      <c r="H84">
        <v>472</v>
      </c>
      <c r="I84">
        <v>110</v>
      </c>
      <c r="J84">
        <v>581</v>
      </c>
      <c r="K84">
        <v>160</v>
      </c>
      <c r="L84" t="b">
        <v>0</v>
      </c>
      <c r="M84">
        <v>540.94000000000005</v>
      </c>
      <c r="N84">
        <v>314288.90000000002</v>
      </c>
      <c r="O84" t="s">
        <v>98</v>
      </c>
    </row>
    <row r="85" spans="1:15">
      <c r="A85" s="1">
        <v>46054</v>
      </c>
      <c r="B85" t="s">
        <v>19</v>
      </c>
      <c r="C85" t="s">
        <v>201</v>
      </c>
      <c r="D85" t="s">
        <v>202</v>
      </c>
      <c r="E85" t="s">
        <v>188</v>
      </c>
      <c r="F85" t="s">
        <v>23</v>
      </c>
      <c r="G85">
        <v>109</v>
      </c>
      <c r="H85">
        <v>0</v>
      </c>
      <c r="I85">
        <v>70</v>
      </c>
      <c r="J85">
        <v>39</v>
      </c>
      <c r="K85">
        <v>59</v>
      </c>
      <c r="L85" t="b">
        <v>1</v>
      </c>
      <c r="M85">
        <v>900.07</v>
      </c>
      <c r="N85">
        <v>35102.69</v>
      </c>
      <c r="O85" t="s">
        <v>47</v>
      </c>
    </row>
    <row r="86" spans="1:15">
      <c r="A86" s="1">
        <v>46054</v>
      </c>
      <c r="B86" t="s">
        <v>19</v>
      </c>
      <c r="C86" t="s">
        <v>203</v>
      </c>
      <c r="D86" t="s">
        <v>204</v>
      </c>
      <c r="E86" t="s">
        <v>188</v>
      </c>
      <c r="F86" t="s">
        <v>23</v>
      </c>
      <c r="G86">
        <v>394</v>
      </c>
      <c r="H86">
        <v>0</v>
      </c>
      <c r="I86">
        <v>144</v>
      </c>
      <c r="J86">
        <v>250</v>
      </c>
      <c r="K86">
        <v>159</v>
      </c>
      <c r="L86" t="b">
        <v>0</v>
      </c>
      <c r="M86">
        <v>4191.03</v>
      </c>
      <c r="N86">
        <v>1047757.92</v>
      </c>
      <c r="O86" t="s">
        <v>47</v>
      </c>
    </row>
    <row r="87" spans="1:15">
      <c r="A87" s="1">
        <v>46054</v>
      </c>
      <c r="B87" t="s">
        <v>19</v>
      </c>
      <c r="C87" t="s">
        <v>205</v>
      </c>
      <c r="D87" t="s">
        <v>206</v>
      </c>
      <c r="E87" t="s">
        <v>188</v>
      </c>
      <c r="F87" t="s">
        <v>23</v>
      </c>
      <c r="G87">
        <v>333</v>
      </c>
      <c r="H87">
        <v>0</v>
      </c>
      <c r="I87">
        <v>218</v>
      </c>
      <c r="J87">
        <v>115</v>
      </c>
      <c r="K87">
        <v>271</v>
      </c>
      <c r="L87" t="b">
        <v>1</v>
      </c>
      <c r="M87">
        <v>86.12</v>
      </c>
      <c r="N87">
        <v>9903.89</v>
      </c>
      <c r="O87" t="s">
        <v>98</v>
      </c>
    </row>
    <row r="88" spans="1:15">
      <c r="A88" s="1">
        <v>46054</v>
      </c>
      <c r="B88" t="s">
        <v>19</v>
      </c>
      <c r="C88" t="s">
        <v>207</v>
      </c>
      <c r="D88" t="s">
        <v>208</v>
      </c>
      <c r="E88" t="s">
        <v>188</v>
      </c>
      <c r="F88" t="s">
        <v>23</v>
      </c>
      <c r="G88">
        <v>170</v>
      </c>
      <c r="H88">
        <v>522</v>
      </c>
      <c r="I88">
        <v>172</v>
      </c>
      <c r="J88">
        <v>520</v>
      </c>
      <c r="K88">
        <v>205</v>
      </c>
      <c r="L88" t="b">
        <v>0</v>
      </c>
      <c r="M88">
        <v>76.599999999999994</v>
      </c>
      <c r="N88">
        <v>39829.97</v>
      </c>
      <c r="O88" t="s">
        <v>47</v>
      </c>
    </row>
    <row r="89" spans="1:15">
      <c r="A89" s="1">
        <v>46054</v>
      </c>
      <c r="B89" t="s">
        <v>19</v>
      </c>
      <c r="C89" t="s">
        <v>209</v>
      </c>
      <c r="D89" t="s">
        <v>210</v>
      </c>
      <c r="E89" t="s">
        <v>188</v>
      </c>
      <c r="F89" t="s">
        <v>23</v>
      </c>
      <c r="G89">
        <v>183</v>
      </c>
      <c r="H89">
        <v>314</v>
      </c>
      <c r="I89">
        <v>93</v>
      </c>
      <c r="J89">
        <v>404</v>
      </c>
      <c r="K89">
        <v>167</v>
      </c>
      <c r="L89" t="b">
        <v>0</v>
      </c>
      <c r="M89">
        <v>365.62</v>
      </c>
      <c r="N89">
        <v>147711.01999999999</v>
      </c>
      <c r="O89" t="s">
        <v>37</v>
      </c>
    </row>
    <row r="90" spans="1:15">
      <c r="A90" s="1">
        <v>46054</v>
      </c>
      <c r="B90" t="s">
        <v>19</v>
      </c>
      <c r="C90" t="s">
        <v>211</v>
      </c>
      <c r="D90" t="s">
        <v>212</v>
      </c>
      <c r="E90" t="s">
        <v>188</v>
      </c>
      <c r="F90" t="s">
        <v>23</v>
      </c>
      <c r="G90">
        <v>316</v>
      </c>
      <c r="H90">
        <v>0</v>
      </c>
      <c r="I90">
        <v>154</v>
      </c>
      <c r="J90">
        <v>162</v>
      </c>
      <c r="K90">
        <v>145</v>
      </c>
      <c r="L90" t="b">
        <v>0</v>
      </c>
      <c r="M90">
        <v>466.41</v>
      </c>
      <c r="N90">
        <v>75558.539999999994</v>
      </c>
      <c r="O90" t="s">
        <v>60</v>
      </c>
    </row>
    <row r="91" spans="1:15">
      <c r="A91" s="1">
        <v>46054</v>
      </c>
      <c r="B91" t="s">
        <v>19</v>
      </c>
      <c r="C91" t="s">
        <v>213</v>
      </c>
      <c r="D91" t="s">
        <v>214</v>
      </c>
      <c r="E91" t="s">
        <v>188</v>
      </c>
      <c r="F91" t="s">
        <v>23</v>
      </c>
      <c r="G91">
        <v>356</v>
      </c>
      <c r="H91">
        <v>0</v>
      </c>
      <c r="I91">
        <v>119</v>
      </c>
      <c r="J91">
        <v>237</v>
      </c>
      <c r="K91">
        <v>200</v>
      </c>
      <c r="L91" t="b">
        <v>0</v>
      </c>
      <c r="M91">
        <v>363.01</v>
      </c>
      <c r="N91">
        <v>86032.639999999999</v>
      </c>
      <c r="O91" t="s">
        <v>44</v>
      </c>
    </row>
    <row r="92" spans="1:15">
      <c r="A92" s="1">
        <v>46054</v>
      </c>
      <c r="B92" t="s">
        <v>19</v>
      </c>
      <c r="C92" t="s">
        <v>215</v>
      </c>
      <c r="D92" t="s">
        <v>216</v>
      </c>
      <c r="E92" t="s">
        <v>188</v>
      </c>
      <c r="F92" t="s">
        <v>23</v>
      </c>
      <c r="G92">
        <v>329</v>
      </c>
      <c r="H92">
        <v>0</v>
      </c>
      <c r="I92">
        <v>154</v>
      </c>
      <c r="J92">
        <v>175</v>
      </c>
      <c r="K92">
        <v>205</v>
      </c>
      <c r="L92" t="b">
        <v>1</v>
      </c>
      <c r="M92">
        <v>1504.23</v>
      </c>
      <c r="N92">
        <v>263240.99</v>
      </c>
      <c r="O92" t="s">
        <v>27</v>
      </c>
    </row>
    <row r="93" spans="1:15">
      <c r="A93" s="1">
        <v>46054</v>
      </c>
      <c r="B93" t="s">
        <v>19</v>
      </c>
      <c r="C93" t="s">
        <v>217</v>
      </c>
      <c r="D93" t="s">
        <v>218</v>
      </c>
      <c r="E93" t="s">
        <v>219</v>
      </c>
      <c r="F93" t="s">
        <v>23</v>
      </c>
      <c r="G93">
        <v>259</v>
      </c>
      <c r="H93">
        <v>308</v>
      </c>
      <c r="I93">
        <v>125</v>
      </c>
      <c r="J93">
        <v>442</v>
      </c>
      <c r="K93">
        <v>127</v>
      </c>
      <c r="L93" t="b">
        <v>0</v>
      </c>
      <c r="M93">
        <v>16.52</v>
      </c>
      <c r="N93">
        <v>7303.82</v>
      </c>
      <c r="O93" t="s">
        <v>37</v>
      </c>
    </row>
    <row r="94" spans="1:15">
      <c r="A94" s="1">
        <v>46054</v>
      </c>
      <c r="B94" t="s">
        <v>19</v>
      </c>
      <c r="C94" t="s">
        <v>220</v>
      </c>
      <c r="D94" t="s">
        <v>221</v>
      </c>
      <c r="E94" t="s">
        <v>219</v>
      </c>
      <c r="F94" t="s">
        <v>23</v>
      </c>
      <c r="G94">
        <v>102</v>
      </c>
      <c r="H94">
        <v>184</v>
      </c>
      <c r="I94">
        <v>55</v>
      </c>
      <c r="J94">
        <v>231</v>
      </c>
      <c r="K94">
        <v>99</v>
      </c>
      <c r="L94" t="b">
        <v>0</v>
      </c>
      <c r="M94">
        <v>76.709999999999994</v>
      </c>
      <c r="N94">
        <v>17719.68</v>
      </c>
      <c r="O94" t="s">
        <v>60</v>
      </c>
    </row>
    <row r="95" spans="1:15">
      <c r="A95" s="1">
        <v>46054</v>
      </c>
      <c r="B95" t="s">
        <v>19</v>
      </c>
      <c r="C95" t="s">
        <v>222</v>
      </c>
      <c r="D95" t="s">
        <v>223</v>
      </c>
      <c r="E95" t="s">
        <v>219</v>
      </c>
      <c r="F95" t="s">
        <v>23</v>
      </c>
      <c r="G95">
        <v>258</v>
      </c>
      <c r="H95">
        <v>0</v>
      </c>
      <c r="I95">
        <v>146</v>
      </c>
      <c r="J95">
        <v>112</v>
      </c>
      <c r="K95">
        <v>185</v>
      </c>
      <c r="L95" t="b">
        <v>1</v>
      </c>
      <c r="M95">
        <v>45.47</v>
      </c>
      <c r="N95">
        <v>5093.01</v>
      </c>
      <c r="O95" t="s">
        <v>37</v>
      </c>
    </row>
    <row r="96" spans="1:15">
      <c r="A96" s="1">
        <v>46054</v>
      </c>
      <c r="B96" t="s">
        <v>19</v>
      </c>
      <c r="C96" t="s">
        <v>224</v>
      </c>
      <c r="D96" t="s">
        <v>225</v>
      </c>
      <c r="E96" t="s">
        <v>219</v>
      </c>
      <c r="F96" t="s">
        <v>23</v>
      </c>
      <c r="G96">
        <v>490</v>
      </c>
      <c r="H96">
        <v>0</v>
      </c>
      <c r="I96">
        <v>227</v>
      </c>
      <c r="J96">
        <v>263</v>
      </c>
      <c r="K96">
        <v>181</v>
      </c>
      <c r="L96" t="b">
        <v>0</v>
      </c>
      <c r="M96">
        <v>192.5</v>
      </c>
      <c r="N96">
        <v>50627.13</v>
      </c>
      <c r="O96" t="s">
        <v>44</v>
      </c>
    </row>
    <row r="97" spans="1:15">
      <c r="A97" s="1">
        <v>46054</v>
      </c>
      <c r="B97" t="s">
        <v>19</v>
      </c>
      <c r="C97" t="s">
        <v>226</v>
      </c>
      <c r="D97" t="s">
        <v>227</v>
      </c>
      <c r="E97" t="s">
        <v>219</v>
      </c>
      <c r="F97" t="s">
        <v>23</v>
      </c>
      <c r="G97">
        <v>302</v>
      </c>
      <c r="H97">
        <v>0</v>
      </c>
      <c r="I97">
        <v>143</v>
      </c>
      <c r="J97">
        <v>159</v>
      </c>
      <c r="K97">
        <v>238</v>
      </c>
      <c r="L97" t="b">
        <v>1</v>
      </c>
      <c r="M97">
        <v>350.75</v>
      </c>
      <c r="N97">
        <v>55769.71</v>
      </c>
      <c r="O97" t="s">
        <v>60</v>
      </c>
    </row>
    <row r="98" spans="1:15">
      <c r="A98" s="1">
        <v>46054</v>
      </c>
      <c r="B98" t="s">
        <v>19</v>
      </c>
      <c r="C98" t="s">
        <v>228</v>
      </c>
      <c r="D98" t="s">
        <v>229</v>
      </c>
      <c r="E98" t="s">
        <v>219</v>
      </c>
      <c r="F98" t="s">
        <v>23</v>
      </c>
      <c r="G98">
        <v>622</v>
      </c>
      <c r="H98">
        <v>0</v>
      </c>
      <c r="I98">
        <v>222</v>
      </c>
      <c r="J98">
        <v>400</v>
      </c>
      <c r="K98">
        <v>190</v>
      </c>
      <c r="L98" t="b">
        <v>0</v>
      </c>
      <c r="M98">
        <v>48.24</v>
      </c>
      <c r="N98">
        <v>19296.509999999998</v>
      </c>
      <c r="O98" t="s">
        <v>44</v>
      </c>
    </row>
    <row r="99" spans="1:15">
      <c r="A99" s="1">
        <v>46054</v>
      </c>
      <c r="B99" t="s">
        <v>19</v>
      </c>
      <c r="C99" t="s">
        <v>230</v>
      </c>
      <c r="D99" t="s">
        <v>231</v>
      </c>
      <c r="E99" t="s">
        <v>219</v>
      </c>
      <c r="F99" t="s">
        <v>23</v>
      </c>
      <c r="G99">
        <v>479</v>
      </c>
      <c r="H99">
        <v>0</v>
      </c>
      <c r="I99">
        <v>125</v>
      </c>
      <c r="J99">
        <v>354</v>
      </c>
      <c r="K99">
        <v>242</v>
      </c>
      <c r="L99" t="b">
        <v>0</v>
      </c>
      <c r="M99">
        <v>219.61</v>
      </c>
      <c r="N99">
        <v>77741.91</v>
      </c>
      <c r="O99" t="s">
        <v>32</v>
      </c>
    </row>
    <row r="100" spans="1:15">
      <c r="A100" s="1">
        <v>46054</v>
      </c>
      <c r="B100" t="s">
        <v>19</v>
      </c>
      <c r="C100" t="s">
        <v>232</v>
      </c>
      <c r="D100" t="s">
        <v>233</v>
      </c>
      <c r="E100" t="s">
        <v>219</v>
      </c>
      <c r="F100" t="s">
        <v>23</v>
      </c>
      <c r="G100">
        <v>92</v>
      </c>
      <c r="H100">
        <v>247</v>
      </c>
      <c r="I100">
        <v>79</v>
      </c>
      <c r="J100">
        <v>260</v>
      </c>
      <c r="K100">
        <v>121</v>
      </c>
      <c r="L100" t="b">
        <v>0</v>
      </c>
      <c r="M100">
        <v>161.16999999999999</v>
      </c>
      <c r="N100">
        <v>41904.28</v>
      </c>
      <c r="O100" t="s">
        <v>32</v>
      </c>
    </row>
    <row r="101" spans="1:15">
      <c r="A101" s="1">
        <v>46054</v>
      </c>
      <c r="B101" t="s">
        <v>19</v>
      </c>
      <c r="C101" t="s">
        <v>234</v>
      </c>
      <c r="D101" t="s">
        <v>235</v>
      </c>
      <c r="E101" t="s">
        <v>219</v>
      </c>
      <c r="F101" t="s">
        <v>23</v>
      </c>
      <c r="G101">
        <v>253</v>
      </c>
      <c r="H101">
        <v>0</v>
      </c>
      <c r="I101">
        <v>119</v>
      </c>
      <c r="J101">
        <v>134</v>
      </c>
      <c r="K101">
        <v>137</v>
      </c>
      <c r="L101" t="b">
        <v>1</v>
      </c>
      <c r="M101">
        <v>2432.4499999999998</v>
      </c>
      <c r="N101">
        <v>325948.78000000003</v>
      </c>
      <c r="O101" t="s">
        <v>47</v>
      </c>
    </row>
    <row r="102" spans="1:15">
      <c r="A102" s="1">
        <v>46054</v>
      </c>
      <c r="B102" t="s">
        <v>19</v>
      </c>
      <c r="C102" t="s">
        <v>236</v>
      </c>
      <c r="D102" t="s">
        <v>237</v>
      </c>
      <c r="E102" t="s">
        <v>219</v>
      </c>
      <c r="F102" t="s">
        <v>23</v>
      </c>
      <c r="G102">
        <v>223</v>
      </c>
      <c r="H102">
        <v>581</v>
      </c>
      <c r="I102">
        <v>315</v>
      </c>
      <c r="J102">
        <v>489</v>
      </c>
      <c r="K102">
        <v>267</v>
      </c>
      <c r="L102" t="b">
        <v>0</v>
      </c>
      <c r="M102">
        <v>958.13</v>
      </c>
      <c r="N102">
        <v>468523.4</v>
      </c>
      <c r="O102" t="s">
        <v>98</v>
      </c>
    </row>
    <row r="103" spans="1:15">
      <c r="A103" s="1">
        <v>46054</v>
      </c>
      <c r="B103" t="s">
        <v>19</v>
      </c>
      <c r="C103" t="s">
        <v>238</v>
      </c>
      <c r="D103" t="s">
        <v>239</v>
      </c>
      <c r="E103" t="s">
        <v>219</v>
      </c>
      <c r="F103" t="s">
        <v>23</v>
      </c>
      <c r="G103">
        <v>42</v>
      </c>
      <c r="H103">
        <v>0</v>
      </c>
      <c r="I103">
        <v>25</v>
      </c>
      <c r="J103">
        <v>17</v>
      </c>
      <c r="K103">
        <v>28</v>
      </c>
      <c r="L103" t="b">
        <v>1</v>
      </c>
      <c r="M103">
        <v>174.37</v>
      </c>
      <c r="N103">
        <v>2964.31</v>
      </c>
      <c r="O103" t="s">
        <v>32</v>
      </c>
    </row>
    <row r="104" spans="1:15">
      <c r="A104" s="1">
        <v>46054</v>
      </c>
      <c r="B104" t="s">
        <v>19</v>
      </c>
      <c r="C104" t="s">
        <v>240</v>
      </c>
      <c r="D104" t="s">
        <v>241</v>
      </c>
      <c r="E104" t="s">
        <v>219</v>
      </c>
      <c r="F104" t="s">
        <v>23</v>
      </c>
      <c r="G104">
        <v>159</v>
      </c>
      <c r="H104">
        <v>0</v>
      </c>
      <c r="I104">
        <v>78</v>
      </c>
      <c r="J104">
        <v>81</v>
      </c>
      <c r="K104">
        <v>50</v>
      </c>
      <c r="L104" t="b">
        <v>0</v>
      </c>
      <c r="M104">
        <v>64.91</v>
      </c>
      <c r="N104">
        <v>5257.92</v>
      </c>
      <c r="O104" t="s">
        <v>27</v>
      </c>
    </row>
    <row r="105" spans="1:15">
      <c r="A105" s="1">
        <v>46054</v>
      </c>
      <c r="B105" t="s">
        <v>19</v>
      </c>
      <c r="C105" t="s">
        <v>242</v>
      </c>
      <c r="D105" t="s">
        <v>243</v>
      </c>
      <c r="E105" t="s">
        <v>219</v>
      </c>
      <c r="F105" t="s">
        <v>23</v>
      </c>
      <c r="G105">
        <v>98</v>
      </c>
      <c r="H105">
        <v>248</v>
      </c>
      <c r="I105">
        <v>93</v>
      </c>
      <c r="J105">
        <v>253</v>
      </c>
      <c r="K105">
        <v>83</v>
      </c>
      <c r="L105" t="b">
        <v>0</v>
      </c>
      <c r="M105">
        <v>300.63</v>
      </c>
      <c r="N105">
        <v>76060.31</v>
      </c>
      <c r="O105" t="s">
        <v>60</v>
      </c>
    </row>
    <row r="106" spans="1:15">
      <c r="A106" s="1">
        <v>46054</v>
      </c>
      <c r="B106" t="s">
        <v>244</v>
      </c>
      <c r="C106" t="s">
        <v>20</v>
      </c>
      <c r="D106" t="s">
        <v>21</v>
      </c>
      <c r="E106" t="s">
        <v>22</v>
      </c>
      <c r="F106" t="s">
        <v>23</v>
      </c>
      <c r="G106">
        <v>92</v>
      </c>
      <c r="H106">
        <v>161</v>
      </c>
      <c r="I106">
        <v>91</v>
      </c>
      <c r="J106">
        <v>162</v>
      </c>
      <c r="K106">
        <v>88</v>
      </c>
      <c r="L106" t="b">
        <v>0</v>
      </c>
      <c r="M106">
        <v>280.14</v>
      </c>
      <c r="N106">
        <v>45382.27</v>
      </c>
      <c r="O106" t="s">
        <v>24</v>
      </c>
    </row>
    <row r="107" spans="1:15">
      <c r="A107" s="1">
        <v>46054</v>
      </c>
      <c r="B107" t="s">
        <v>244</v>
      </c>
      <c r="C107" t="s">
        <v>25</v>
      </c>
      <c r="D107" t="s">
        <v>26</v>
      </c>
      <c r="E107" t="s">
        <v>22</v>
      </c>
      <c r="F107" t="s">
        <v>23</v>
      </c>
      <c r="G107">
        <v>100</v>
      </c>
      <c r="H107">
        <v>0</v>
      </c>
      <c r="I107">
        <v>42</v>
      </c>
      <c r="J107">
        <v>58</v>
      </c>
      <c r="K107">
        <v>47</v>
      </c>
      <c r="L107" t="b">
        <v>0</v>
      </c>
      <c r="M107">
        <v>1254.1600000000001</v>
      </c>
      <c r="N107">
        <v>72741.23</v>
      </c>
      <c r="O107" t="s">
        <v>27</v>
      </c>
    </row>
    <row r="108" spans="1:15">
      <c r="A108" s="1">
        <v>46054</v>
      </c>
      <c r="B108" t="s">
        <v>244</v>
      </c>
      <c r="C108" t="s">
        <v>28</v>
      </c>
      <c r="D108" t="s">
        <v>29</v>
      </c>
      <c r="E108" t="s">
        <v>22</v>
      </c>
      <c r="F108" t="s">
        <v>23</v>
      </c>
      <c r="G108">
        <v>519</v>
      </c>
      <c r="H108">
        <v>0</v>
      </c>
      <c r="I108">
        <v>227</v>
      </c>
      <c r="J108">
        <v>292</v>
      </c>
      <c r="K108">
        <v>228</v>
      </c>
      <c r="L108" t="b">
        <v>0</v>
      </c>
      <c r="M108">
        <v>83.78</v>
      </c>
      <c r="N108">
        <v>24464.17</v>
      </c>
      <c r="O108" t="s">
        <v>24</v>
      </c>
    </row>
    <row r="109" spans="1:15">
      <c r="A109" s="1">
        <v>46054</v>
      </c>
      <c r="B109" t="s">
        <v>244</v>
      </c>
      <c r="C109" t="s">
        <v>30</v>
      </c>
      <c r="D109" t="s">
        <v>31</v>
      </c>
      <c r="E109" t="s">
        <v>22</v>
      </c>
      <c r="F109" t="s">
        <v>23</v>
      </c>
      <c r="G109">
        <v>197</v>
      </c>
      <c r="H109">
        <v>0</v>
      </c>
      <c r="I109">
        <v>87</v>
      </c>
      <c r="J109">
        <v>110</v>
      </c>
      <c r="K109">
        <v>86</v>
      </c>
      <c r="L109" t="b">
        <v>0</v>
      </c>
      <c r="M109">
        <v>406.39</v>
      </c>
      <c r="N109">
        <v>44703.12</v>
      </c>
      <c r="O109" t="s">
        <v>32</v>
      </c>
    </row>
    <row r="110" spans="1:15">
      <c r="A110" s="1">
        <v>46054</v>
      </c>
      <c r="B110" t="s">
        <v>244</v>
      </c>
      <c r="C110" t="s">
        <v>33</v>
      </c>
      <c r="D110" t="s">
        <v>34</v>
      </c>
      <c r="E110" t="s">
        <v>22</v>
      </c>
      <c r="F110" t="s">
        <v>23</v>
      </c>
      <c r="G110">
        <v>365</v>
      </c>
      <c r="H110">
        <v>0</v>
      </c>
      <c r="I110">
        <v>290</v>
      </c>
      <c r="J110">
        <v>75</v>
      </c>
      <c r="K110">
        <v>172</v>
      </c>
      <c r="L110" t="b">
        <v>1</v>
      </c>
      <c r="M110">
        <v>118.64</v>
      </c>
      <c r="N110">
        <v>8898.09</v>
      </c>
      <c r="O110" t="s">
        <v>24</v>
      </c>
    </row>
    <row r="111" spans="1:15">
      <c r="A111" s="1">
        <v>46054</v>
      </c>
      <c r="B111" t="s">
        <v>244</v>
      </c>
      <c r="C111" t="s">
        <v>35</v>
      </c>
      <c r="D111" t="s">
        <v>36</v>
      </c>
      <c r="E111" t="s">
        <v>22</v>
      </c>
      <c r="F111" t="s">
        <v>23</v>
      </c>
      <c r="G111">
        <v>251</v>
      </c>
      <c r="H111">
        <v>597</v>
      </c>
      <c r="I111">
        <v>224</v>
      </c>
      <c r="J111">
        <v>624</v>
      </c>
      <c r="K111">
        <v>293</v>
      </c>
      <c r="L111" t="b">
        <v>0</v>
      </c>
      <c r="M111">
        <v>572.5</v>
      </c>
      <c r="N111">
        <v>357239.44</v>
      </c>
      <c r="O111" t="s">
        <v>37</v>
      </c>
    </row>
    <row r="112" spans="1:15">
      <c r="A112" s="1">
        <v>46054</v>
      </c>
      <c r="B112" t="s">
        <v>244</v>
      </c>
      <c r="C112" t="s">
        <v>42</v>
      </c>
      <c r="D112" t="s">
        <v>43</v>
      </c>
      <c r="E112" t="s">
        <v>22</v>
      </c>
      <c r="F112" t="s">
        <v>23</v>
      </c>
      <c r="G112">
        <v>217</v>
      </c>
      <c r="H112">
        <v>288</v>
      </c>
      <c r="I112">
        <v>191</v>
      </c>
      <c r="J112">
        <v>314</v>
      </c>
      <c r="K112">
        <v>187</v>
      </c>
      <c r="L112" t="b">
        <v>0</v>
      </c>
      <c r="M112">
        <v>156.74</v>
      </c>
      <c r="N112">
        <v>49216.51</v>
      </c>
      <c r="O112" t="s">
        <v>44</v>
      </c>
    </row>
    <row r="113" spans="1:15">
      <c r="A113" s="1">
        <v>46054</v>
      </c>
      <c r="B113" t="s">
        <v>244</v>
      </c>
      <c r="C113" t="s">
        <v>45</v>
      </c>
      <c r="D113" t="s">
        <v>46</v>
      </c>
      <c r="E113" t="s">
        <v>22</v>
      </c>
      <c r="F113" t="s">
        <v>23</v>
      </c>
      <c r="G113">
        <v>145</v>
      </c>
      <c r="H113">
        <v>0</v>
      </c>
      <c r="I113">
        <v>51</v>
      </c>
      <c r="J113">
        <v>94</v>
      </c>
      <c r="K113">
        <v>47</v>
      </c>
      <c r="L113" t="b">
        <v>0</v>
      </c>
      <c r="M113">
        <v>729.33</v>
      </c>
      <c r="N113">
        <v>68557.429999999993</v>
      </c>
      <c r="O113" t="s">
        <v>47</v>
      </c>
    </row>
    <row r="114" spans="1:15">
      <c r="A114" s="1">
        <v>46054</v>
      </c>
      <c r="B114" t="s">
        <v>244</v>
      </c>
      <c r="C114" t="s">
        <v>48</v>
      </c>
      <c r="D114" t="s">
        <v>49</v>
      </c>
      <c r="E114" t="s">
        <v>22</v>
      </c>
      <c r="F114" t="s">
        <v>23</v>
      </c>
      <c r="G114">
        <v>331</v>
      </c>
      <c r="H114">
        <v>354</v>
      </c>
      <c r="I114">
        <v>159</v>
      </c>
      <c r="J114">
        <v>526</v>
      </c>
      <c r="K114">
        <v>188</v>
      </c>
      <c r="L114" t="b">
        <v>0</v>
      </c>
      <c r="M114">
        <v>54.26</v>
      </c>
      <c r="N114">
        <v>28538.81</v>
      </c>
      <c r="O114" t="s">
        <v>44</v>
      </c>
    </row>
    <row r="115" spans="1:15">
      <c r="A115" s="1">
        <v>46054</v>
      </c>
      <c r="B115" t="s">
        <v>244</v>
      </c>
      <c r="C115" t="s">
        <v>50</v>
      </c>
      <c r="D115" t="s">
        <v>51</v>
      </c>
      <c r="E115" t="s">
        <v>22</v>
      </c>
      <c r="F115" t="s">
        <v>23</v>
      </c>
      <c r="G115">
        <v>220</v>
      </c>
      <c r="H115">
        <v>0</v>
      </c>
      <c r="I115">
        <v>220</v>
      </c>
      <c r="J115">
        <v>0</v>
      </c>
      <c r="K115">
        <v>171</v>
      </c>
      <c r="L115" t="b">
        <v>1</v>
      </c>
      <c r="M115">
        <v>279.56</v>
      </c>
      <c r="N115">
        <v>0</v>
      </c>
      <c r="O115" t="s">
        <v>24</v>
      </c>
    </row>
    <row r="116" spans="1:15">
      <c r="A116" s="1">
        <v>46054</v>
      </c>
      <c r="B116" t="s">
        <v>244</v>
      </c>
      <c r="C116" t="s">
        <v>52</v>
      </c>
      <c r="D116" t="s">
        <v>53</v>
      </c>
      <c r="E116" t="s">
        <v>22</v>
      </c>
      <c r="F116" t="s">
        <v>23</v>
      </c>
      <c r="G116">
        <v>41</v>
      </c>
      <c r="H116">
        <v>63</v>
      </c>
      <c r="I116">
        <v>25</v>
      </c>
      <c r="J116">
        <v>79</v>
      </c>
      <c r="K116">
        <v>38</v>
      </c>
      <c r="L116" t="b">
        <v>0</v>
      </c>
      <c r="M116">
        <v>51.88</v>
      </c>
      <c r="N116">
        <v>4098.16</v>
      </c>
      <c r="O116" t="s">
        <v>47</v>
      </c>
    </row>
    <row r="117" spans="1:15">
      <c r="A117" s="1">
        <v>46054</v>
      </c>
      <c r="B117" t="s">
        <v>244</v>
      </c>
      <c r="C117" t="s">
        <v>54</v>
      </c>
      <c r="D117" t="s">
        <v>55</v>
      </c>
      <c r="E117" t="s">
        <v>22</v>
      </c>
      <c r="F117" t="s">
        <v>23</v>
      </c>
      <c r="G117">
        <v>250</v>
      </c>
      <c r="H117">
        <v>0</v>
      </c>
      <c r="I117">
        <v>87</v>
      </c>
      <c r="J117">
        <v>163</v>
      </c>
      <c r="K117">
        <v>199</v>
      </c>
      <c r="L117" t="b">
        <v>1</v>
      </c>
      <c r="M117">
        <v>273.27</v>
      </c>
      <c r="N117">
        <v>44542.5</v>
      </c>
      <c r="O117" t="s">
        <v>44</v>
      </c>
    </row>
    <row r="118" spans="1:15">
      <c r="A118" s="1">
        <v>46054</v>
      </c>
      <c r="B118" t="s">
        <v>244</v>
      </c>
      <c r="C118" t="s">
        <v>58</v>
      </c>
      <c r="D118" t="s">
        <v>59</v>
      </c>
      <c r="E118" t="s">
        <v>22</v>
      </c>
      <c r="F118" t="s">
        <v>23</v>
      </c>
      <c r="G118">
        <v>20</v>
      </c>
      <c r="H118">
        <v>44</v>
      </c>
      <c r="I118">
        <v>21</v>
      </c>
      <c r="J118">
        <v>43</v>
      </c>
      <c r="K118">
        <v>21</v>
      </c>
      <c r="L118" t="b">
        <v>0</v>
      </c>
      <c r="M118">
        <v>1916.82</v>
      </c>
      <c r="N118">
        <v>82423.12</v>
      </c>
      <c r="O118" t="s">
        <v>60</v>
      </c>
    </row>
    <row r="119" spans="1:15">
      <c r="A119" s="1">
        <v>46054</v>
      </c>
      <c r="B119" t="s">
        <v>244</v>
      </c>
      <c r="C119" t="s">
        <v>61</v>
      </c>
      <c r="D119" t="s">
        <v>62</v>
      </c>
      <c r="E119" t="s">
        <v>22</v>
      </c>
      <c r="F119" t="s">
        <v>23</v>
      </c>
      <c r="G119">
        <v>154</v>
      </c>
      <c r="H119">
        <v>0</v>
      </c>
      <c r="I119">
        <v>52</v>
      </c>
      <c r="J119">
        <v>102</v>
      </c>
      <c r="K119">
        <v>61</v>
      </c>
      <c r="L119" t="b">
        <v>0</v>
      </c>
      <c r="M119">
        <v>22.63</v>
      </c>
      <c r="N119">
        <v>2308.15</v>
      </c>
      <c r="O119" t="s">
        <v>44</v>
      </c>
    </row>
    <row r="120" spans="1:15">
      <c r="A120" s="1">
        <v>46054</v>
      </c>
      <c r="B120" t="s">
        <v>244</v>
      </c>
      <c r="C120" t="s">
        <v>63</v>
      </c>
      <c r="D120" t="s">
        <v>64</v>
      </c>
      <c r="E120" t="s">
        <v>22</v>
      </c>
      <c r="F120" t="s">
        <v>23</v>
      </c>
      <c r="G120">
        <v>26</v>
      </c>
      <c r="H120">
        <v>46</v>
      </c>
      <c r="I120">
        <v>22</v>
      </c>
      <c r="J120">
        <v>50</v>
      </c>
      <c r="K120">
        <v>24</v>
      </c>
      <c r="L120" t="b">
        <v>0</v>
      </c>
      <c r="M120">
        <v>110.95</v>
      </c>
      <c r="N120">
        <v>5547.34</v>
      </c>
      <c r="O120" t="s">
        <v>47</v>
      </c>
    </row>
    <row r="121" spans="1:15">
      <c r="A121" s="1">
        <v>46054</v>
      </c>
      <c r="B121" t="s">
        <v>244</v>
      </c>
      <c r="C121" t="s">
        <v>65</v>
      </c>
      <c r="D121" t="s">
        <v>66</v>
      </c>
      <c r="E121" t="s">
        <v>22</v>
      </c>
      <c r="F121" t="s">
        <v>23</v>
      </c>
      <c r="G121">
        <v>125</v>
      </c>
      <c r="H121">
        <v>0</v>
      </c>
      <c r="I121">
        <v>46</v>
      </c>
      <c r="J121">
        <v>79</v>
      </c>
      <c r="K121">
        <v>42</v>
      </c>
      <c r="L121" t="b">
        <v>0</v>
      </c>
      <c r="M121">
        <v>80.42</v>
      </c>
      <c r="N121">
        <v>6352.97</v>
      </c>
      <c r="O121" t="s">
        <v>44</v>
      </c>
    </row>
    <row r="122" spans="1:15">
      <c r="A122" s="1">
        <v>46054</v>
      </c>
      <c r="B122" t="s">
        <v>244</v>
      </c>
      <c r="C122" t="s">
        <v>67</v>
      </c>
      <c r="D122" t="s">
        <v>68</v>
      </c>
      <c r="E122" t="s">
        <v>22</v>
      </c>
      <c r="F122" t="s">
        <v>23</v>
      </c>
      <c r="G122">
        <v>429</v>
      </c>
      <c r="H122">
        <v>0</v>
      </c>
      <c r="I122">
        <v>238</v>
      </c>
      <c r="J122">
        <v>191</v>
      </c>
      <c r="K122">
        <v>190</v>
      </c>
      <c r="L122" t="b">
        <v>0</v>
      </c>
      <c r="M122">
        <v>368.97</v>
      </c>
      <c r="N122">
        <v>70474.09</v>
      </c>
      <c r="O122" t="s">
        <v>27</v>
      </c>
    </row>
    <row r="123" spans="1:15">
      <c r="A123" s="1">
        <v>46054</v>
      </c>
      <c r="B123" t="s">
        <v>244</v>
      </c>
      <c r="C123" t="s">
        <v>69</v>
      </c>
      <c r="D123" t="s">
        <v>70</v>
      </c>
      <c r="E123" t="s">
        <v>71</v>
      </c>
      <c r="F123" t="s">
        <v>23</v>
      </c>
      <c r="G123">
        <v>107</v>
      </c>
      <c r="H123">
        <v>0</v>
      </c>
      <c r="I123">
        <v>32</v>
      </c>
      <c r="J123">
        <v>75</v>
      </c>
      <c r="K123">
        <v>43</v>
      </c>
      <c r="L123" t="b">
        <v>0</v>
      </c>
      <c r="M123">
        <v>86.32</v>
      </c>
      <c r="N123">
        <v>6474.3</v>
      </c>
      <c r="O123" t="s">
        <v>27</v>
      </c>
    </row>
    <row r="124" spans="1:15">
      <c r="A124" s="1">
        <v>46054</v>
      </c>
      <c r="B124" t="s">
        <v>244</v>
      </c>
      <c r="C124" t="s">
        <v>72</v>
      </c>
      <c r="D124" t="s">
        <v>73</v>
      </c>
      <c r="E124" t="s">
        <v>71</v>
      </c>
      <c r="F124" t="s">
        <v>23</v>
      </c>
      <c r="G124">
        <v>358</v>
      </c>
      <c r="H124">
        <v>0</v>
      </c>
      <c r="I124">
        <v>140</v>
      </c>
      <c r="J124">
        <v>218</v>
      </c>
      <c r="K124">
        <v>246</v>
      </c>
      <c r="L124" t="b">
        <v>1</v>
      </c>
      <c r="M124">
        <v>433.33</v>
      </c>
      <c r="N124">
        <v>94466.58</v>
      </c>
      <c r="O124" t="s">
        <v>60</v>
      </c>
    </row>
    <row r="125" spans="1:15">
      <c r="A125" s="1">
        <v>46054</v>
      </c>
      <c r="B125" t="s">
        <v>244</v>
      </c>
      <c r="C125" t="s">
        <v>76</v>
      </c>
      <c r="D125" t="s">
        <v>77</v>
      </c>
      <c r="E125" t="s">
        <v>71</v>
      </c>
      <c r="F125" t="s">
        <v>23</v>
      </c>
      <c r="G125">
        <v>416</v>
      </c>
      <c r="H125">
        <v>0</v>
      </c>
      <c r="I125">
        <v>98</v>
      </c>
      <c r="J125">
        <v>318</v>
      </c>
      <c r="K125">
        <v>179</v>
      </c>
      <c r="L125" t="b">
        <v>0</v>
      </c>
      <c r="M125">
        <v>1082.28</v>
      </c>
      <c r="N125">
        <v>344164.11</v>
      </c>
      <c r="O125" t="s">
        <v>37</v>
      </c>
    </row>
    <row r="126" spans="1:15">
      <c r="A126" s="1">
        <v>46054</v>
      </c>
      <c r="B126" t="s">
        <v>244</v>
      </c>
      <c r="C126" t="s">
        <v>78</v>
      </c>
      <c r="D126" t="s">
        <v>79</v>
      </c>
      <c r="E126" t="s">
        <v>71</v>
      </c>
      <c r="F126" t="s">
        <v>23</v>
      </c>
      <c r="G126">
        <v>438</v>
      </c>
      <c r="H126">
        <v>0</v>
      </c>
      <c r="I126">
        <v>134</v>
      </c>
      <c r="J126">
        <v>304</v>
      </c>
      <c r="K126">
        <v>177</v>
      </c>
      <c r="L126" t="b">
        <v>0</v>
      </c>
      <c r="M126">
        <v>347.59</v>
      </c>
      <c r="N126">
        <v>105665.93</v>
      </c>
      <c r="O126" t="s">
        <v>47</v>
      </c>
    </row>
    <row r="127" spans="1:15">
      <c r="A127" s="1">
        <v>46054</v>
      </c>
      <c r="B127" t="s">
        <v>244</v>
      </c>
      <c r="C127" t="s">
        <v>80</v>
      </c>
      <c r="D127" t="s">
        <v>81</v>
      </c>
      <c r="E127" t="s">
        <v>71</v>
      </c>
      <c r="F127" t="s">
        <v>23</v>
      </c>
      <c r="G127">
        <v>35</v>
      </c>
      <c r="H127">
        <v>97</v>
      </c>
      <c r="I127">
        <v>42</v>
      </c>
      <c r="J127">
        <v>90</v>
      </c>
      <c r="K127">
        <v>38</v>
      </c>
      <c r="L127" t="b">
        <v>0</v>
      </c>
      <c r="M127">
        <v>1669.35</v>
      </c>
      <c r="N127">
        <v>150241.1</v>
      </c>
      <c r="O127" t="s">
        <v>32</v>
      </c>
    </row>
    <row r="128" spans="1:15">
      <c r="A128" s="1">
        <v>46054</v>
      </c>
      <c r="B128" t="s">
        <v>244</v>
      </c>
      <c r="C128" t="s">
        <v>84</v>
      </c>
      <c r="D128" t="s">
        <v>85</v>
      </c>
      <c r="E128" t="s">
        <v>71</v>
      </c>
      <c r="F128" t="s">
        <v>23</v>
      </c>
      <c r="G128">
        <v>238</v>
      </c>
      <c r="H128">
        <v>0</v>
      </c>
      <c r="I128">
        <v>54</v>
      </c>
      <c r="J128">
        <v>184</v>
      </c>
      <c r="K128">
        <v>171</v>
      </c>
      <c r="L128" t="b">
        <v>0</v>
      </c>
      <c r="M128">
        <v>9351.86</v>
      </c>
      <c r="N128">
        <v>1720741.59</v>
      </c>
      <c r="O128" t="s">
        <v>47</v>
      </c>
    </row>
    <row r="129" spans="1:15">
      <c r="A129" s="1">
        <v>46054</v>
      </c>
      <c r="B129" t="s">
        <v>244</v>
      </c>
      <c r="C129" t="s">
        <v>86</v>
      </c>
      <c r="D129" t="s">
        <v>87</v>
      </c>
      <c r="E129" t="s">
        <v>71</v>
      </c>
      <c r="F129" t="s">
        <v>23</v>
      </c>
      <c r="G129">
        <v>273</v>
      </c>
      <c r="H129">
        <v>359</v>
      </c>
      <c r="I129">
        <v>186</v>
      </c>
      <c r="J129">
        <v>446</v>
      </c>
      <c r="K129">
        <v>138</v>
      </c>
      <c r="L129" t="b">
        <v>0</v>
      </c>
      <c r="M129">
        <v>41.39</v>
      </c>
      <c r="N129">
        <v>18461.099999999999</v>
      </c>
      <c r="O129" t="s">
        <v>60</v>
      </c>
    </row>
    <row r="130" spans="1:15">
      <c r="A130" s="1">
        <v>46054</v>
      </c>
      <c r="B130" t="s">
        <v>244</v>
      </c>
      <c r="C130" t="s">
        <v>88</v>
      </c>
      <c r="D130" t="s">
        <v>89</v>
      </c>
      <c r="E130" t="s">
        <v>71</v>
      </c>
      <c r="F130" t="s">
        <v>23</v>
      </c>
      <c r="G130">
        <v>365</v>
      </c>
      <c r="H130">
        <v>0</v>
      </c>
      <c r="I130">
        <v>168</v>
      </c>
      <c r="J130">
        <v>197</v>
      </c>
      <c r="K130">
        <v>221</v>
      </c>
      <c r="L130" t="b">
        <v>1</v>
      </c>
      <c r="M130">
        <v>218.14</v>
      </c>
      <c r="N130">
        <v>42972.61</v>
      </c>
      <c r="O130" t="s">
        <v>32</v>
      </c>
    </row>
    <row r="131" spans="1:15">
      <c r="A131" s="1">
        <v>46054</v>
      </c>
      <c r="B131" t="s">
        <v>244</v>
      </c>
      <c r="C131" t="s">
        <v>90</v>
      </c>
      <c r="D131" t="s">
        <v>91</v>
      </c>
      <c r="E131" t="s">
        <v>71</v>
      </c>
      <c r="F131" t="s">
        <v>23</v>
      </c>
      <c r="G131">
        <v>309</v>
      </c>
      <c r="H131">
        <v>507</v>
      </c>
      <c r="I131">
        <v>214</v>
      </c>
      <c r="J131">
        <v>602</v>
      </c>
      <c r="K131">
        <v>154</v>
      </c>
      <c r="L131" t="b">
        <v>0</v>
      </c>
      <c r="M131">
        <v>1560.4</v>
      </c>
      <c r="N131">
        <v>939362.53</v>
      </c>
      <c r="O131" t="s">
        <v>32</v>
      </c>
    </row>
    <row r="132" spans="1:15">
      <c r="A132" s="1">
        <v>46054</v>
      </c>
      <c r="B132" t="s">
        <v>244</v>
      </c>
      <c r="C132" t="s">
        <v>245</v>
      </c>
      <c r="D132" t="s">
        <v>246</v>
      </c>
      <c r="E132" t="s">
        <v>71</v>
      </c>
      <c r="F132" t="s">
        <v>23</v>
      </c>
      <c r="G132">
        <v>154</v>
      </c>
      <c r="H132">
        <v>0</v>
      </c>
      <c r="I132">
        <v>106</v>
      </c>
      <c r="J132">
        <v>48</v>
      </c>
      <c r="K132">
        <v>94</v>
      </c>
      <c r="L132" t="b">
        <v>1</v>
      </c>
      <c r="M132">
        <v>6975.34</v>
      </c>
      <c r="N132">
        <v>334816.33</v>
      </c>
      <c r="O132" t="s">
        <v>27</v>
      </c>
    </row>
    <row r="133" spans="1:15">
      <c r="A133" s="1">
        <v>46054</v>
      </c>
      <c r="B133" t="s">
        <v>244</v>
      </c>
      <c r="C133" t="s">
        <v>92</v>
      </c>
      <c r="D133" t="s">
        <v>93</v>
      </c>
      <c r="E133" t="s">
        <v>71</v>
      </c>
      <c r="F133" t="s">
        <v>23</v>
      </c>
      <c r="G133">
        <v>179</v>
      </c>
      <c r="H133">
        <v>0</v>
      </c>
      <c r="I133">
        <v>148</v>
      </c>
      <c r="J133">
        <v>31</v>
      </c>
      <c r="K133">
        <v>129</v>
      </c>
      <c r="L133" t="b">
        <v>1</v>
      </c>
      <c r="M133">
        <v>241.94</v>
      </c>
      <c r="N133">
        <v>7500.05</v>
      </c>
      <c r="O133" t="s">
        <v>24</v>
      </c>
    </row>
    <row r="134" spans="1:15">
      <c r="A134" s="1">
        <v>46054</v>
      </c>
      <c r="B134" t="s">
        <v>244</v>
      </c>
      <c r="C134" t="s">
        <v>94</v>
      </c>
      <c r="D134" t="s">
        <v>95</v>
      </c>
      <c r="E134" t="s">
        <v>71</v>
      </c>
      <c r="F134" t="s">
        <v>23</v>
      </c>
      <c r="G134">
        <v>543</v>
      </c>
      <c r="H134">
        <v>0</v>
      </c>
      <c r="I134">
        <v>166</v>
      </c>
      <c r="J134">
        <v>377</v>
      </c>
      <c r="K134">
        <v>172</v>
      </c>
      <c r="L134" t="b">
        <v>0</v>
      </c>
      <c r="M134">
        <v>1098.7</v>
      </c>
      <c r="N134">
        <v>414210.14</v>
      </c>
      <c r="O134" t="s">
        <v>32</v>
      </c>
    </row>
    <row r="135" spans="1:15">
      <c r="A135" s="1">
        <v>46054</v>
      </c>
      <c r="B135" t="s">
        <v>244</v>
      </c>
      <c r="C135" t="s">
        <v>96</v>
      </c>
      <c r="D135" t="s">
        <v>97</v>
      </c>
      <c r="E135" t="s">
        <v>71</v>
      </c>
      <c r="F135" t="s">
        <v>23</v>
      </c>
      <c r="G135">
        <v>91</v>
      </c>
      <c r="H135">
        <v>82</v>
      </c>
      <c r="I135">
        <v>37</v>
      </c>
      <c r="J135">
        <v>136</v>
      </c>
      <c r="K135">
        <v>45</v>
      </c>
      <c r="L135" t="b">
        <v>0</v>
      </c>
      <c r="M135">
        <v>707.89</v>
      </c>
      <c r="N135">
        <v>96273.3</v>
      </c>
      <c r="O135" t="s">
        <v>98</v>
      </c>
    </row>
    <row r="136" spans="1:15">
      <c r="A136" s="1">
        <v>46054</v>
      </c>
      <c r="B136" t="s">
        <v>244</v>
      </c>
      <c r="C136" t="s">
        <v>99</v>
      </c>
      <c r="D136" t="s">
        <v>100</v>
      </c>
      <c r="E136" t="s">
        <v>71</v>
      </c>
      <c r="F136" t="s">
        <v>23</v>
      </c>
      <c r="G136">
        <v>224</v>
      </c>
      <c r="H136">
        <v>348</v>
      </c>
      <c r="I136">
        <v>125</v>
      </c>
      <c r="J136">
        <v>447</v>
      </c>
      <c r="K136">
        <v>161</v>
      </c>
      <c r="L136" t="b">
        <v>0</v>
      </c>
      <c r="M136">
        <v>2976.72</v>
      </c>
      <c r="N136">
        <v>1330592.48</v>
      </c>
      <c r="O136" t="s">
        <v>47</v>
      </c>
    </row>
    <row r="137" spans="1:15">
      <c r="A137" s="1">
        <v>46054</v>
      </c>
      <c r="B137" t="s">
        <v>244</v>
      </c>
      <c r="C137" t="s">
        <v>101</v>
      </c>
      <c r="D137" t="s">
        <v>102</v>
      </c>
      <c r="E137" t="s">
        <v>71</v>
      </c>
      <c r="F137" t="s">
        <v>23</v>
      </c>
      <c r="G137">
        <v>218</v>
      </c>
      <c r="H137">
        <v>0</v>
      </c>
      <c r="I137">
        <v>30</v>
      </c>
      <c r="J137">
        <v>188</v>
      </c>
      <c r="K137">
        <v>110</v>
      </c>
      <c r="L137" t="b">
        <v>0</v>
      </c>
      <c r="M137">
        <v>64.42</v>
      </c>
      <c r="N137">
        <v>12110.42</v>
      </c>
      <c r="O137" t="s">
        <v>32</v>
      </c>
    </row>
    <row r="138" spans="1:15">
      <c r="A138" s="1">
        <v>46054</v>
      </c>
      <c r="B138" t="s">
        <v>244</v>
      </c>
      <c r="C138" t="s">
        <v>247</v>
      </c>
      <c r="D138" t="s">
        <v>248</v>
      </c>
      <c r="E138" t="s">
        <v>71</v>
      </c>
      <c r="F138" t="s">
        <v>23</v>
      </c>
      <c r="G138">
        <v>358</v>
      </c>
      <c r="H138">
        <v>0</v>
      </c>
      <c r="I138">
        <v>200</v>
      </c>
      <c r="J138">
        <v>158</v>
      </c>
      <c r="K138">
        <v>240</v>
      </c>
      <c r="L138" t="b">
        <v>1</v>
      </c>
      <c r="M138">
        <v>267.81</v>
      </c>
      <c r="N138">
        <v>42314.12</v>
      </c>
      <c r="O138" t="s">
        <v>32</v>
      </c>
    </row>
    <row r="139" spans="1:15">
      <c r="A139" s="1">
        <v>46054</v>
      </c>
      <c r="B139" t="s">
        <v>244</v>
      </c>
      <c r="C139" t="s">
        <v>103</v>
      </c>
      <c r="D139" t="s">
        <v>104</v>
      </c>
      <c r="E139" t="s">
        <v>71</v>
      </c>
      <c r="F139" t="s">
        <v>23</v>
      </c>
      <c r="G139">
        <v>308</v>
      </c>
      <c r="H139">
        <v>0</v>
      </c>
      <c r="I139">
        <v>156</v>
      </c>
      <c r="J139">
        <v>152</v>
      </c>
      <c r="K139">
        <v>126</v>
      </c>
      <c r="L139" t="b">
        <v>0</v>
      </c>
      <c r="M139">
        <v>491.32</v>
      </c>
      <c r="N139">
        <v>74680.86</v>
      </c>
      <c r="O139" t="s">
        <v>98</v>
      </c>
    </row>
    <row r="140" spans="1:15">
      <c r="A140" s="1">
        <v>46054</v>
      </c>
      <c r="B140" t="s">
        <v>244</v>
      </c>
      <c r="C140" t="s">
        <v>107</v>
      </c>
      <c r="D140" t="s">
        <v>108</v>
      </c>
      <c r="E140" t="s">
        <v>109</v>
      </c>
      <c r="F140" t="s">
        <v>110</v>
      </c>
      <c r="G140">
        <v>64</v>
      </c>
      <c r="H140">
        <v>0</v>
      </c>
      <c r="I140">
        <v>53</v>
      </c>
      <c r="J140">
        <v>11</v>
      </c>
      <c r="K140">
        <v>51</v>
      </c>
      <c r="L140" t="b">
        <v>1</v>
      </c>
      <c r="M140">
        <v>99.99</v>
      </c>
      <c r="N140">
        <v>1099.8800000000001</v>
      </c>
      <c r="O140" t="s">
        <v>24</v>
      </c>
    </row>
    <row r="141" spans="1:15">
      <c r="A141" s="1">
        <v>46054</v>
      </c>
      <c r="B141" t="s">
        <v>244</v>
      </c>
      <c r="C141" t="s">
        <v>111</v>
      </c>
      <c r="D141" t="s">
        <v>112</v>
      </c>
      <c r="E141" t="s">
        <v>109</v>
      </c>
      <c r="F141" t="s">
        <v>110</v>
      </c>
      <c r="G141">
        <v>356</v>
      </c>
      <c r="H141">
        <v>0</v>
      </c>
      <c r="I141">
        <v>161</v>
      </c>
      <c r="J141">
        <v>195</v>
      </c>
      <c r="K141">
        <v>181</v>
      </c>
      <c r="L141" t="b">
        <v>0</v>
      </c>
      <c r="M141">
        <v>478.48</v>
      </c>
      <c r="N141">
        <v>93302.7</v>
      </c>
      <c r="O141" t="s">
        <v>98</v>
      </c>
    </row>
    <row r="142" spans="1:15">
      <c r="A142" s="1">
        <v>46054</v>
      </c>
      <c r="B142" t="s">
        <v>244</v>
      </c>
      <c r="C142" t="s">
        <v>113</v>
      </c>
      <c r="D142" t="s">
        <v>114</v>
      </c>
      <c r="E142" t="s">
        <v>109</v>
      </c>
      <c r="F142" t="s">
        <v>110</v>
      </c>
      <c r="G142">
        <v>417</v>
      </c>
      <c r="H142">
        <v>412</v>
      </c>
      <c r="I142">
        <v>130</v>
      </c>
      <c r="J142">
        <v>699</v>
      </c>
      <c r="K142">
        <v>224</v>
      </c>
      <c r="L142" t="b">
        <v>0</v>
      </c>
      <c r="M142">
        <v>126.74</v>
      </c>
      <c r="N142">
        <v>88587.839999999997</v>
      </c>
      <c r="O142" t="s">
        <v>27</v>
      </c>
    </row>
    <row r="143" spans="1:15">
      <c r="A143" s="1">
        <v>46054</v>
      </c>
      <c r="B143" t="s">
        <v>244</v>
      </c>
      <c r="C143" t="s">
        <v>117</v>
      </c>
      <c r="D143" t="s">
        <v>118</v>
      </c>
      <c r="E143" t="s">
        <v>109</v>
      </c>
      <c r="F143" t="s">
        <v>110</v>
      </c>
      <c r="G143">
        <v>315</v>
      </c>
      <c r="H143">
        <v>687</v>
      </c>
      <c r="I143">
        <v>264</v>
      </c>
      <c r="J143">
        <v>738</v>
      </c>
      <c r="K143">
        <v>283</v>
      </c>
      <c r="L143" t="b">
        <v>0</v>
      </c>
      <c r="M143">
        <v>41.19</v>
      </c>
      <c r="N143">
        <v>30396.49</v>
      </c>
      <c r="O143" t="s">
        <v>32</v>
      </c>
    </row>
    <row r="144" spans="1:15">
      <c r="A144" s="1">
        <v>46054</v>
      </c>
      <c r="B144" t="s">
        <v>244</v>
      </c>
      <c r="C144" t="s">
        <v>119</v>
      </c>
      <c r="D144" t="s">
        <v>120</v>
      </c>
      <c r="E144" t="s">
        <v>109</v>
      </c>
      <c r="F144" t="s">
        <v>110</v>
      </c>
      <c r="G144">
        <v>267</v>
      </c>
      <c r="H144">
        <v>0</v>
      </c>
      <c r="I144">
        <v>124</v>
      </c>
      <c r="J144">
        <v>143</v>
      </c>
      <c r="K144">
        <v>161</v>
      </c>
      <c r="L144" t="b">
        <v>1</v>
      </c>
      <c r="M144">
        <v>182.41</v>
      </c>
      <c r="N144">
        <v>26084.22</v>
      </c>
      <c r="O144" t="s">
        <v>32</v>
      </c>
    </row>
    <row r="145" spans="1:15">
      <c r="A145" s="1">
        <v>46054</v>
      </c>
      <c r="B145" t="s">
        <v>244</v>
      </c>
      <c r="C145" t="s">
        <v>125</v>
      </c>
      <c r="D145" t="s">
        <v>126</v>
      </c>
      <c r="E145" t="s">
        <v>109</v>
      </c>
      <c r="F145" t="s">
        <v>110</v>
      </c>
      <c r="G145">
        <v>348</v>
      </c>
      <c r="H145">
        <v>0</v>
      </c>
      <c r="I145">
        <v>156</v>
      </c>
      <c r="J145">
        <v>192</v>
      </c>
      <c r="K145">
        <v>231</v>
      </c>
      <c r="L145" t="b">
        <v>1</v>
      </c>
      <c r="M145">
        <v>125.33</v>
      </c>
      <c r="N145">
        <v>24063.48</v>
      </c>
      <c r="O145" t="s">
        <v>47</v>
      </c>
    </row>
    <row r="146" spans="1:15">
      <c r="A146" s="1">
        <v>46054</v>
      </c>
      <c r="B146" t="s">
        <v>244</v>
      </c>
      <c r="C146" t="s">
        <v>127</v>
      </c>
      <c r="D146" t="s">
        <v>128</v>
      </c>
      <c r="E146" t="s">
        <v>109</v>
      </c>
      <c r="F146" t="s">
        <v>110</v>
      </c>
      <c r="G146">
        <v>360</v>
      </c>
      <c r="H146">
        <v>0</v>
      </c>
      <c r="I146">
        <v>154</v>
      </c>
      <c r="J146">
        <v>206</v>
      </c>
      <c r="K146">
        <v>118</v>
      </c>
      <c r="L146" t="b">
        <v>0</v>
      </c>
      <c r="M146">
        <v>585.62</v>
      </c>
      <c r="N146">
        <v>120637.62</v>
      </c>
      <c r="O146" t="s">
        <v>44</v>
      </c>
    </row>
    <row r="147" spans="1:15">
      <c r="A147" s="1">
        <v>46054</v>
      </c>
      <c r="B147" t="s">
        <v>244</v>
      </c>
      <c r="C147" t="s">
        <v>129</v>
      </c>
      <c r="D147" t="s">
        <v>130</v>
      </c>
      <c r="E147" t="s">
        <v>109</v>
      </c>
      <c r="F147" t="s">
        <v>110</v>
      </c>
      <c r="G147">
        <v>175</v>
      </c>
      <c r="H147">
        <v>0</v>
      </c>
      <c r="I147">
        <v>110</v>
      </c>
      <c r="J147">
        <v>65</v>
      </c>
      <c r="K147">
        <v>104</v>
      </c>
      <c r="L147" t="b">
        <v>1</v>
      </c>
      <c r="M147">
        <v>438.61</v>
      </c>
      <c r="N147">
        <v>28509.91</v>
      </c>
      <c r="O147" t="s">
        <v>32</v>
      </c>
    </row>
    <row r="148" spans="1:15">
      <c r="A148" s="1">
        <v>46054</v>
      </c>
      <c r="B148" t="s">
        <v>244</v>
      </c>
      <c r="C148" t="s">
        <v>131</v>
      </c>
      <c r="D148" t="s">
        <v>132</v>
      </c>
      <c r="E148" t="s">
        <v>109</v>
      </c>
      <c r="F148" t="s">
        <v>110</v>
      </c>
      <c r="G148">
        <v>203</v>
      </c>
      <c r="H148">
        <v>537</v>
      </c>
      <c r="I148">
        <v>169</v>
      </c>
      <c r="J148">
        <v>571</v>
      </c>
      <c r="K148">
        <v>208</v>
      </c>
      <c r="L148" t="b">
        <v>0</v>
      </c>
      <c r="M148">
        <v>1759.13</v>
      </c>
      <c r="N148">
        <v>1004462.12</v>
      </c>
      <c r="O148" t="s">
        <v>24</v>
      </c>
    </row>
    <row r="149" spans="1:15">
      <c r="A149" s="1">
        <v>46054</v>
      </c>
      <c r="B149" t="s">
        <v>244</v>
      </c>
      <c r="C149" t="s">
        <v>133</v>
      </c>
      <c r="D149" t="s">
        <v>134</v>
      </c>
      <c r="E149" t="s">
        <v>109</v>
      </c>
      <c r="F149" t="s">
        <v>110</v>
      </c>
      <c r="G149">
        <v>110</v>
      </c>
      <c r="H149">
        <v>0</v>
      </c>
      <c r="I149">
        <v>38</v>
      </c>
      <c r="J149">
        <v>72</v>
      </c>
      <c r="K149">
        <v>58</v>
      </c>
      <c r="L149" t="b">
        <v>0</v>
      </c>
      <c r="M149">
        <v>21</v>
      </c>
      <c r="N149">
        <v>1511.8</v>
      </c>
      <c r="O149" t="s">
        <v>98</v>
      </c>
    </row>
    <row r="150" spans="1:15">
      <c r="A150" s="1">
        <v>46054</v>
      </c>
      <c r="B150" t="s">
        <v>244</v>
      </c>
      <c r="C150" t="s">
        <v>135</v>
      </c>
      <c r="D150" t="s">
        <v>136</v>
      </c>
      <c r="E150" t="s">
        <v>109</v>
      </c>
      <c r="F150" t="s">
        <v>110</v>
      </c>
      <c r="G150">
        <v>283</v>
      </c>
      <c r="H150">
        <v>0</v>
      </c>
      <c r="I150">
        <v>162</v>
      </c>
      <c r="J150">
        <v>121</v>
      </c>
      <c r="K150">
        <v>171</v>
      </c>
      <c r="L150" t="b">
        <v>1</v>
      </c>
      <c r="M150">
        <v>96.61</v>
      </c>
      <c r="N150">
        <v>11689.68</v>
      </c>
      <c r="O150" t="s">
        <v>32</v>
      </c>
    </row>
    <row r="151" spans="1:15">
      <c r="A151" s="1">
        <v>46054</v>
      </c>
      <c r="B151" t="s">
        <v>244</v>
      </c>
      <c r="C151" t="s">
        <v>137</v>
      </c>
      <c r="D151" t="s">
        <v>138</v>
      </c>
      <c r="E151" t="s">
        <v>109</v>
      </c>
      <c r="F151" t="s">
        <v>110</v>
      </c>
      <c r="G151">
        <v>315</v>
      </c>
      <c r="H151">
        <v>0</v>
      </c>
      <c r="I151">
        <v>149</v>
      </c>
      <c r="J151">
        <v>166</v>
      </c>
      <c r="K151">
        <v>149</v>
      </c>
      <c r="L151" t="b">
        <v>0</v>
      </c>
      <c r="M151">
        <v>57.4</v>
      </c>
      <c r="N151">
        <v>9528.23</v>
      </c>
      <c r="O151" t="s">
        <v>27</v>
      </c>
    </row>
    <row r="152" spans="1:15">
      <c r="A152" s="1">
        <v>46054</v>
      </c>
      <c r="B152" t="s">
        <v>244</v>
      </c>
      <c r="C152" t="s">
        <v>141</v>
      </c>
      <c r="D152" t="s">
        <v>142</v>
      </c>
      <c r="E152" t="s">
        <v>109</v>
      </c>
      <c r="F152" t="s">
        <v>110</v>
      </c>
      <c r="G152">
        <v>359</v>
      </c>
      <c r="H152">
        <v>0</v>
      </c>
      <c r="I152">
        <v>133</v>
      </c>
      <c r="J152">
        <v>226</v>
      </c>
      <c r="K152">
        <v>175</v>
      </c>
      <c r="L152" t="b">
        <v>0</v>
      </c>
      <c r="M152">
        <v>81.819999999999993</v>
      </c>
      <c r="N152">
        <v>18490.759999999998</v>
      </c>
      <c r="O152" t="s">
        <v>37</v>
      </c>
    </row>
    <row r="153" spans="1:15">
      <c r="A153" s="1">
        <v>46054</v>
      </c>
      <c r="B153" t="s">
        <v>244</v>
      </c>
      <c r="C153" t="s">
        <v>143</v>
      </c>
      <c r="D153" t="s">
        <v>144</v>
      </c>
      <c r="E153" t="s">
        <v>109</v>
      </c>
      <c r="F153" t="s">
        <v>110</v>
      </c>
      <c r="G153">
        <v>97</v>
      </c>
      <c r="H153">
        <v>216</v>
      </c>
      <c r="I153">
        <v>86</v>
      </c>
      <c r="J153">
        <v>227</v>
      </c>
      <c r="K153">
        <v>117</v>
      </c>
      <c r="L153" t="b">
        <v>0</v>
      </c>
      <c r="M153">
        <v>397.56</v>
      </c>
      <c r="N153">
        <v>90245.56</v>
      </c>
      <c r="O153" t="s">
        <v>24</v>
      </c>
    </row>
    <row r="154" spans="1:15">
      <c r="A154" s="1">
        <v>46054</v>
      </c>
      <c r="B154" t="s">
        <v>244</v>
      </c>
      <c r="C154" t="s">
        <v>145</v>
      </c>
      <c r="D154" t="s">
        <v>146</v>
      </c>
      <c r="E154" t="s">
        <v>109</v>
      </c>
      <c r="F154" t="s">
        <v>110</v>
      </c>
      <c r="G154">
        <v>88</v>
      </c>
      <c r="H154">
        <v>190</v>
      </c>
      <c r="I154">
        <v>53</v>
      </c>
      <c r="J154">
        <v>225</v>
      </c>
      <c r="K154">
        <v>52</v>
      </c>
      <c r="L154" t="b">
        <v>0</v>
      </c>
      <c r="M154">
        <v>62.77</v>
      </c>
      <c r="N154">
        <v>14122.26</v>
      </c>
      <c r="O154" t="s">
        <v>37</v>
      </c>
    </row>
    <row r="155" spans="1:15">
      <c r="A155" s="1">
        <v>46054</v>
      </c>
      <c r="B155" t="s">
        <v>244</v>
      </c>
      <c r="C155" t="s">
        <v>147</v>
      </c>
      <c r="D155" t="s">
        <v>148</v>
      </c>
      <c r="E155" t="s">
        <v>109</v>
      </c>
      <c r="F155" t="s">
        <v>110</v>
      </c>
      <c r="G155">
        <v>22</v>
      </c>
      <c r="H155">
        <v>49</v>
      </c>
      <c r="I155">
        <v>20</v>
      </c>
      <c r="J155">
        <v>51</v>
      </c>
      <c r="K155">
        <v>21</v>
      </c>
      <c r="L155" t="b">
        <v>0</v>
      </c>
      <c r="M155">
        <v>291.83999999999997</v>
      </c>
      <c r="N155">
        <v>14883.66</v>
      </c>
      <c r="O155" t="s">
        <v>98</v>
      </c>
    </row>
    <row r="156" spans="1:15">
      <c r="A156" s="1">
        <v>46054</v>
      </c>
      <c r="B156" t="s">
        <v>244</v>
      </c>
      <c r="C156" t="s">
        <v>149</v>
      </c>
      <c r="D156" t="s">
        <v>150</v>
      </c>
      <c r="E156" t="s">
        <v>151</v>
      </c>
      <c r="F156" t="s">
        <v>23</v>
      </c>
      <c r="G156">
        <v>424</v>
      </c>
      <c r="H156">
        <v>0</v>
      </c>
      <c r="I156">
        <v>192</v>
      </c>
      <c r="J156">
        <v>232</v>
      </c>
      <c r="K156">
        <v>183</v>
      </c>
      <c r="L156" t="b">
        <v>0</v>
      </c>
      <c r="M156">
        <v>275.92</v>
      </c>
      <c r="N156">
        <v>64014</v>
      </c>
      <c r="O156" t="s">
        <v>32</v>
      </c>
    </row>
    <row r="157" spans="1:15">
      <c r="A157" s="1">
        <v>46054</v>
      </c>
      <c r="B157" t="s">
        <v>244</v>
      </c>
      <c r="C157" t="s">
        <v>152</v>
      </c>
      <c r="D157" t="s">
        <v>153</v>
      </c>
      <c r="E157" t="s">
        <v>151</v>
      </c>
      <c r="F157" t="s">
        <v>23</v>
      </c>
      <c r="G157">
        <v>32</v>
      </c>
      <c r="H157">
        <v>79</v>
      </c>
      <c r="I157">
        <v>43</v>
      </c>
      <c r="J157">
        <v>68</v>
      </c>
      <c r="K157">
        <v>41</v>
      </c>
      <c r="L157" t="b">
        <v>0</v>
      </c>
      <c r="M157">
        <v>1080.8800000000001</v>
      </c>
      <c r="N157">
        <v>73500.039999999994</v>
      </c>
      <c r="O157" t="s">
        <v>98</v>
      </c>
    </row>
    <row r="158" spans="1:15">
      <c r="A158" s="1">
        <v>46054</v>
      </c>
      <c r="B158" t="s">
        <v>244</v>
      </c>
      <c r="C158" t="s">
        <v>154</v>
      </c>
      <c r="D158" t="s">
        <v>155</v>
      </c>
      <c r="E158" t="s">
        <v>151</v>
      </c>
      <c r="F158" t="s">
        <v>23</v>
      </c>
      <c r="G158">
        <v>438</v>
      </c>
      <c r="H158">
        <v>0</v>
      </c>
      <c r="I158">
        <v>209</v>
      </c>
      <c r="J158">
        <v>229</v>
      </c>
      <c r="K158">
        <v>286</v>
      </c>
      <c r="L158" t="b">
        <v>1</v>
      </c>
      <c r="M158">
        <v>324.7</v>
      </c>
      <c r="N158">
        <v>74355.75</v>
      </c>
      <c r="O158" t="s">
        <v>60</v>
      </c>
    </row>
    <row r="159" spans="1:15">
      <c r="A159" s="1">
        <v>46054</v>
      </c>
      <c r="B159" t="s">
        <v>244</v>
      </c>
      <c r="C159" t="s">
        <v>156</v>
      </c>
      <c r="D159" t="s">
        <v>157</v>
      </c>
      <c r="E159" t="s">
        <v>151</v>
      </c>
      <c r="F159" t="s">
        <v>23</v>
      </c>
      <c r="G159">
        <v>197</v>
      </c>
      <c r="H159">
        <v>501</v>
      </c>
      <c r="I159">
        <v>191</v>
      </c>
      <c r="J159">
        <v>507</v>
      </c>
      <c r="K159">
        <v>175</v>
      </c>
      <c r="L159" t="b">
        <v>0</v>
      </c>
      <c r="M159">
        <v>1330.94</v>
      </c>
      <c r="N159">
        <v>674786.67</v>
      </c>
      <c r="O159" t="s">
        <v>32</v>
      </c>
    </row>
    <row r="160" spans="1:15">
      <c r="A160" s="1">
        <v>46054</v>
      </c>
      <c r="B160" t="s">
        <v>244</v>
      </c>
      <c r="C160" t="s">
        <v>158</v>
      </c>
      <c r="D160" t="s">
        <v>159</v>
      </c>
      <c r="E160" t="s">
        <v>151</v>
      </c>
      <c r="F160" t="s">
        <v>23</v>
      </c>
      <c r="G160">
        <v>182</v>
      </c>
      <c r="H160">
        <v>205</v>
      </c>
      <c r="I160">
        <v>29</v>
      </c>
      <c r="J160">
        <v>358</v>
      </c>
      <c r="K160">
        <v>111</v>
      </c>
      <c r="L160" t="b">
        <v>0</v>
      </c>
      <c r="M160">
        <v>47.99</v>
      </c>
      <c r="N160">
        <v>17179.79</v>
      </c>
      <c r="O160" t="s">
        <v>37</v>
      </c>
    </row>
    <row r="161" spans="1:15">
      <c r="A161" s="1">
        <v>46054</v>
      </c>
      <c r="B161" t="s">
        <v>244</v>
      </c>
      <c r="C161" t="s">
        <v>160</v>
      </c>
      <c r="D161" t="s">
        <v>161</v>
      </c>
      <c r="E161" t="s">
        <v>151</v>
      </c>
      <c r="F161" t="s">
        <v>23</v>
      </c>
      <c r="G161">
        <v>547</v>
      </c>
      <c r="H161">
        <v>0</v>
      </c>
      <c r="I161">
        <v>168</v>
      </c>
      <c r="J161">
        <v>379</v>
      </c>
      <c r="K161">
        <v>175</v>
      </c>
      <c r="L161" t="b">
        <v>0</v>
      </c>
      <c r="M161">
        <v>196.37</v>
      </c>
      <c r="N161">
        <v>74425.48</v>
      </c>
      <c r="O161" t="s">
        <v>24</v>
      </c>
    </row>
    <row r="162" spans="1:15">
      <c r="A162" s="1">
        <v>46054</v>
      </c>
      <c r="B162" t="s">
        <v>244</v>
      </c>
      <c r="C162" t="s">
        <v>162</v>
      </c>
      <c r="D162" t="s">
        <v>163</v>
      </c>
      <c r="E162" t="s">
        <v>151</v>
      </c>
      <c r="F162" t="s">
        <v>23</v>
      </c>
      <c r="G162">
        <v>243</v>
      </c>
      <c r="H162">
        <v>0</v>
      </c>
      <c r="I162">
        <v>99</v>
      </c>
      <c r="J162">
        <v>144</v>
      </c>
      <c r="K162">
        <v>158</v>
      </c>
      <c r="L162" t="b">
        <v>1</v>
      </c>
      <c r="M162">
        <v>202.03</v>
      </c>
      <c r="N162">
        <v>29092.54</v>
      </c>
      <c r="O162" t="s">
        <v>37</v>
      </c>
    </row>
    <row r="163" spans="1:15">
      <c r="A163" s="1">
        <v>46054</v>
      </c>
      <c r="B163" t="s">
        <v>244</v>
      </c>
      <c r="C163" t="s">
        <v>164</v>
      </c>
      <c r="D163" t="s">
        <v>165</v>
      </c>
      <c r="E163" t="s">
        <v>151</v>
      </c>
      <c r="F163" t="s">
        <v>23</v>
      </c>
      <c r="G163">
        <v>113</v>
      </c>
      <c r="H163">
        <v>0</v>
      </c>
      <c r="I163">
        <v>97</v>
      </c>
      <c r="J163">
        <v>16</v>
      </c>
      <c r="K163">
        <v>87</v>
      </c>
      <c r="L163" t="b">
        <v>1</v>
      </c>
      <c r="M163">
        <v>968.03</v>
      </c>
      <c r="N163">
        <v>15488.41</v>
      </c>
      <c r="O163" t="s">
        <v>98</v>
      </c>
    </row>
    <row r="164" spans="1:15">
      <c r="A164" s="1">
        <v>46054</v>
      </c>
      <c r="B164" t="s">
        <v>244</v>
      </c>
      <c r="C164" t="s">
        <v>166</v>
      </c>
      <c r="D164" t="s">
        <v>167</v>
      </c>
      <c r="E164" t="s">
        <v>151</v>
      </c>
      <c r="F164" t="s">
        <v>23</v>
      </c>
      <c r="G164">
        <v>107</v>
      </c>
      <c r="H164">
        <v>0</v>
      </c>
      <c r="I164">
        <v>56</v>
      </c>
      <c r="J164">
        <v>51</v>
      </c>
      <c r="K164">
        <v>44</v>
      </c>
      <c r="L164" t="b">
        <v>0</v>
      </c>
      <c r="M164">
        <v>135.78</v>
      </c>
      <c r="N164">
        <v>6924.91</v>
      </c>
      <c r="O164" t="s">
        <v>44</v>
      </c>
    </row>
    <row r="165" spans="1:15">
      <c r="A165" s="1">
        <v>46054</v>
      </c>
      <c r="B165" t="s">
        <v>244</v>
      </c>
      <c r="C165" t="s">
        <v>249</v>
      </c>
      <c r="D165" t="s">
        <v>250</v>
      </c>
      <c r="E165" t="s">
        <v>151</v>
      </c>
      <c r="F165" t="s">
        <v>23</v>
      </c>
      <c r="G165">
        <v>431</v>
      </c>
      <c r="H165">
        <v>0</v>
      </c>
      <c r="I165">
        <v>206</v>
      </c>
      <c r="J165">
        <v>225</v>
      </c>
      <c r="K165">
        <v>225</v>
      </c>
      <c r="L165" t="b">
        <v>0</v>
      </c>
      <c r="M165">
        <v>610.03</v>
      </c>
      <c r="N165">
        <v>137257.07</v>
      </c>
      <c r="O165" t="s">
        <v>32</v>
      </c>
    </row>
    <row r="166" spans="1:15">
      <c r="A166" s="1">
        <v>46054</v>
      </c>
      <c r="B166" t="s">
        <v>244</v>
      </c>
      <c r="C166" t="s">
        <v>168</v>
      </c>
      <c r="D166" t="s">
        <v>169</v>
      </c>
      <c r="E166" t="s">
        <v>151</v>
      </c>
      <c r="F166" t="s">
        <v>23</v>
      </c>
      <c r="G166">
        <v>99</v>
      </c>
      <c r="H166">
        <v>0</v>
      </c>
      <c r="I166">
        <v>38</v>
      </c>
      <c r="J166">
        <v>61</v>
      </c>
      <c r="K166">
        <v>42</v>
      </c>
      <c r="L166" t="b">
        <v>0</v>
      </c>
      <c r="M166">
        <v>683.83</v>
      </c>
      <c r="N166">
        <v>41713.51</v>
      </c>
      <c r="O166" t="s">
        <v>27</v>
      </c>
    </row>
    <row r="167" spans="1:15">
      <c r="A167" s="1">
        <v>46054</v>
      </c>
      <c r="B167" t="s">
        <v>244</v>
      </c>
      <c r="C167" t="s">
        <v>170</v>
      </c>
      <c r="D167" t="s">
        <v>171</v>
      </c>
      <c r="E167" t="s">
        <v>151</v>
      </c>
      <c r="F167" t="s">
        <v>23</v>
      </c>
      <c r="G167">
        <v>380</v>
      </c>
      <c r="H167">
        <v>0</v>
      </c>
      <c r="I167">
        <v>102</v>
      </c>
      <c r="J167">
        <v>278</v>
      </c>
      <c r="K167">
        <v>138</v>
      </c>
      <c r="L167" t="b">
        <v>0</v>
      </c>
      <c r="M167">
        <v>2986.48</v>
      </c>
      <c r="N167">
        <v>830241.99</v>
      </c>
      <c r="O167" t="s">
        <v>47</v>
      </c>
    </row>
    <row r="168" spans="1:15">
      <c r="A168" s="1">
        <v>46054</v>
      </c>
      <c r="B168" t="s">
        <v>244</v>
      </c>
      <c r="C168" t="s">
        <v>172</v>
      </c>
      <c r="D168" t="s">
        <v>173</v>
      </c>
      <c r="E168" t="s">
        <v>151</v>
      </c>
      <c r="F168" t="s">
        <v>23</v>
      </c>
      <c r="G168">
        <v>321</v>
      </c>
      <c r="H168">
        <v>0</v>
      </c>
      <c r="I168">
        <v>245</v>
      </c>
      <c r="J168">
        <v>76</v>
      </c>
      <c r="K168">
        <v>225</v>
      </c>
      <c r="L168" t="b">
        <v>1</v>
      </c>
      <c r="M168">
        <v>520.72</v>
      </c>
      <c r="N168">
        <v>39574.629999999997</v>
      </c>
      <c r="O168" t="s">
        <v>24</v>
      </c>
    </row>
    <row r="169" spans="1:15">
      <c r="A169" s="1">
        <v>46054</v>
      </c>
      <c r="B169" t="s">
        <v>244</v>
      </c>
      <c r="C169" t="s">
        <v>174</v>
      </c>
      <c r="D169" t="s">
        <v>175</v>
      </c>
      <c r="E169" t="s">
        <v>151</v>
      </c>
      <c r="F169" t="s">
        <v>23</v>
      </c>
      <c r="G169">
        <v>293</v>
      </c>
      <c r="H169">
        <v>0</v>
      </c>
      <c r="I169">
        <v>120</v>
      </c>
      <c r="J169">
        <v>173</v>
      </c>
      <c r="K169">
        <v>162</v>
      </c>
      <c r="L169" t="b">
        <v>0</v>
      </c>
      <c r="M169">
        <v>2368.85</v>
      </c>
      <c r="N169">
        <v>409811.3</v>
      </c>
      <c r="O169" t="s">
        <v>27</v>
      </c>
    </row>
    <row r="170" spans="1:15">
      <c r="A170" s="1">
        <v>46054</v>
      </c>
      <c r="B170" t="s">
        <v>244</v>
      </c>
      <c r="C170" t="s">
        <v>176</v>
      </c>
      <c r="D170" t="s">
        <v>177</v>
      </c>
      <c r="E170" t="s">
        <v>151</v>
      </c>
      <c r="F170" t="s">
        <v>23</v>
      </c>
      <c r="G170">
        <v>163</v>
      </c>
      <c r="H170">
        <v>0</v>
      </c>
      <c r="I170">
        <v>163</v>
      </c>
      <c r="J170">
        <v>0</v>
      </c>
      <c r="K170">
        <v>130</v>
      </c>
      <c r="L170" t="b">
        <v>1</v>
      </c>
      <c r="M170">
        <v>69.19</v>
      </c>
      <c r="N170">
        <v>0</v>
      </c>
      <c r="O170" t="s">
        <v>27</v>
      </c>
    </row>
    <row r="171" spans="1:15">
      <c r="A171" s="1">
        <v>46054</v>
      </c>
      <c r="B171" t="s">
        <v>244</v>
      </c>
      <c r="C171" t="s">
        <v>178</v>
      </c>
      <c r="D171" t="s">
        <v>179</v>
      </c>
      <c r="E171" t="s">
        <v>151</v>
      </c>
      <c r="F171" t="s">
        <v>23</v>
      </c>
      <c r="G171">
        <v>85</v>
      </c>
      <c r="H171">
        <v>183</v>
      </c>
      <c r="I171">
        <v>76</v>
      </c>
      <c r="J171">
        <v>192</v>
      </c>
      <c r="K171">
        <v>76</v>
      </c>
      <c r="L171" t="b">
        <v>0</v>
      </c>
      <c r="M171">
        <v>322.47000000000003</v>
      </c>
      <c r="N171">
        <v>61914.720000000001</v>
      </c>
      <c r="O171" t="s">
        <v>32</v>
      </c>
    </row>
    <row r="172" spans="1:15">
      <c r="A172" s="1">
        <v>46054</v>
      </c>
      <c r="B172" t="s">
        <v>244</v>
      </c>
      <c r="C172" t="s">
        <v>182</v>
      </c>
      <c r="D172" t="s">
        <v>183</v>
      </c>
      <c r="E172" t="s">
        <v>151</v>
      </c>
      <c r="F172" t="s">
        <v>23</v>
      </c>
      <c r="G172">
        <v>87</v>
      </c>
      <c r="H172">
        <v>265</v>
      </c>
      <c r="I172">
        <v>96</v>
      </c>
      <c r="J172">
        <v>256</v>
      </c>
      <c r="K172">
        <v>87</v>
      </c>
      <c r="L172" t="b">
        <v>0</v>
      </c>
      <c r="M172">
        <v>269.77999999999997</v>
      </c>
      <c r="N172">
        <v>69064.67</v>
      </c>
      <c r="O172" t="s">
        <v>32</v>
      </c>
    </row>
    <row r="173" spans="1:15">
      <c r="A173" s="1">
        <v>46054</v>
      </c>
      <c r="B173" t="s">
        <v>244</v>
      </c>
      <c r="C173" t="s">
        <v>251</v>
      </c>
      <c r="D173" t="s">
        <v>252</v>
      </c>
      <c r="E173" t="s">
        <v>151</v>
      </c>
      <c r="F173" t="s">
        <v>23</v>
      </c>
      <c r="G173">
        <v>83</v>
      </c>
      <c r="H173">
        <v>0</v>
      </c>
      <c r="I173">
        <v>33</v>
      </c>
      <c r="J173">
        <v>50</v>
      </c>
      <c r="K173">
        <v>43</v>
      </c>
      <c r="L173" t="b">
        <v>0</v>
      </c>
      <c r="M173">
        <v>86.96</v>
      </c>
      <c r="N173">
        <v>4347.76</v>
      </c>
      <c r="O173" t="s">
        <v>44</v>
      </c>
    </row>
    <row r="174" spans="1:15">
      <c r="A174" s="1">
        <v>46054</v>
      </c>
      <c r="B174" t="s">
        <v>244</v>
      </c>
      <c r="C174" t="s">
        <v>184</v>
      </c>
      <c r="D174" t="s">
        <v>185</v>
      </c>
      <c r="E174" t="s">
        <v>151</v>
      </c>
      <c r="F174" t="s">
        <v>23</v>
      </c>
      <c r="G174">
        <v>250</v>
      </c>
      <c r="H174">
        <v>0</v>
      </c>
      <c r="I174">
        <v>155</v>
      </c>
      <c r="J174">
        <v>95</v>
      </c>
      <c r="K174">
        <v>133</v>
      </c>
      <c r="L174" t="b">
        <v>1</v>
      </c>
      <c r="M174">
        <v>413.82</v>
      </c>
      <c r="N174">
        <v>39312.910000000003</v>
      </c>
      <c r="O174" t="s">
        <v>60</v>
      </c>
    </row>
    <row r="175" spans="1:15">
      <c r="A175" s="1">
        <v>46054</v>
      </c>
      <c r="B175" t="s">
        <v>244</v>
      </c>
      <c r="C175" t="s">
        <v>186</v>
      </c>
      <c r="D175" t="s">
        <v>187</v>
      </c>
      <c r="E175" t="s">
        <v>188</v>
      </c>
      <c r="F175" t="s">
        <v>23</v>
      </c>
      <c r="G175">
        <v>520</v>
      </c>
      <c r="H175">
        <v>0</v>
      </c>
      <c r="I175">
        <v>136</v>
      </c>
      <c r="J175">
        <v>384</v>
      </c>
      <c r="K175">
        <v>221</v>
      </c>
      <c r="L175" t="b">
        <v>0</v>
      </c>
      <c r="M175">
        <v>123.64</v>
      </c>
      <c r="N175">
        <v>47479.33</v>
      </c>
      <c r="O175" t="s">
        <v>24</v>
      </c>
    </row>
    <row r="176" spans="1:15">
      <c r="A176" s="1">
        <v>46054</v>
      </c>
      <c r="B176" t="s">
        <v>244</v>
      </c>
      <c r="C176" t="s">
        <v>189</v>
      </c>
      <c r="D176" t="s">
        <v>190</v>
      </c>
      <c r="E176" t="s">
        <v>188</v>
      </c>
      <c r="F176" t="s">
        <v>23</v>
      </c>
      <c r="G176">
        <v>105</v>
      </c>
      <c r="H176">
        <v>212</v>
      </c>
      <c r="I176">
        <v>96</v>
      </c>
      <c r="J176">
        <v>221</v>
      </c>
      <c r="K176">
        <v>91</v>
      </c>
      <c r="L176" t="b">
        <v>0</v>
      </c>
      <c r="M176">
        <v>503.63</v>
      </c>
      <c r="N176">
        <v>111302.42</v>
      </c>
      <c r="O176" t="s">
        <v>98</v>
      </c>
    </row>
    <row r="177" spans="1:15">
      <c r="A177" s="1">
        <v>46054</v>
      </c>
      <c r="B177" t="s">
        <v>244</v>
      </c>
      <c r="C177" t="s">
        <v>191</v>
      </c>
      <c r="D177" t="s">
        <v>192</v>
      </c>
      <c r="E177" t="s">
        <v>188</v>
      </c>
      <c r="F177" t="s">
        <v>23</v>
      </c>
      <c r="G177">
        <v>61</v>
      </c>
      <c r="H177">
        <v>123</v>
      </c>
      <c r="I177">
        <v>45</v>
      </c>
      <c r="J177">
        <v>139</v>
      </c>
      <c r="K177">
        <v>51</v>
      </c>
      <c r="L177" t="b">
        <v>0</v>
      </c>
      <c r="M177">
        <v>99.07</v>
      </c>
      <c r="N177">
        <v>13771.01</v>
      </c>
      <c r="O177" t="s">
        <v>98</v>
      </c>
    </row>
    <row r="178" spans="1:15">
      <c r="A178" s="1">
        <v>46054</v>
      </c>
      <c r="B178" t="s">
        <v>244</v>
      </c>
      <c r="C178" t="s">
        <v>253</v>
      </c>
      <c r="D178" t="s">
        <v>254</v>
      </c>
      <c r="E178" t="s">
        <v>188</v>
      </c>
      <c r="F178" t="s">
        <v>23</v>
      </c>
      <c r="G178">
        <v>177</v>
      </c>
      <c r="H178">
        <v>0</v>
      </c>
      <c r="I178">
        <v>138</v>
      </c>
      <c r="J178">
        <v>39</v>
      </c>
      <c r="K178">
        <v>109</v>
      </c>
      <c r="L178" t="b">
        <v>1</v>
      </c>
      <c r="M178">
        <v>317.99</v>
      </c>
      <c r="N178">
        <v>12401.67</v>
      </c>
      <c r="O178" t="s">
        <v>60</v>
      </c>
    </row>
    <row r="179" spans="1:15">
      <c r="A179" s="1">
        <v>46054</v>
      </c>
      <c r="B179" t="s">
        <v>244</v>
      </c>
      <c r="C179" t="s">
        <v>197</v>
      </c>
      <c r="D179" t="s">
        <v>198</v>
      </c>
      <c r="E179" t="s">
        <v>188</v>
      </c>
      <c r="F179" t="s">
        <v>23</v>
      </c>
      <c r="G179">
        <v>138</v>
      </c>
      <c r="H179">
        <v>264</v>
      </c>
      <c r="I179">
        <v>117</v>
      </c>
      <c r="J179">
        <v>285</v>
      </c>
      <c r="K179">
        <v>122</v>
      </c>
      <c r="L179" t="b">
        <v>0</v>
      </c>
      <c r="M179">
        <v>107.2</v>
      </c>
      <c r="N179">
        <v>30552.78</v>
      </c>
      <c r="O179" t="s">
        <v>98</v>
      </c>
    </row>
    <row r="180" spans="1:15">
      <c r="A180" s="1">
        <v>46054</v>
      </c>
      <c r="B180" t="s">
        <v>244</v>
      </c>
      <c r="C180" t="s">
        <v>199</v>
      </c>
      <c r="D180" t="s">
        <v>200</v>
      </c>
      <c r="E180" t="s">
        <v>188</v>
      </c>
      <c r="F180" t="s">
        <v>23</v>
      </c>
      <c r="G180">
        <v>122</v>
      </c>
      <c r="H180">
        <v>0</v>
      </c>
      <c r="I180">
        <v>48</v>
      </c>
      <c r="J180">
        <v>74</v>
      </c>
      <c r="K180">
        <v>79</v>
      </c>
      <c r="L180" t="b">
        <v>1</v>
      </c>
      <c r="M180">
        <v>515.91</v>
      </c>
      <c r="N180">
        <v>38177.050000000003</v>
      </c>
      <c r="O180" t="s">
        <v>98</v>
      </c>
    </row>
    <row r="181" spans="1:15">
      <c r="A181" s="1">
        <v>46054</v>
      </c>
      <c r="B181" t="s">
        <v>244</v>
      </c>
      <c r="C181" t="s">
        <v>201</v>
      </c>
      <c r="D181" t="s">
        <v>202</v>
      </c>
      <c r="E181" t="s">
        <v>188</v>
      </c>
      <c r="F181" t="s">
        <v>23</v>
      </c>
      <c r="G181">
        <v>200</v>
      </c>
      <c r="H181">
        <v>426</v>
      </c>
      <c r="I181">
        <v>182</v>
      </c>
      <c r="J181">
        <v>444</v>
      </c>
      <c r="K181">
        <v>221</v>
      </c>
      <c r="L181" t="b">
        <v>0</v>
      </c>
      <c r="M181">
        <v>872.96</v>
      </c>
      <c r="N181">
        <v>387592.52</v>
      </c>
      <c r="O181" t="s">
        <v>47</v>
      </c>
    </row>
    <row r="182" spans="1:15">
      <c r="A182" s="1">
        <v>46054</v>
      </c>
      <c r="B182" t="s">
        <v>244</v>
      </c>
      <c r="C182" t="s">
        <v>203</v>
      </c>
      <c r="D182" t="s">
        <v>204</v>
      </c>
      <c r="E182" t="s">
        <v>188</v>
      </c>
      <c r="F182" t="s">
        <v>23</v>
      </c>
      <c r="G182">
        <v>377</v>
      </c>
      <c r="H182">
        <v>0</v>
      </c>
      <c r="I182">
        <v>150</v>
      </c>
      <c r="J182">
        <v>227</v>
      </c>
      <c r="K182">
        <v>153</v>
      </c>
      <c r="L182" t="b">
        <v>0</v>
      </c>
      <c r="M182">
        <v>4506.84</v>
      </c>
      <c r="N182">
        <v>1023052</v>
      </c>
      <c r="O182" t="s">
        <v>47</v>
      </c>
    </row>
    <row r="183" spans="1:15">
      <c r="A183" s="1">
        <v>46054</v>
      </c>
      <c r="B183" t="s">
        <v>244</v>
      </c>
      <c r="C183" t="s">
        <v>205</v>
      </c>
      <c r="D183" t="s">
        <v>206</v>
      </c>
      <c r="E183" t="s">
        <v>188</v>
      </c>
      <c r="F183" t="s">
        <v>23</v>
      </c>
      <c r="G183">
        <v>334</v>
      </c>
      <c r="H183">
        <v>501</v>
      </c>
      <c r="I183">
        <v>187</v>
      </c>
      <c r="J183">
        <v>648</v>
      </c>
      <c r="K183">
        <v>283</v>
      </c>
      <c r="L183" t="b">
        <v>0</v>
      </c>
      <c r="M183">
        <v>86.41</v>
      </c>
      <c r="N183">
        <v>55991.46</v>
      </c>
      <c r="O183" t="s">
        <v>98</v>
      </c>
    </row>
    <row r="184" spans="1:15">
      <c r="A184" s="1">
        <v>46054</v>
      </c>
      <c r="B184" t="s">
        <v>244</v>
      </c>
      <c r="C184" t="s">
        <v>255</v>
      </c>
      <c r="D184" t="s">
        <v>256</v>
      </c>
      <c r="E184" t="s">
        <v>188</v>
      </c>
      <c r="F184" t="s">
        <v>23</v>
      </c>
      <c r="G184">
        <v>129</v>
      </c>
      <c r="H184">
        <v>0</v>
      </c>
      <c r="I184">
        <v>64</v>
      </c>
      <c r="J184">
        <v>65</v>
      </c>
      <c r="K184">
        <v>45</v>
      </c>
      <c r="L184" t="b">
        <v>0</v>
      </c>
      <c r="M184">
        <v>406.52</v>
      </c>
      <c r="N184">
        <v>26423.87</v>
      </c>
      <c r="O184" t="s">
        <v>37</v>
      </c>
    </row>
    <row r="185" spans="1:15">
      <c r="A185" s="1">
        <v>46054</v>
      </c>
      <c r="B185" t="s">
        <v>244</v>
      </c>
      <c r="C185" t="s">
        <v>207</v>
      </c>
      <c r="D185" t="s">
        <v>208</v>
      </c>
      <c r="E185" t="s">
        <v>188</v>
      </c>
      <c r="F185" t="s">
        <v>23</v>
      </c>
      <c r="G185">
        <v>274</v>
      </c>
      <c r="H185">
        <v>0</v>
      </c>
      <c r="I185">
        <v>71</v>
      </c>
      <c r="J185">
        <v>203</v>
      </c>
      <c r="K185">
        <v>115</v>
      </c>
      <c r="L185" t="b">
        <v>0</v>
      </c>
      <c r="M185">
        <v>72.14</v>
      </c>
      <c r="N185">
        <v>14645.18</v>
      </c>
      <c r="O185" t="s">
        <v>47</v>
      </c>
    </row>
    <row r="186" spans="1:15">
      <c r="A186" s="1">
        <v>46054</v>
      </c>
      <c r="B186" t="s">
        <v>244</v>
      </c>
      <c r="C186" t="s">
        <v>209</v>
      </c>
      <c r="D186" t="s">
        <v>210</v>
      </c>
      <c r="E186" t="s">
        <v>188</v>
      </c>
      <c r="F186" t="s">
        <v>23</v>
      </c>
      <c r="G186">
        <v>242</v>
      </c>
      <c r="H186">
        <v>0</v>
      </c>
      <c r="I186">
        <v>56</v>
      </c>
      <c r="J186">
        <v>186</v>
      </c>
      <c r="K186">
        <v>124</v>
      </c>
      <c r="L186" t="b">
        <v>0</v>
      </c>
      <c r="M186">
        <v>356.74</v>
      </c>
      <c r="N186">
        <v>66353.27</v>
      </c>
      <c r="O186" t="s">
        <v>37</v>
      </c>
    </row>
    <row r="187" spans="1:15">
      <c r="A187" s="1">
        <v>46054</v>
      </c>
      <c r="B187" t="s">
        <v>244</v>
      </c>
      <c r="C187" t="s">
        <v>211</v>
      </c>
      <c r="D187" t="s">
        <v>212</v>
      </c>
      <c r="E187" t="s">
        <v>188</v>
      </c>
      <c r="F187" t="s">
        <v>23</v>
      </c>
      <c r="G187">
        <v>438</v>
      </c>
      <c r="H187">
        <v>0</v>
      </c>
      <c r="I187">
        <v>188</v>
      </c>
      <c r="J187">
        <v>250</v>
      </c>
      <c r="K187">
        <v>243</v>
      </c>
      <c r="L187" t="b">
        <v>0</v>
      </c>
      <c r="M187">
        <v>457.8</v>
      </c>
      <c r="N187">
        <v>114450.98</v>
      </c>
      <c r="O187" t="s">
        <v>60</v>
      </c>
    </row>
    <row r="188" spans="1:15">
      <c r="A188" s="1">
        <v>46054</v>
      </c>
      <c r="B188" t="s">
        <v>244</v>
      </c>
      <c r="C188" t="s">
        <v>213</v>
      </c>
      <c r="D188" t="s">
        <v>214</v>
      </c>
      <c r="E188" t="s">
        <v>188</v>
      </c>
      <c r="F188" t="s">
        <v>23</v>
      </c>
      <c r="G188">
        <v>254</v>
      </c>
      <c r="H188">
        <v>0</v>
      </c>
      <c r="I188">
        <v>82</v>
      </c>
      <c r="J188">
        <v>172</v>
      </c>
      <c r="K188">
        <v>161</v>
      </c>
      <c r="L188" t="b">
        <v>0</v>
      </c>
      <c r="M188">
        <v>330.66</v>
      </c>
      <c r="N188">
        <v>56872.94</v>
      </c>
      <c r="O188" t="s">
        <v>44</v>
      </c>
    </row>
    <row r="189" spans="1:15">
      <c r="A189" s="1">
        <v>46054</v>
      </c>
      <c r="B189" t="s">
        <v>244</v>
      </c>
      <c r="C189" t="s">
        <v>220</v>
      </c>
      <c r="D189" t="s">
        <v>221</v>
      </c>
      <c r="E189" t="s">
        <v>219</v>
      </c>
      <c r="F189" t="s">
        <v>23</v>
      </c>
      <c r="G189">
        <v>150</v>
      </c>
      <c r="H189">
        <v>0</v>
      </c>
      <c r="I189">
        <v>60</v>
      </c>
      <c r="J189">
        <v>90</v>
      </c>
      <c r="K189">
        <v>49</v>
      </c>
      <c r="L189" t="b">
        <v>0</v>
      </c>
      <c r="M189">
        <v>82.57</v>
      </c>
      <c r="N189">
        <v>7431.54</v>
      </c>
      <c r="O189" t="s">
        <v>60</v>
      </c>
    </row>
    <row r="190" spans="1:15">
      <c r="A190" s="1">
        <v>46054</v>
      </c>
      <c r="B190" t="s">
        <v>244</v>
      </c>
      <c r="C190" t="s">
        <v>222</v>
      </c>
      <c r="D190" t="s">
        <v>223</v>
      </c>
      <c r="E190" t="s">
        <v>219</v>
      </c>
      <c r="F190" t="s">
        <v>23</v>
      </c>
      <c r="G190">
        <v>70</v>
      </c>
      <c r="H190">
        <v>0</v>
      </c>
      <c r="I190">
        <v>68</v>
      </c>
      <c r="J190">
        <v>2</v>
      </c>
      <c r="K190">
        <v>55</v>
      </c>
      <c r="L190" t="b">
        <v>1</v>
      </c>
      <c r="M190">
        <v>44.89</v>
      </c>
      <c r="N190">
        <v>89.79</v>
      </c>
      <c r="O190" t="s">
        <v>37</v>
      </c>
    </row>
    <row r="191" spans="1:15">
      <c r="A191" s="1">
        <v>46054</v>
      </c>
      <c r="B191" t="s">
        <v>244</v>
      </c>
      <c r="C191" t="s">
        <v>228</v>
      </c>
      <c r="D191" t="s">
        <v>229</v>
      </c>
      <c r="E191" t="s">
        <v>219</v>
      </c>
      <c r="F191" t="s">
        <v>23</v>
      </c>
      <c r="G191">
        <v>95</v>
      </c>
      <c r="H191">
        <v>0</v>
      </c>
      <c r="I191">
        <v>51</v>
      </c>
      <c r="J191">
        <v>44</v>
      </c>
      <c r="K191">
        <v>47</v>
      </c>
      <c r="L191" t="b">
        <v>1</v>
      </c>
      <c r="M191">
        <v>48.45</v>
      </c>
      <c r="N191">
        <v>2131.94</v>
      </c>
      <c r="O191" t="s">
        <v>44</v>
      </c>
    </row>
    <row r="192" spans="1:15">
      <c r="A192" s="1">
        <v>46054</v>
      </c>
      <c r="B192" t="s">
        <v>244</v>
      </c>
      <c r="C192" t="s">
        <v>230</v>
      </c>
      <c r="D192" t="s">
        <v>231</v>
      </c>
      <c r="E192" t="s">
        <v>219</v>
      </c>
      <c r="F192" t="s">
        <v>23</v>
      </c>
      <c r="G192">
        <v>57</v>
      </c>
      <c r="H192">
        <v>0</v>
      </c>
      <c r="I192">
        <v>19</v>
      </c>
      <c r="J192">
        <v>38</v>
      </c>
      <c r="K192">
        <v>23</v>
      </c>
      <c r="L192" t="b">
        <v>0</v>
      </c>
      <c r="M192">
        <v>191.73</v>
      </c>
      <c r="N192">
        <v>7285.57</v>
      </c>
      <c r="O192" t="s">
        <v>32</v>
      </c>
    </row>
    <row r="193" spans="1:15">
      <c r="A193" s="1">
        <v>46054</v>
      </c>
      <c r="B193" t="s">
        <v>244</v>
      </c>
      <c r="C193" t="s">
        <v>257</v>
      </c>
      <c r="D193" t="s">
        <v>258</v>
      </c>
      <c r="E193" t="s">
        <v>219</v>
      </c>
      <c r="F193" t="s">
        <v>23</v>
      </c>
      <c r="G193">
        <v>245</v>
      </c>
      <c r="H193">
        <v>0</v>
      </c>
      <c r="I193">
        <v>90</v>
      </c>
      <c r="J193">
        <v>155</v>
      </c>
      <c r="K193">
        <v>84</v>
      </c>
      <c r="L193" t="b">
        <v>0</v>
      </c>
      <c r="M193">
        <v>775.91</v>
      </c>
      <c r="N193">
        <v>120265.37</v>
      </c>
      <c r="O193" t="s">
        <v>47</v>
      </c>
    </row>
    <row r="194" spans="1:15">
      <c r="A194" s="1">
        <v>46054</v>
      </c>
      <c r="B194" t="s">
        <v>244</v>
      </c>
      <c r="C194" t="s">
        <v>259</v>
      </c>
      <c r="D194" t="s">
        <v>260</v>
      </c>
      <c r="E194" t="s">
        <v>219</v>
      </c>
      <c r="F194" t="s">
        <v>23</v>
      </c>
      <c r="G194">
        <v>339</v>
      </c>
      <c r="H194">
        <v>0</v>
      </c>
      <c r="I194">
        <v>188</v>
      </c>
      <c r="J194">
        <v>151</v>
      </c>
      <c r="K194">
        <v>165</v>
      </c>
      <c r="L194" t="b">
        <v>1</v>
      </c>
      <c r="M194">
        <v>510.73</v>
      </c>
      <c r="N194">
        <v>77120.12</v>
      </c>
      <c r="O194" t="s">
        <v>60</v>
      </c>
    </row>
    <row r="195" spans="1:15">
      <c r="A195" s="1">
        <v>46054</v>
      </c>
      <c r="B195" t="s">
        <v>244</v>
      </c>
      <c r="C195" t="s">
        <v>234</v>
      </c>
      <c r="D195" t="s">
        <v>235</v>
      </c>
      <c r="E195" t="s">
        <v>219</v>
      </c>
      <c r="F195" t="s">
        <v>23</v>
      </c>
      <c r="G195">
        <v>290</v>
      </c>
      <c r="H195">
        <v>0</v>
      </c>
      <c r="I195">
        <v>147</v>
      </c>
      <c r="J195">
        <v>143</v>
      </c>
      <c r="K195">
        <v>148</v>
      </c>
      <c r="L195" t="b">
        <v>1</v>
      </c>
      <c r="M195">
        <v>2289.11</v>
      </c>
      <c r="N195">
        <v>327342.65999999997</v>
      </c>
      <c r="O195" t="s">
        <v>47</v>
      </c>
    </row>
    <row r="196" spans="1:15">
      <c r="A196" s="1">
        <v>46054</v>
      </c>
      <c r="B196" t="s">
        <v>244</v>
      </c>
      <c r="C196" t="s">
        <v>261</v>
      </c>
      <c r="D196" t="s">
        <v>262</v>
      </c>
      <c r="E196" t="s">
        <v>219</v>
      </c>
      <c r="F196" t="s">
        <v>23</v>
      </c>
      <c r="G196">
        <v>348</v>
      </c>
      <c r="H196">
        <v>0</v>
      </c>
      <c r="I196">
        <v>77</v>
      </c>
      <c r="J196">
        <v>271</v>
      </c>
      <c r="K196">
        <v>187</v>
      </c>
      <c r="L196" t="b">
        <v>0</v>
      </c>
      <c r="M196">
        <v>288.57</v>
      </c>
      <c r="N196">
        <v>78201.95</v>
      </c>
      <c r="O196" t="s">
        <v>60</v>
      </c>
    </row>
    <row r="197" spans="1:15">
      <c r="A197" s="1">
        <v>46054</v>
      </c>
      <c r="B197" t="s">
        <v>244</v>
      </c>
      <c r="C197" t="s">
        <v>236</v>
      </c>
      <c r="D197" t="s">
        <v>237</v>
      </c>
      <c r="E197" t="s">
        <v>219</v>
      </c>
      <c r="F197" t="s">
        <v>23</v>
      </c>
      <c r="G197">
        <v>482</v>
      </c>
      <c r="H197">
        <v>0</v>
      </c>
      <c r="I197">
        <v>208</v>
      </c>
      <c r="J197">
        <v>274</v>
      </c>
      <c r="K197">
        <v>203</v>
      </c>
      <c r="L197" t="b">
        <v>0</v>
      </c>
      <c r="M197">
        <v>985.25</v>
      </c>
      <c r="N197">
        <v>269958.78000000003</v>
      </c>
      <c r="O197" t="s">
        <v>98</v>
      </c>
    </row>
    <row r="198" spans="1:15">
      <c r="A198" s="1">
        <v>46054</v>
      </c>
      <c r="B198" t="s">
        <v>244</v>
      </c>
      <c r="C198" t="s">
        <v>263</v>
      </c>
      <c r="D198" t="s">
        <v>264</v>
      </c>
      <c r="E198" t="s">
        <v>219</v>
      </c>
      <c r="F198" t="s">
        <v>23</v>
      </c>
      <c r="G198">
        <v>402</v>
      </c>
      <c r="H198">
        <v>0</v>
      </c>
      <c r="I198">
        <v>191</v>
      </c>
      <c r="J198">
        <v>211</v>
      </c>
      <c r="K198">
        <v>311</v>
      </c>
      <c r="L198" t="b">
        <v>1</v>
      </c>
      <c r="M198">
        <v>33.47</v>
      </c>
      <c r="N198">
        <v>7062.68</v>
      </c>
      <c r="O198" t="s">
        <v>27</v>
      </c>
    </row>
    <row r="199" spans="1:15">
      <c r="A199" s="1">
        <v>46054</v>
      </c>
      <c r="B199" t="s">
        <v>244</v>
      </c>
      <c r="C199" t="s">
        <v>238</v>
      </c>
      <c r="D199" t="s">
        <v>239</v>
      </c>
      <c r="E199" t="s">
        <v>219</v>
      </c>
      <c r="F199" t="s">
        <v>23</v>
      </c>
      <c r="G199">
        <v>273</v>
      </c>
      <c r="H199">
        <v>0</v>
      </c>
      <c r="I199">
        <v>84</v>
      </c>
      <c r="J199">
        <v>189</v>
      </c>
      <c r="K199">
        <v>109</v>
      </c>
      <c r="L199" t="b">
        <v>0</v>
      </c>
      <c r="M199">
        <v>171.2</v>
      </c>
      <c r="N199">
        <v>32357.54</v>
      </c>
      <c r="O199" t="s">
        <v>32</v>
      </c>
    </row>
    <row r="200" spans="1:15">
      <c r="A200" s="1">
        <v>46054</v>
      </c>
      <c r="B200" t="s">
        <v>244</v>
      </c>
      <c r="C200" t="s">
        <v>242</v>
      </c>
      <c r="D200" t="s">
        <v>243</v>
      </c>
      <c r="E200" t="s">
        <v>219</v>
      </c>
      <c r="F200" t="s">
        <v>23</v>
      </c>
      <c r="G200">
        <v>268</v>
      </c>
      <c r="H200">
        <v>0</v>
      </c>
      <c r="I200">
        <v>220</v>
      </c>
      <c r="J200">
        <v>48</v>
      </c>
      <c r="K200">
        <v>160</v>
      </c>
      <c r="L200" t="b">
        <v>1</v>
      </c>
      <c r="M200">
        <v>283.79000000000002</v>
      </c>
      <c r="N200">
        <v>13622.07</v>
      </c>
      <c r="O200" t="s">
        <v>60</v>
      </c>
    </row>
    <row r="201" spans="1:15">
      <c r="A201" s="1">
        <v>46054</v>
      </c>
      <c r="B201" t="s">
        <v>265</v>
      </c>
      <c r="C201" t="s">
        <v>20</v>
      </c>
      <c r="D201" t="s">
        <v>21</v>
      </c>
      <c r="E201" t="s">
        <v>22</v>
      </c>
      <c r="F201" t="s">
        <v>23</v>
      </c>
      <c r="G201">
        <v>234</v>
      </c>
      <c r="H201">
        <v>436</v>
      </c>
      <c r="I201">
        <v>147</v>
      </c>
      <c r="J201">
        <v>523</v>
      </c>
      <c r="K201">
        <v>230</v>
      </c>
      <c r="L201" t="b">
        <v>0</v>
      </c>
      <c r="M201">
        <v>277.99</v>
      </c>
      <c r="N201">
        <v>145386.89000000001</v>
      </c>
      <c r="O201" t="s">
        <v>24</v>
      </c>
    </row>
    <row r="202" spans="1:15">
      <c r="A202" s="1">
        <v>46054</v>
      </c>
      <c r="B202" t="s">
        <v>265</v>
      </c>
      <c r="C202" t="s">
        <v>25</v>
      </c>
      <c r="D202" t="s">
        <v>26</v>
      </c>
      <c r="E202" t="s">
        <v>22</v>
      </c>
      <c r="F202" t="s">
        <v>23</v>
      </c>
      <c r="G202">
        <v>478</v>
      </c>
      <c r="H202">
        <v>0</v>
      </c>
      <c r="I202">
        <v>174</v>
      </c>
      <c r="J202">
        <v>304</v>
      </c>
      <c r="K202">
        <v>189</v>
      </c>
      <c r="L202" t="b">
        <v>0</v>
      </c>
      <c r="M202">
        <v>1141.6500000000001</v>
      </c>
      <c r="N202">
        <v>347062.11</v>
      </c>
      <c r="O202" t="s">
        <v>27</v>
      </c>
    </row>
    <row r="203" spans="1:15">
      <c r="A203" s="1">
        <v>46054</v>
      </c>
      <c r="B203" t="s">
        <v>265</v>
      </c>
      <c r="C203" t="s">
        <v>28</v>
      </c>
      <c r="D203" t="s">
        <v>29</v>
      </c>
      <c r="E203" t="s">
        <v>22</v>
      </c>
      <c r="F203" t="s">
        <v>23</v>
      </c>
      <c r="G203">
        <v>376</v>
      </c>
      <c r="H203">
        <v>0</v>
      </c>
      <c r="I203">
        <v>162</v>
      </c>
      <c r="J203">
        <v>214</v>
      </c>
      <c r="K203">
        <v>181</v>
      </c>
      <c r="L203" t="b">
        <v>0</v>
      </c>
      <c r="M203">
        <v>98.04</v>
      </c>
      <c r="N203">
        <v>20979.58</v>
      </c>
      <c r="O203" t="s">
        <v>24</v>
      </c>
    </row>
    <row r="204" spans="1:15">
      <c r="A204" s="1">
        <v>46054</v>
      </c>
      <c r="B204" t="s">
        <v>265</v>
      </c>
      <c r="C204" t="s">
        <v>33</v>
      </c>
      <c r="D204" t="s">
        <v>34</v>
      </c>
      <c r="E204" t="s">
        <v>22</v>
      </c>
      <c r="F204" t="s">
        <v>23</v>
      </c>
      <c r="G204">
        <v>102</v>
      </c>
      <c r="H204">
        <v>0</v>
      </c>
      <c r="I204">
        <v>74</v>
      </c>
      <c r="J204">
        <v>28</v>
      </c>
      <c r="K204">
        <v>67</v>
      </c>
      <c r="L204" t="b">
        <v>1</v>
      </c>
      <c r="M204">
        <v>108.64</v>
      </c>
      <c r="N204">
        <v>3041.92</v>
      </c>
      <c r="O204" t="s">
        <v>24</v>
      </c>
    </row>
    <row r="205" spans="1:15">
      <c r="A205" s="1">
        <v>46054</v>
      </c>
      <c r="B205" t="s">
        <v>265</v>
      </c>
      <c r="C205" t="s">
        <v>35</v>
      </c>
      <c r="D205" t="s">
        <v>36</v>
      </c>
      <c r="E205" t="s">
        <v>22</v>
      </c>
      <c r="F205" t="s">
        <v>23</v>
      </c>
      <c r="G205">
        <v>38</v>
      </c>
      <c r="H205">
        <v>0</v>
      </c>
      <c r="I205">
        <v>18</v>
      </c>
      <c r="J205">
        <v>20</v>
      </c>
      <c r="K205">
        <v>29</v>
      </c>
      <c r="L205" t="b">
        <v>1</v>
      </c>
      <c r="M205">
        <v>606.6</v>
      </c>
      <c r="N205">
        <v>12131.91</v>
      </c>
      <c r="O205" t="s">
        <v>37</v>
      </c>
    </row>
    <row r="206" spans="1:15">
      <c r="A206" s="1">
        <v>46054</v>
      </c>
      <c r="B206" t="s">
        <v>265</v>
      </c>
      <c r="C206" t="s">
        <v>38</v>
      </c>
      <c r="D206" t="s">
        <v>39</v>
      </c>
      <c r="E206" t="s">
        <v>22</v>
      </c>
      <c r="F206" t="s">
        <v>23</v>
      </c>
      <c r="G206">
        <v>262</v>
      </c>
      <c r="H206">
        <v>291</v>
      </c>
      <c r="I206">
        <v>92</v>
      </c>
      <c r="J206">
        <v>461</v>
      </c>
      <c r="K206">
        <v>75</v>
      </c>
      <c r="L206" t="b">
        <v>0</v>
      </c>
      <c r="M206">
        <v>80.09</v>
      </c>
      <c r="N206">
        <v>36920.400000000001</v>
      </c>
      <c r="O206" t="s">
        <v>24</v>
      </c>
    </row>
    <row r="207" spans="1:15">
      <c r="A207" s="1">
        <v>46054</v>
      </c>
      <c r="B207" t="s">
        <v>265</v>
      </c>
      <c r="C207" t="s">
        <v>42</v>
      </c>
      <c r="D207" t="s">
        <v>43</v>
      </c>
      <c r="E207" t="s">
        <v>22</v>
      </c>
      <c r="F207" t="s">
        <v>23</v>
      </c>
      <c r="G207">
        <v>189</v>
      </c>
      <c r="H207">
        <v>440</v>
      </c>
      <c r="I207">
        <v>143</v>
      </c>
      <c r="J207">
        <v>486</v>
      </c>
      <c r="K207">
        <v>200</v>
      </c>
      <c r="L207" t="b">
        <v>0</v>
      </c>
      <c r="M207">
        <v>153.18</v>
      </c>
      <c r="N207">
        <v>74445.55</v>
      </c>
      <c r="O207" t="s">
        <v>44</v>
      </c>
    </row>
    <row r="208" spans="1:15">
      <c r="A208" s="1">
        <v>46054</v>
      </c>
      <c r="B208" t="s">
        <v>265</v>
      </c>
      <c r="C208" t="s">
        <v>45</v>
      </c>
      <c r="D208" t="s">
        <v>46</v>
      </c>
      <c r="E208" t="s">
        <v>22</v>
      </c>
      <c r="F208" t="s">
        <v>23</v>
      </c>
      <c r="G208">
        <v>236</v>
      </c>
      <c r="H208">
        <v>372</v>
      </c>
      <c r="I208">
        <v>183</v>
      </c>
      <c r="J208">
        <v>425</v>
      </c>
      <c r="K208">
        <v>238</v>
      </c>
      <c r="L208" t="b">
        <v>0</v>
      </c>
      <c r="M208">
        <v>766.25</v>
      </c>
      <c r="N208">
        <v>325658.34000000003</v>
      </c>
      <c r="O208" t="s">
        <v>47</v>
      </c>
    </row>
    <row r="209" spans="1:15">
      <c r="A209" s="1">
        <v>46054</v>
      </c>
      <c r="B209" t="s">
        <v>265</v>
      </c>
      <c r="C209" t="s">
        <v>50</v>
      </c>
      <c r="D209" t="s">
        <v>51</v>
      </c>
      <c r="E209" t="s">
        <v>22</v>
      </c>
      <c r="F209" t="s">
        <v>23</v>
      </c>
      <c r="G209">
        <v>123</v>
      </c>
      <c r="H209">
        <v>0</v>
      </c>
      <c r="I209">
        <v>123</v>
      </c>
      <c r="J209">
        <v>0</v>
      </c>
      <c r="K209">
        <v>85</v>
      </c>
      <c r="L209" t="b">
        <v>1</v>
      </c>
      <c r="M209">
        <v>262.52999999999997</v>
      </c>
      <c r="N209">
        <v>0</v>
      </c>
      <c r="O209" t="s">
        <v>24</v>
      </c>
    </row>
    <row r="210" spans="1:15">
      <c r="A210" s="1">
        <v>46054</v>
      </c>
      <c r="B210" t="s">
        <v>265</v>
      </c>
      <c r="C210" t="s">
        <v>52</v>
      </c>
      <c r="D210" t="s">
        <v>53</v>
      </c>
      <c r="E210" t="s">
        <v>22</v>
      </c>
      <c r="F210" t="s">
        <v>23</v>
      </c>
      <c r="G210">
        <v>456</v>
      </c>
      <c r="H210">
        <v>0</v>
      </c>
      <c r="I210">
        <v>155</v>
      </c>
      <c r="J210">
        <v>301</v>
      </c>
      <c r="K210">
        <v>220</v>
      </c>
      <c r="L210" t="b">
        <v>0</v>
      </c>
      <c r="M210">
        <v>55.31</v>
      </c>
      <c r="N210">
        <v>16646.95</v>
      </c>
      <c r="O210" t="s">
        <v>47</v>
      </c>
    </row>
    <row r="211" spans="1:15">
      <c r="A211" s="1">
        <v>46054</v>
      </c>
      <c r="B211" t="s">
        <v>265</v>
      </c>
      <c r="C211" t="s">
        <v>56</v>
      </c>
      <c r="D211" t="s">
        <v>57</v>
      </c>
      <c r="E211" t="s">
        <v>22</v>
      </c>
      <c r="F211" t="s">
        <v>23</v>
      </c>
      <c r="G211">
        <v>60</v>
      </c>
      <c r="H211">
        <v>0</v>
      </c>
      <c r="I211">
        <v>43</v>
      </c>
      <c r="J211">
        <v>17</v>
      </c>
      <c r="K211">
        <v>37</v>
      </c>
      <c r="L211" t="b">
        <v>1</v>
      </c>
      <c r="M211">
        <v>409.3</v>
      </c>
      <c r="N211">
        <v>6958.06</v>
      </c>
      <c r="O211" t="s">
        <v>24</v>
      </c>
    </row>
    <row r="212" spans="1:15">
      <c r="A212" s="1">
        <v>46054</v>
      </c>
      <c r="B212" t="s">
        <v>265</v>
      </c>
      <c r="C212" t="s">
        <v>58</v>
      </c>
      <c r="D212" t="s">
        <v>59</v>
      </c>
      <c r="E212" t="s">
        <v>22</v>
      </c>
      <c r="F212" t="s">
        <v>23</v>
      </c>
      <c r="G212">
        <v>193</v>
      </c>
      <c r="H212">
        <v>0</v>
      </c>
      <c r="I212">
        <v>91</v>
      </c>
      <c r="J212">
        <v>102</v>
      </c>
      <c r="K212">
        <v>137</v>
      </c>
      <c r="L212" t="b">
        <v>1</v>
      </c>
      <c r="M212">
        <v>1908.9</v>
      </c>
      <c r="N212">
        <v>194707.31</v>
      </c>
      <c r="O212" t="s">
        <v>60</v>
      </c>
    </row>
    <row r="213" spans="1:15">
      <c r="A213" s="1">
        <v>46054</v>
      </c>
      <c r="B213" t="s">
        <v>265</v>
      </c>
      <c r="C213" t="s">
        <v>61</v>
      </c>
      <c r="D213" t="s">
        <v>62</v>
      </c>
      <c r="E213" t="s">
        <v>22</v>
      </c>
      <c r="F213" t="s">
        <v>23</v>
      </c>
      <c r="G213">
        <v>207</v>
      </c>
      <c r="H213">
        <v>600</v>
      </c>
      <c r="I213">
        <v>214</v>
      </c>
      <c r="J213">
        <v>593</v>
      </c>
      <c r="K213">
        <v>244</v>
      </c>
      <c r="L213" t="b">
        <v>0</v>
      </c>
      <c r="M213">
        <v>25.08</v>
      </c>
      <c r="N213">
        <v>14870.59</v>
      </c>
      <c r="O213" t="s">
        <v>44</v>
      </c>
    </row>
    <row r="214" spans="1:15">
      <c r="A214" s="1">
        <v>46054</v>
      </c>
      <c r="B214" t="s">
        <v>265</v>
      </c>
      <c r="C214" t="s">
        <v>63</v>
      </c>
      <c r="D214" t="s">
        <v>64</v>
      </c>
      <c r="E214" t="s">
        <v>22</v>
      </c>
      <c r="F214" t="s">
        <v>23</v>
      </c>
      <c r="G214">
        <v>120</v>
      </c>
      <c r="H214">
        <v>0</v>
      </c>
      <c r="I214">
        <v>51</v>
      </c>
      <c r="J214">
        <v>69</v>
      </c>
      <c r="K214">
        <v>58</v>
      </c>
      <c r="L214" t="b">
        <v>0</v>
      </c>
      <c r="M214">
        <v>117.64</v>
      </c>
      <c r="N214">
        <v>8117.2</v>
      </c>
      <c r="O214" t="s">
        <v>47</v>
      </c>
    </row>
    <row r="215" spans="1:15">
      <c r="A215" s="1">
        <v>46054</v>
      </c>
      <c r="B215" t="s">
        <v>265</v>
      </c>
      <c r="C215" t="s">
        <v>65</v>
      </c>
      <c r="D215" t="s">
        <v>66</v>
      </c>
      <c r="E215" t="s">
        <v>22</v>
      </c>
      <c r="F215" t="s">
        <v>23</v>
      </c>
      <c r="G215">
        <v>149</v>
      </c>
      <c r="H215">
        <v>134</v>
      </c>
      <c r="I215">
        <v>46</v>
      </c>
      <c r="J215">
        <v>237</v>
      </c>
      <c r="K215">
        <v>70</v>
      </c>
      <c r="L215" t="b">
        <v>0</v>
      </c>
      <c r="M215">
        <v>73.37</v>
      </c>
      <c r="N215">
        <v>17388.650000000001</v>
      </c>
      <c r="O215" t="s">
        <v>44</v>
      </c>
    </row>
    <row r="216" spans="1:15">
      <c r="A216" s="1">
        <v>46054</v>
      </c>
      <c r="B216" t="s">
        <v>265</v>
      </c>
      <c r="C216" t="s">
        <v>69</v>
      </c>
      <c r="D216" t="s">
        <v>70</v>
      </c>
      <c r="E216" t="s">
        <v>71</v>
      </c>
      <c r="F216" t="s">
        <v>23</v>
      </c>
      <c r="G216">
        <v>440</v>
      </c>
      <c r="H216">
        <v>0</v>
      </c>
      <c r="I216">
        <v>241</v>
      </c>
      <c r="J216">
        <v>199</v>
      </c>
      <c r="K216">
        <v>182</v>
      </c>
      <c r="L216" t="b">
        <v>0</v>
      </c>
      <c r="M216">
        <v>95.14</v>
      </c>
      <c r="N216">
        <v>18932.71</v>
      </c>
      <c r="O216" t="s">
        <v>27</v>
      </c>
    </row>
    <row r="217" spans="1:15">
      <c r="A217" s="1">
        <v>46054</v>
      </c>
      <c r="B217" t="s">
        <v>265</v>
      </c>
      <c r="C217" t="s">
        <v>76</v>
      </c>
      <c r="D217" t="s">
        <v>77</v>
      </c>
      <c r="E217" t="s">
        <v>71</v>
      </c>
      <c r="F217" t="s">
        <v>23</v>
      </c>
      <c r="G217">
        <v>387</v>
      </c>
      <c r="H217">
        <v>0</v>
      </c>
      <c r="I217">
        <v>185</v>
      </c>
      <c r="J217">
        <v>202</v>
      </c>
      <c r="K217">
        <v>258</v>
      </c>
      <c r="L217" t="b">
        <v>1</v>
      </c>
      <c r="M217">
        <v>1097.4100000000001</v>
      </c>
      <c r="N217">
        <v>221675.98</v>
      </c>
      <c r="O217" t="s">
        <v>37</v>
      </c>
    </row>
    <row r="218" spans="1:15">
      <c r="A218" s="1">
        <v>46054</v>
      </c>
      <c r="B218" t="s">
        <v>265</v>
      </c>
      <c r="C218" t="s">
        <v>78</v>
      </c>
      <c r="D218" t="s">
        <v>79</v>
      </c>
      <c r="E218" t="s">
        <v>71</v>
      </c>
      <c r="F218" t="s">
        <v>23</v>
      </c>
      <c r="G218">
        <v>219</v>
      </c>
      <c r="H218">
        <v>323</v>
      </c>
      <c r="I218">
        <v>152</v>
      </c>
      <c r="J218">
        <v>390</v>
      </c>
      <c r="K218">
        <v>216</v>
      </c>
      <c r="L218" t="b">
        <v>0</v>
      </c>
      <c r="M218">
        <v>343.23</v>
      </c>
      <c r="N218">
        <v>133861.42000000001</v>
      </c>
      <c r="O218" t="s">
        <v>47</v>
      </c>
    </row>
    <row r="219" spans="1:15">
      <c r="A219" s="1">
        <v>46054</v>
      </c>
      <c r="B219" t="s">
        <v>265</v>
      </c>
      <c r="C219" t="s">
        <v>80</v>
      </c>
      <c r="D219" t="s">
        <v>81</v>
      </c>
      <c r="E219" t="s">
        <v>71</v>
      </c>
      <c r="F219" t="s">
        <v>23</v>
      </c>
      <c r="G219">
        <v>435</v>
      </c>
      <c r="H219">
        <v>0</v>
      </c>
      <c r="I219">
        <v>82</v>
      </c>
      <c r="J219">
        <v>353</v>
      </c>
      <c r="K219">
        <v>183</v>
      </c>
      <c r="L219" t="b">
        <v>0</v>
      </c>
      <c r="M219">
        <v>1792.84</v>
      </c>
      <c r="N219">
        <v>632872.04</v>
      </c>
      <c r="O219" t="s">
        <v>32</v>
      </c>
    </row>
    <row r="220" spans="1:15">
      <c r="A220" s="1">
        <v>46054</v>
      </c>
      <c r="B220" t="s">
        <v>265</v>
      </c>
      <c r="C220" t="s">
        <v>82</v>
      </c>
      <c r="D220" t="s">
        <v>83</v>
      </c>
      <c r="E220" t="s">
        <v>71</v>
      </c>
      <c r="F220" t="s">
        <v>23</v>
      </c>
      <c r="G220">
        <v>288</v>
      </c>
      <c r="H220">
        <v>0</v>
      </c>
      <c r="I220">
        <v>143</v>
      </c>
      <c r="J220">
        <v>145</v>
      </c>
      <c r="K220">
        <v>227</v>
      </c>
      <c r="L220" t="b">
        <v>1</v>
      </c>
      <c r="M220">
        <v>1681.4</v>
      </c>
      <c r="N220">
        <v>243803.61</v>
      </c>
      <c r="O220" t="s">
        <v>37</v>
      </c>
    </row>
    <row r="221" spans="1:15">
      <c r="A221" s="1">
        <v>46054</v>
      </c>
      <c r="B221" t="s">
        <v>265</v>
      </c>
      <c r="C221" t="s">
        <v>90</v>
      </c>
      <c r="D221" t="s">
        <v>91</v>
      </c>
      <c r="E221" t="s">
        <v>71</v>
      </c>
      <c r="F221" t="s">
        <v>23</v>
      </c>
      <c r="G221">
        <v>171</v>
      </c>
      <c r="H221">
        <v>443</v>
      </c>
      <c r="I221">
        <v>80</v>
      </c>
      <c r="J221">
        <v>534</v>
      </c>
      <c r="K221">
        <v>173</v>
      </c>
      <c r="L221" t="b">
        <v>0</v>
      </c>
      <c r="M221">
        <v>1742.12</v>
      </c>
      <c r="N221">
        <v>930290.51</v>
      </c>
      <c r="O221" t="s">
        <v>32</v>
      </c>
    </row>
    <row r="222" spans="1:15">
      <c r="A222" s="1">
        <v>46054</v>
      </c>
      <c r="B222" t="s">
        <v>265</v>
      </c>
      <c r="C222" t="s">
        <v>245</v>
      </c>
      <c r="D222" t="s">
        <v>246</v>
      </c>
      <c r="E222" t="s">
        <v>71</v>
      </c>
      <c r="F222" t="s">
        <v>23</v>
      </c>
      <c r="G222">
        <v>249</v>
      </c>
      <c r="H222">
        <v>0</v>
      </c>
      <c r="I222">
        <v>104</v>
      </c>
      <c r="J222">
        <v>145</v>
      </c>
      <c r="K222">
        <v>141</v>
      </c>
      <c r="L222" t="b">
        <v>0</v>
      </c>
      <c r="M222">
        <v>8062.85</v>
      </c>
      <c r="N222">
        <v>1169113.75</v>
      </c>
      <c r="O222" t="s">
        <v>27</v>
      </c>
    </row>
    <row r="223" spans="1:15">
      <c r="A223" s="1">
        <v>46054</v>
      </c>
      <c r="B223" t="s">
        <v>265</v>
      </c>
      <c r="C223" t="s">
        <v>92</v>
      </c>
      <c r="D223" t="s">
        <v>93</v>
      </c>
      <c r="E223" t="s">
        <v>71</v>
      </c>
      <c r="F223" t="s">
        <v>23</v>
      </c>
      <c r="G223">
        <v>53</v>
      </c>
      <c r="H223">
        <v>0</v>
      </c>
      <c r="I223">
        <v>29</v>
      </c>
      <c r="J223">
        <v>24</v>
      </c>
      <c r="K223">
        <v>37</v>
      </c>
      <c r="L223" t="b">
        <v>1</v>
      </c>
      <c r="M223">
        <v>249.26</v>
      </c>
      <c r="N223">
        <v>5982.22</v>
      </c>
      <c r="O223" t="s">
        <v>24</v>
      </c>
    </row>
    <row r="224" spans="1:15">
      <c r="A224" s="1">
        <v>46054</v>
      </c>
      <c r="B224" t="s">
        <v>265</v>
      </c>
      <c r="C224" t="s">
        <v>94</v>
      </c>
      <c r="D224" t="s">
        <v>95</v>
      </c>
      <c r="E224" t="s">
        <v>71</v>
      </c>
      <c r="F224" t="s">
        <v>23</v>
      </c>
      <c r="G224">
        <v>25</v>
      </c>
      <c r="H224">
        <v>74</v>
      </c>
      <c r="I224">
        <v>25</v>
      </c>
      <c r="J224">
        <v>74</v>
      </c>
      <c r="K224">
        <v>22</v>
      </c>
      <c r="L224" t="b">
        <v>0</v>
      </c>
      <c r="M224">
        <v>1299.6600000000001</v>
      </c>
      <c r="N224">
        <v>96175.01</v>
      </c>
      <c r="O224" t="s">
        <v>32</v>
      </c>
    </row>
    <row r="225" spans="1:15">
      <c r="A225" s="1">
        <v>46054</v>
      </c>
      <c r="B225" t="s">
        <v>265</v>
      </c>
      <c r="C225" t="s">
        <v>96</v>
      </c>
      <c r="D225" t="s">
        <v>97</v>
      </c>
      <c r="E225" t="s">
        <v>71</v>
      </c>
      <c r="F225" t="s">
        <v>23</v>
      </c>
      <c r="G225">
        <v>251</v>
      </c>
      <c r="H225">
        <v>0</v>
      </c>
      <c r="I225">
        <v>157</v>
      </c>
      <c r="J225">
        <v>94</v>
      </c>
      <c r="K225">
        <v>180</v>
      </c>
      <c r="L225" t="b">
        <v>1</v>
      </c>
      <c r="M225">
        <v>665.46</v>
      </c>
      <c r="N225">
        <v>62553.61</v>
      </c>
      <c r="O225" t="s">
        <v>98</v>
      </c>
    </row>
    <row r="226" spans="1:15">
      <c r="A226" s="1">
        <v>46054</v>
      </c>
      <c r="B226" t="s">
        <v>265</v>
      </c>
      <c r="C226" t="s">
        <v>99</v>
      </c>
      <c r="D226" t="s">
        <v>100</v>
      </c>
      <c r="E226" t="s">
        <v>71</v>
      </c>
      <c r="F226" t="s">
        <v>23</v>
      </c>
      <c r="G226">
        <v>290</v>
      </c>
      <c r="H226">
        <v>0</v>
      </c>
      <c r="I226">
        <v>215</v>
      </c>
      <c r="J226">
        <v>75</v>
      </c>
      <c r="K226">
        <v>158</v>
      </c>
      <c r="L226" t="b">
        <v>1</v>
      </c>
      <c r="M226">
        <v>3400.86</v>
      </c>
      <c r="N226">
        <v>255064.65</v>
      </c>
      <c r="O226" t="s">
        <v>47</v>
      </c>
    </row>
    <row r="227" spans="1:15">
      <c r="A227" s="1">
        <v>46054</v>
      </c>
      <c r="B227" t="s">
        <v>265</v>
      </c>
      <c r="C227" t="s">
        <v>101</v>
      </c>
      <c r="D227" t="s">
        <v>102</v>
      </c>
      <c r="E227" t="s">
        <v>71</v>
      </c>
      <c r="F227" t="s">
        <v>23</v>
      </c>
      <c r="G227">
        <v>240</v>
      </c>
      <c r="H227">
        <v>0</v>
      </c>
      <c r="I227">
        <v>116</v>
      </c>
      <c r="J227">
        <v>124</v>
      </c>
      <c r="K227">
        <v>198</v>
      </c>
      <c r="L227" t="b">
        <v>1</v>
      </c>
      <c r="M227">
        <v>58.42</v>
      </c>
      <c r="N227">
        <v>7243.61</v>
      </c>
      <c r="O227" t="s">
        <v>32</v>
      </c>
    </row>
    <row r="228" spans="1:15">
      <c r="A228" s="1">
        <v>46054</v>
      </c>
      <c r="B228" t="s">
        <v>265</v>
      </c>
      <c r="C228" t="s">
        <v>247</v>
      </c>
      <c r="D228" t="s">
        <v>248</v>
      </c>
      <c r="E228" t="s">
        <v>71</v>
      </c>
      <c r="F228" t="s">
        <v>23</v>
      </c>
      <c r="G228">
        <v>550</v>
      </c>
      <c r="H228">
        <v>471</v>
      </c>
      <c r="I228">
        <v>227</v>
      </c>
      <c r="J228">
        <v>794</v>
      </c>
      <c r="K228">
        <v>260</v>
      </c>
      <c r="L228" t="b">
        <v>0</v>
      </c>
      <c r="M228">
        <v>269.74</v>
      </c>
      <c r="N228">
        <v>214175.78</v>
      </c>
      <c r="O228" t="s">
        <v>32</v>
      </c>
    </row>
    <row r="229" spans="1:15">
      <c r="A229" s="1">
        <v>46054</v>
      </c>
      <c r="B229" t="s">
        <v>265</v>
      </c>
      <c r="C229" t="s">
        <v>103</v>
      </c>
      <c r="D229" t="s">
        <v>104</v>
      </c>
      <c r="E229" t="s">
        <v>71</v>
      </c>
      <c r="F229" t="s">
        <v>23</v>
      </c>
      <c r="G229">
        <v>428</v>
      </c>
      <c r="H229">
        <v>0</v>
      </c>
      <c r="I229">
        <v>129</v>
      </c>
      <c r="J229">
        <v>299</v>
      </c>
      <c r="K229">
        <v>246</v>
      </c>
      <c r="L229" t="b">
        <v>0</v>
      </c>
      <c r="M229">
        <v>564.13</v>
      </c>
      <c r="N229">
        <v>168674.36</v>
      </c>
      <c r="O229" t="s">
        <v>98</v>
      </c>
    </row>
    <row r="230" spans="1:15">
      <c r="A230" s="1">
        <v>46054</v>
      </c>
      <c r="B230" t="s">
        <v>265</v>
      </c>
      <c r="C230" t="s">
        <v>105</v>
      </c>
      <c r="D230" t="s">
        <v>106</v>
      </c>
      <c r="E230" t="s">
        <v>71</v>
      </c>
      <c r="F230" t="s">
        <v>23</v>
      </c>
      <c r="G230">
        <v>298</v>
      </c>
      <c r="H230">
        <v>307</v>
      </c>
      <c r="I230">
        <v>120</v>
      </c>
      <c r="J230">
        <v>485</v>
      </c>
      <c r="K230">
        <v>165</v>
      </c>
      <c r="L230" t="b">
        <v>0</v>
      </c>
      <c r="M230">
        <v>2190.56</v>
      </c>
      <c r="N230">
        <v>1062420.96</v>
      </c>
      <c r="O230" t="s">
        <v>32</v>
      </c>
    </row>
    <row r="231" spans="1:15">
      <c r="A231" s="1">
        <v>46054</v>
      </c>
      <c r="B231" t="s">
        <v>265</v>
      </c>
      <c r="C231" t="s">
        <v>107</v>
      </c>
      <c r="D231" t="s">
        <v>108</v>
      </c>
      <c r="E231" t="s">
        <v>109</v>
      </c>
      <c r="F231" t="s">
        <v>110</v>
      </c>
      <c r="G231">
        <v>289</v>
      </c>
      <c r="H231">
        <v>0</v>
      </c>
      <c r="I231">
        <v>108</v>
      </c>
      <c r="J231">
        <v>181</v>
      </c>
      <c r="K231">
        <v>190</v>
      </c>
      <c r="L231" t="b">
        <v>1</v>
      </c>
      <c r="M231">
        <v>91.6</v>
      </c>
      <c r="N231">
        <v>16580.150000000001</v>
      </c>
      <c r="O231" t="s">
        <v>24</v>
      </c>
    </row>
    <row r="232" spans="1:15">
      <c r="A232" s="1">
        <v>46054</v>
      </c>
      <c r="B232" t="s">
        <v>265</v>
      </c>
      <c r="C232" t="s">
        <v>111</v>
      </c>
      <c r="D232" t="s">
        <v>112</v>
      </c>
      <c r="E232" t="s">
        <v>109</v>
      </c>
      <c r="F232" t="s">
        <v>110</v>
      </c>
      <c r="G232">
        <v>50</v>
      </c>
      <c r="H232">
        <v>0</v>
      </c>
      <c r="I232">
        <v>36</v>
      </c>
      <c r="J232">
        <v>14</v>
      </c>
      <c r="K232">
        <v>39</v>
      </c>
      <c r="L232" t="b">
        <v>1</v>
      </c>
      <c r="M232">
        <v>445.97</v>
      </c>
      <c r="N232">
        <v>6243.57</v>
      </c>
      <c r="O232" t="s">
        <v>98</v>
      </c>
    </row>
    <row r="233" spans="1:15">
      <c r="A233" s="1">
        <v>46054</v>
      </c>
      <c r="B233" t="s">
        <v>265</v>
      </c>
      <c r="C233" t="s">
        <v>113</v>
      </c>
      <c r="D233" t="s">
        <v>114</v>
      </c>
      <c r="E233" t="s">
        <v>109</v>
      </c>
      <c r="F233" t="s">
        <v>110</v>
      </c>
      <c r="G233">
        <v>174</v>
      </c>
      <c r="H233">
        <v>0</v>
      </c>
      <c r="I233">
        <v>79</v>
      </c>
      <c r="J233">
        <v>95</v>
      </c>
      <c r="K233">
        <v>131</v>
      </c>
      <c r="L233" t="b">
        <v>1</v>
      </c>
      <c r="M233">
        <v>127.19</v>
      </c>
      <c r="N233">
        <v>12082.66</v>
      </c>
      <c r="O233" t="s">
        <v>27</v>
      </c>
    </row>
    <row r="234" spans="1:15">
      <c r="A234" s="1">
        <v>46054</v>
      </c>
      <c r="B234" t="s">
        <v>265</v>
      </c>
      <c r="C234" t="s">
        <v>115</v>
      </c>
      <c r="D234" t="s">
        <v>116</v>
      </c>
      <c r="E234" t="s">
        <v>109</v>
      </c>
      <c r="F234" t="s">
        <v>110</v>
      </c>
      <c r="G234">
        <v>579</v>
      </c>
      <c r="H234">
        <v>644</v>
      </c>
      <c r="I234">
        <v>96</v>
      </c>
      <c r="J234">
        <v>1127</v>
      </c>
      <c r="K234">
        <v>202</v>
      </c>
      <c r="L234" t="b">
        <v>0</v>
      </c>
      <c r="M234">
        <v>614.96</v>
      </c>
      <c r="N234">
        <v>693063</v>
      </c>
      <c r="O234" t="s">
        <v>44</v>
      </c>
    </row>
    <row r="235" spans="1:15">
      <c r="A235" s="1">
        <v>46054</v>
      </c>
      <c r="B235" t="s">
        <v>265</v>
      </c>
      <c r="C235" t="s">
        <v>117</v>
      </c>
      <c r="D235" t="s">
        <v>118</v>
      </c>
      <c r="E235" t="s">
        <v>109</v>
      </c>
      <c r="F235" t="s">
        <v>110</v>
      </c>
      <c r="G235">
        <v>248</v>
      </c>
      <c r="H235">
        <v>528</v>
      </c>
      <c r="I235">
        <v>215</v>
      </c>
      <c r="J235">
        <v>561</v>
      </c>
      <c r="K235">
        <v>315</v>
      </c>
      <c r="L235" t="b">
        <v>0</v>
      </c>
      <c r="M235">
        <v>45.21</v>
      </c>
      <c r="N235">
        <v>25362.87</v>
      </c>
      <c r="O235" t="s">
        <v>32</v>
      </c>
    </row>
    <row r="236" spans="1:15">
      <c r="A236" s="1">
        <v>46054</v>
      </c>
      <c r="B236" t="s">
        <v>265</v>
      </c>
      <c r="C236" t="s">
        <v>121</v>
      </c>
      <c r="D236" t="s">
        <v>122</v>
      </c>
      <c r="E236" t="s">
        <v>109</v>
      </c>
      <c r="F236" t="s">
        <v>110</v>
      </c>
      <c r="G236">
        <v>211</v>
      </c>
      <c r="H236">
        <v>0</v>
      </c>
      <c r="I236">
        <v>99</v>
      </c>
      <c r="J236">
        <v>112</v>
      </c>
      <c r="K236">
        <v>121</v>
      </c>
      <c r="L236" t="b">
        <v>1</v>
      </c>
      <c r="M236">
        <v>41.44</v>
      </c>
      <c r="N236">
        <v>4641.41</v>
      </c>
      <c r="O236" t="s">
        <v>47</v>
      </c>
    </row>
    <row r="237" spans="1:15">
      <c r="A237" s="1">
        <v>46054</v>
      </c>
      <c r="B237" t="s">
        <v>265</v>
      </c>
      <c r="C237" t="s">
        <v>123</v>
      </c>
      <c r="D237" t="s">
        <v>124</v>
      </c>
      <c r="E237" t="s">
        <v>109</v>
      </c>
      <c r="F237" t="s">
        <v>110</v>
      </c>
      <c r="G237">
        <v>113</v>
      </c>
      <c r="H237">
        <v>0</v>
      </c>
      <c r="I237">
        <v>49</v>
      </c>
      <c r="J237">
        <v>64</v>
      </c>
      <c r="K237">
        <v>54</v>
      </c>
      <c r="L237" t="b">
        <v>0</v>
      </c>
      <c r="M237">
        <v>158.54</v>
      </c>
      <c r="N237">
        <v>10146.34</v>
      </c>
      <c r="O237" t="s">
        <v>24</v>
      </c>
    </row>
    <row r="238" spans="1:15">
      <c r="A238" s="1">
        <v>46054</v>
      </c>
      <c r="B238" t="s">
        <v>265</v>
      </c>
      <c r="C238" t="s">
        <v>125</v>
      </c>
      <c r="D238" t="s">
        <v>126</v>
      </c>
      <c r="E238" t="s">
        <v>109</v>
      </c>
      <c r="F238" t="s">
        <v>110</v>
      </c>
      <c r="G238">
        <v>49</v>
      </c>
      <c r="H238">
        <v>0</v>
      </c>
      <c r="I238">
        <v>24</v>
      </c>
      <c r="J238">
        <v>25</v>
      </c>
      <c r="K238">
        <v>38</v>
      </c>
      <c r="L238" t="b">
        <v>1</v>
      </c>
      <c r="M238">
        <v>131.84</v>
      </c>
      <c r="N238">
        <v>3295.93</v>
      </c>
      <c r="O238" t="s">
        <v>47</v>
      </c>
    </row>
    <row r="239" spans="1:15">
      <c r="A239" s="1">
        <v>46054</v>
      </c>
      <c r="B239" t="s">
        <v>265</v>
      </c>
      <c r="C239" t="s">
        <v>127</v>
      </c>
      <c r="D239" t="s">
        <v>128</v>
      </c>
      <c r="E239" t="s">
        <v>109</v>
      </c>
      <c r="F239" t="s">
        <v>110</v>
      </c>
      <c r="G239">
        <v>309</v>
      </c>
      <c r="H239">
        <v>0</v>
      </c>
      <c r="I239">
        <v>178</v>
      </c>
      <c r="J239">
        <v>131</v>
      </c>
      <c r="K239">
        <v>160</v>
      </c>
      <c r="L239" t="b">
        <v>1</v>
      </c>
      <c r="M239">
        <v>676.74</v>
      </c>
      <c r="N239">
        <v>88653.45</v>
      </c>
      <c r="O239" t="s">
        <v>44</v>
      </c>
    </row>
    <row r="240" spans="1:15">
      <c r="A240" s="1">
        <v>46054</v>
      </c>
      <c r="B240" t="s">
        <v>265</v>
      </c>
      <c r="C240" t="s">
        <v>131</v>
      </c>
      <c r="D240" t="s">
        <v>132</v>
      </c>
      <c r="E240" t="s">
        <v>109</v>
      </c>
      <c r="F240" t="s">
        <v>110</v>
      </c>
      <c r="G240">
        <v>196</v>
      </c>
      <c r="H240">
        <v>0</v>
      </c>
      <c r="I240">
        <v>89</v>
      </c>
      <c r="J240">
        <v>107</v>
      </c>
      <c r="K240">
        <v>121</v>
      </c>
      <c r="L240" t="b">
        <v>1</v>
      </c>
      <c r="M240">
        <v>1943.38</v>
      </c>
      <c r="N240">
        <v>207942.01</v>
      </c>
      <c r="O240" t="s">
        <v>24</v>
      </c>
    </row>
    <row r="241" spans="1:15">
      <c r="A241" s="1">
        <v>46054</v>
      </c>
      <c r="B241" t="s">
        <v>265</v>
      </c>
      <c r="C241" t="s">
        <v>133</v>
      </c>
      <c r="D241" t="s">
        <v>134</v>
      </c>
      <c r="E241" t="s">
        <v>109</v>
      </c>
      <c r="F241" t="s">
        <v>110</v>
      </c>
      <c r="G241">
        <v>144</v>
      </c>
      <c r="H241">
        <v>303</v>
      </c>
      <c r="I241">
        <v>94</v>
      </c>
      <c r="J241">
        <v>353</v>
      </c>
      <c r="K241">
        <v>121</v>
      </c>
      <c r="L241" t="b">
        <v>0</v>
      </c>
      <c r="M241">
        <v>20.3</v>
      </c>
      <c r="N241">
        <v>7165.61</v>
      </c>
      <c r="O241" t="s">
        <v>98</v>
      </c>
    </row>
    <row r="242" spans="1:15">
      <c r="A242" s="1">
        <v>46054</v>
      </c>
      <c r="B242" t="s">
        <v>265</v>
      </c>
      <c r="C242" t="s">
        <v>135</v>
      </c>
      <c r="D242" t="s">
        <v>136</v>
      </c>
      <c r="E242" t="s">
        <v>109</v>
      </c>
      <c r="F242" t="s">
        <v>110</v>
      </c>
      <c r="G242">
        <v>294</v>
      </c>
      <c r="H242">
        <v>0</v>
      </c>
      <c r="I242">
        <v>95</v>
      </c>
      <c r="J242">
        <v>199</v>
      </c>
      <c r="K242">
        <v>190</v>
      </c>
      <c r="L242" t="b">
        <v>0</v>
      </c>
      <c r="M242">
        <v>102.45</v>
      </c>
      <c r="N242">
        <v>20387.2</v>
      </c>
      <c r="O242" t="s">
        <v>32</v>
      </c>
    </row>
    <row r="243" spans="1:15">
      <c r="A243" s="1">
        <v>46054</v>
      </c>
      <c r="B243" t="s">
        <v>265</v>
      </c>
      <c r="C243" t="s">
        <v>137</v>
      </c>
      <c r="D243" t="s">
        <v>138</v>
      </c>
      <c r="E243" t="s">
        <v>109</v>
      </c>
      <c r="F243" t="s">
        <v>110</v>
      </c>
      <c r="G243">
        <v>129</v>
      </c>
      <c r="H243">
        <v>0</v>
      </c>
      <c r="I243">
        <v>70</v>
      </c>
      <c r="J243">
        <v>59</v>
      </c>
      <c r="K243">
        <v>67</v>
      </c>
      <c r="L243" t="b">
        <v>1</v>
      </c>
      <c r="M243">
        <v>65.959999999999994</v>
      </c>
      <c r="N243">
        <v>3891.43</v>
      </c>
      <c r="O243" t="s">
        <v>27</v>
      </c>
    </row>
    <row r="244" spans="1:15">
      <c r="A244" s="1">
        <v>46054</v>
      </c>
      <c r="B244" t="s">
        <v>265</v>
      </c>
      <c r="C244" t="s">
        <v>139</v>
      </c>
      <c r="D244" t="s">
        <v>140</v>
      </c>
      <c r="E244" t="s">
        <v>109</v>
      </c>
      <c r="F244" t="s">
        <v>110</v>
      </c>
      <c r="G244">
        <v>145</v>
      </c>
      <c r="H244">
        <v>0</v>
      </c>
      <c r="I244">
        <v>91</v>
      </c>
      <c r="J244">
        <v>54</v>
      </c>
      <c r="K244">
        <v>106</v>
      </c>
      <c r="L244" t="b">
        <v>1</v>
      </c>
      <c r="M244">
        <v>255.17</v>
      </c>
      <c r="N244">
        <v>13779.16</v>
      </c>
      <c r="O244" t="s">
        <v>32</v>
      </c>
    </row>
    <row r="245" spans="1:15">
      <c r="A245" s="1">
        <v>46054</v>
      </c>
      <c r="B245" t="s">
        <v>265</v>
      </c>
      <c r="C245" t="s">
        <v>141</v>
      </c>
      <c r="D245" t="s">
        <v>142</v>
      </c>
      <c r="E245" t="s">
        <v>109</v>
      </c>
      <c r="F245" t="s">
        <v>110</v>
      </c>
      <c r="G245">
        <v>531</v>
      </c>
      <c r="H245">
        <v>0</v>
      </c>
      <c r="I245">
        <v>179</v>
      </c>
      <c r="J245">
        <v>352</v>
      </c>
      <c r="K245">
        <v>211</v>
      </c>
      <c r="L245" t="b">
        <v>0</v>
      </c>
      <c r="M245">
        <v>89.01</v>
      </c>
      <c r="N245">
        <v>31332.22</v>
      </c>
      <c r="O245" t="s">
        <v>37</v>
      </c>
    </row>
    <row r="246" spans="1:15">
      <c r="A246" s="1">
        <v>46054</v>
      </c>
      <c r="B246" t="s">
        <v>265</v>
      </c>
      <c r="C246" t="s">
        <v>143</v>
      </c>
      <c r="D246" t="s">
        <v>144</v>
      </c>
      <c r="E246" t="s">
        <v>109</v>
      </c>
      <c r="F246" t="s">
        <v>110</v>
      </c>
      <c r="G246">
        <v>88</v>
      </c>
      <c r="H246">
        <v>81</v>
      </c>
      <c r="I246">
        <v>35</v>
      </c>
      <c r="J246">
        <v>134</v>
      </c>
      <c r="K246">
        <v>42</v>
      </c>
      <c r="L246" t="b">
        <v>0</v>
      </c>
      <c r="M246">
        <v>399.06</v>
      </c>
      <c r="N246">
        <v>53474.29</v>
      </c>
      <c r="O246" t="s">
        <v>24</v>
      </c>
    </row>
    <row r="247" spans="1:15">
      <c r="A247" s="1">
        <v>46054</v>
      </c>
      <c r="B247" t="s">
        <v>265</v>
      </c>
      <c r="C247" t="s">
        <v>145</v>
      </c>
      <c r="D247" t="s">
        <v>146</v>
      </c>
      <c r="E247" t="s">
        <v>109</v>
      </c>
      <c r="F247" t="s">
        <v>110</v>
      </c>
      <c r="G247">
        <v>179</v>
      </c>
      <c r="H247">
        <v>0</v>
      </c>
      <c r="I247">
        <v>74</v>
      </c>
      <c r="J247">
        <v>105</v>
      </c>
      <c r="K247">
        <v>72</v>
      </c>
      <c r="L247" t="b">
        <v>0</v>
      </c>
      <c r="M247">
        <v>70.09</v>
      </c>
      <c r="N247">
        <v>7359.17</v>
      </c>
      <c r="O247" t="s">
        <v>37</v>
      </c>
    </row>
    <row r="248" spans="1:15">
      <c r="A248" s="1">
        <v>46054</v>
      </c>
      <c r="B248" t="s">
        <v>265</v>
      </c>
      <c r="C248" t="s">
        <v>147</v>
      </c>
      <c r="D248" t="s">
        <v>148</v>
      </c>
      <c r="E248" t="s">
        <v>109</v>
      </c>
      <c r="F248" t="s">
        <v>110</v>
      </c>
      <c r="G248">
        <v>541</v>
      </c>
      <c r="H248">
        <v>0</v>
      </c>
      <c r="I248">
        <v>175</v>
      </c>
      <c r="J248">
        <v>366</v>
      </c>
      <c r="K248">
        <v>246</v>
      </c>
      <c r="L248" t="b">
        <v>0</v>
      </c>
      <c r="M248">
        <v>307.23</v>
      </c>
      <c r="N248">
        <v>112447.81</v>
      </c>
      <c r="O248" t="s">
        <v>98</v>
      </c>
    </row>
    <row r="249" spans="1:15">
      <c r="A249" s="1">
        <v>46054</v>
      </c>
      <c r="B249" t="s">
        <v>265</v>
      </c>
      <c r="C249" t="s">
        <v>149</v>
      </c>
      <c r="D249" t="s">
        <v>150</v>
      </c>
      <c r="E249" t="s">
        <v>151</v>
      </c>
      <c r="F249" t="s">
        <v>23</v>
      </c>
      <c r="G249">
        <v>220</v>
      </c>
      <c r="H249">
        <v>512</v>
      </c>
      <c r="I249">
        <v>197</v>
      </c>
      <c r="J249">
        <v>535</v>
      </c>
      <c r="K249">
        <v>205</v>
      </c>
      <c r="L249" t="b">
        <v>0</v>
      </c>
      <c r="M249">
        <v>244.45</v>
      </c>
      <c r="N249">
        <v>130781.27</v>
      </c>
      <c r="O249" t="s">
        <v>32</v>
      </c>
    </row>
    <row r="250" spans="1:15">
      <c r="A250" s="1">
        <v>46054</v>
      </c>
      <c r="B250" t="s">
        <v>265</v>
      </c>
      <c r="C250" t="s">
        <v>152</v>
      </c>
      <c r="D250" t="s">
        <v>153</v>
      </c>
      <c r="E250" t="s">
        <v>151</v>
      </c>
      <c r="F250" t="s">
        <v>23</v>
      </c>
      <c r="G250">
        <v>45</v>
      </c>
      <c r="H250">
        <v>140</v>
      </c>
      <c r="I250">
        <v>40</v>
      </c>
      <c r="J250">
        <v>145</v>
      </c>
      <c r="K250">
        <v>58</v>
      </c>
      <c r="L250" t="b">
        <v>0</v>
      </c>
      <c r="M250">
        <v>1208.92</v>
      </c>
      <c r="N250">
        <v>175293.68</v>
      </c>
      <c r="O250" t="s">
        <v>98</v>
      </c>
    </row>
    <row r="251" spans="1:15">
      <c r="A251" s="1">
        <v>46054</v>
      </c>
      <c r="B251" t="s">
        <v>265</v>
      </c>
      <c r="C251" t="s">
        <v>154</v>
      </c>
      <c r="D251" t="s">
        <v>155</v>
      </c>
      <c r="E251" t="s">
        <v>151</v>
      </c>
      <c r="F251" t="s">
        <v>23</v>
      </c>
      <c r="G251">
        <v>190</v>
      </c>
      <c r="H251">
        <v>0</v>
      </c>
      <c r="I251">
        <v>108</v>
      </c>
      <c r="J251">
        <v>82</v>
      </c>
      <c r="K251">
        <v>123</v>
      </c>
      <c r="L251" t="b">
        <v>1</v>
      </c>
      <c r="M251">
        <v>327.16000000000003</v>
      </c>
      <c r="N251">
        <v>26827.51</v>
      </c>
      <c r="O251" t="s">
        <v>60</v>
      </c>
    </row>
    <row r="252" spans="1:15">
      <c r="A252" s="1">
        <v>46054</v>
      </c>
      <c r="B252" t="s">
        <v>265</v>
      </c>
      <c r="C252" t="s">
        <v>156</v>
      </c>
      <c r="D252" t="s">
        <v>157</v>
      </c>
      <c r="E252" t="s">
        <v>151</v>
      </c>
      <c r="F252" t="s">
        <v>23</v>
      </c>
      <c r="G252">
        <v>97</v>
      </c>
      <c r="H252">
        <v>0</v>
      </c>
      <c r="I252">
        <v>40</v>
      </c>
      <c r="J252">
        <v>57</v>
      </c>
      <c r="K252">
        <v>33</v>
      </c>
      <c r="L252" t="b">
        <v>0</v>
      </c>
      <c r="M252">
        <v>1536.44</v>
      </c>
      <c r="N252">
        <v>87576.81</v>
      </c>
      <c r="O252" t="s">
        <v>32</v>
      </c>
    </row>
    <row r="253" spans="1:15">
      <c r="A253" s="1">
        <v>46054</v>
      </c>
      <c r="B253" t="s">
        <v>265</v>
      </c>
      <c r="C253" t="s">
        <v>158</v>
      </c>
      <c r="D253" t="s">
        <v>159</v>
      </c>
      <c r="E253" t="s">
        <v>151</v>
      </c>
      <c r="F253" t="s">
        <v>23</v>
      </c>
      <c r="G253">
        <v>324</v>
      </c>
      <c r="H253">
        <v>0</v>
      </c>
      <c r="I253">
        <v>121</v>
      </c>
      <c r="J253">
        <v>203</v>
      </c>
      <c r="K253">
        <v>164</v>
      </c>
      <c r="L253" t="b">
        <v>0</v>
      </c>
      <c r="M253">
        <v>41.16</v>
      </c>
      <c r="N253">
        <v>8356.24</v>
      </c>
      <c r="O253" t="s">
        <v>37</v>
      </c>
    </row>
    <row r="254" spans="1:15">
      <c r="A254" s="1">
        <v>46054</v>
      </c>
      <c r="B254" t="s">
        <v>265</v>
      </c>
      <c r="C254" t="s">
        <v>160</v>
      </c>
      <c r="D254" t="s">
        <v>161</v>
      </c>
      <c r="E254" t="s">
        <v>151</v>
      </c>
      <c r="F254" t="s">
        <v>23</v>
      </c>
      <c r="G254">
        <v>407</v>
      </c>
      <c r="H254">
        <v>0</v>
      </c>
      <c r="I254">
        <v>261</v>
      </c>
      <c r="J254">
        <v>146</v>
      </c>
      <c r="K254">
        <v>267</v>
      </c>
      <c r="L254" t="b">
        <v>1</v>
      </c>
      <c r="M254">
        <v>214.46</v>
      </c>
      <c r="N254">
        <v>31310.65</v>
      </c>
      <c r="O254" t="s">
        <v>24</v>
      </c>
    </row>
    <row r="255" spans="1:15">
      <c r="A255" s="1">
        <v>46054</v>
      </c>
      <c r="B255" t="s">
        <v>265</v>
      </c>
      <c r="C255" t="s">
        <v>162</v>
      </c>
      <c r="D255" t="s">
        <v>163</v>
      </c>
      <c r="E255" t="s">
        <v>151</v>
      </c>
      <c r="F255" t="s">
        <v>23</v>
      </c>
      <c r="G255">
        <v>219</v>
      </c>
      <c r="H255">
        <v>0</v>
      </c>
      <c r="I255">
        <v>74</v>
      </c>
      <c r="J255">
        <v>145</v>
      </c>
      <c r="K255">
        <v>121</v>
      </c>
      <c r="L255" t="b">
        <v>0</v>
      </c>
      <c r="M255">
        <v>215.87</v>
      </c>
      <c r="N255">
        <v>31301.35</v>
      </c>
      <c r="O255" t="s">
        <v>37</v>
      </c>
    </row>
    <row r="256" spans="1:15">
      <c r="A256" s="1">
        <v>46054</v>
      </c>
      <c r="B256" t="s">
        <v>265</v>
      </c>
      <c r="C256" t="s">
        <v>164</v>
      </c>
      <c r="D256" t="s">
        <v>165</v>
      </c>
      <c r="E256" t="s">
        <v>151</v>
      </c>
      <c r="F256" t="s">
        <v>23</v>
      </c>
      <c r="G256">
        <v>97</v>
      </c>
      <c r="H256">
        <v>0</v>
      </c>
      <c r="I256">
        <v>45</v>
      </c>
      <c r="J256">
        <v>52</v>
      </c>
      <c r="K256">
        <v>77</v>
      </c>
      <c r="L256" t="b">
        <v>1</v>
      </c>
      <c r="M256">
        <v>1045.3499999999999</v>
      </c>
      <c r="N256">
        <v>54358.18</v>
      </c>
      <c r="O256" t="s">
        <v>98</v>
      </c>
    </row>
    <row r="257" spans="1:15">
      <c r="A257" s="1">
        <v>46054</v>
      </c>
      <c r="B257" t="s">
        <v>265</v>
      </c>
      <c r="C257" t="s">
        <v>166</v>
      </c>
      <c r="D257" t="s">
        <v>167</v>
      </c>
      <c r="E257" t="s">
        <v>151</v>
      </c>
      <c r="F257" t="s">
        <v>23</v>
      </c>
      <c r="G257">
        <v>34</v>
      </c>
      <c r="H257">
        <v>0</v>
      </c>
      <c r="I257">
        <v>24</v>
      </c>
      <c r="J257">
        <v>10</v>
      </c>
      <c r="K257">
        <v>23</v>
      </c>
      <c r="L257" t="b">
        <v>1</v>
      </c>
      <c r="M257">
        <v>130.61000000000001</v>
      </c>
      <c r="N257">
        <v>1306.0999999999999</v>
      </c>
      <c r="O257" t="s">
        <v>44</v>
      </c>
    </row>
    <row r="258" spans="1:15">
      <c r="A258" s="1">
        <v>46054</v>
      </c>
      <c r="B258" t="s">
        <v>265</v>
      </c>
      <c r="C258" t="s">
        <v>168</v>
      </c>
      <c r="D258" t="s">
        <v>169</v>
      </c>
      <c r="E258" t="s">
        <v>151</v>
      </c>
      <c r="F258" t="s">
        <v>23</v>
      </c>
      <c r="G258">
        <v>137</v>
      </c>
      <c r="H258">
        <v>0</v>
      </c>
      <c r="I258">
        <v>80</v>
      </c>
      <c r="J258">
        <v>57</v>
      </c>
      <c r="K258">
        <v>105</v>
      </c>
      <c r="L258" t="b">
        <v>1</v>
      </c>
      <c r="M258">
        <v>707.32</v>
      </c>
      <c r="N258">
        <v>40317.1</v>
      </c>
      <c r="O258" t="s">
        <v>27</v>
      </c>
    </row>
    <row r="259" spans="1:15">
      <c r="A259" s="1">
        <v>46054</v>
      </c>
      <c r="B259" t="s">
        <v>265</v>
      </c>
      <c r="C259" t="s">
        <v>170</v>
      </c>
      <c r="D259" t="s">
        <v>171</v>
      </c>
      <c r="E259" t="s">
        <v>151</v>
      </c>
      <c r="F259" t="s">
        <v>23</v>
      </c>
      <c r="G259">
        <v>297</v>
      </c>
      <c r="H259">
        <v>693</v>
      </c>
      <c r="I259">
        <v>259</v>
      </c>
      <c r="J259">
        <v>731</v>
      </c>
      <c r="K259">
        <v>276</v>
      </c>
      <c r="L259" t="b">
        <v>0</v>
      </c>
      <c r="M259">
        <v>3070.76</v>
      </c>
      <c r="N259">
        <v>2244728.59</v>
      </c>
      <c r="O259" t="s">
        <v>47</v>
      </c>
    </row>
    <row r="260" spans="1:15">
      <c r="A260" s="1">
        <v>46054</v>
      </c>
      <c r="B260" t="s">
        <v>265</v>
      </c>
      <c r="C260" t="s">
        <v>174</v>
      </c>
      <c r="D260" t="s">
        <v>175</v>
      </c>
      <c r="E260" t="s">
        <v>151</v>
      </c>
      <c r="F260" t="s">
        <v>23</v>
      </c>
      <c r="G260">
        <v>205</v>
      </c>
      <c r="H260">
        <v>0</v>
      </c>
      <c r="I260">
        <v>176</v>
      </c>
      <c r="J260">
        <v>29</v>
      </c>
      <c r="K260">
        <v>113</v>
      </c>
      <c r="L260" t="b">
        <v>1</v>
      </c>
      <c r="M260">
        <v>2222.7800000000002</v>
      </c>
      <c r="N260">
        <v>64460.73</v>
      </c>
      <c r="O260" t="s">
        <v>27</v>
      </c>
    </row>
    <row r="261" spans="1:15">
      <c r="A261" s="1">
        <v>46054</v>
      </c>
      <c r="B261" t="s">
        <v>265</v>
      </c>
      <c r="C261" t="s">
        <v>176</v>
      </c>
      <c r="D261" t="s">
        <v>177</v>
      </c>
      <c r="E261" t="s">
        <v>151</v>
      </c>
      <c r="F261" t="s">
        <v>23</v>
      </c>
      <c r="G261">
        <v>340</v>
      </c>
      <c r="H261">
        <v>0</v>
      </c>
      <c r="I261">
        <v>123</v>
      </c>
      <c r="J261">
        <v>217</v>
      </c>
      <c r="K261">
        <v>108</v>
      </c>
      <c r="L261" t="b">
        <v>0</v>
      </c>
      <c r="M261">
        <v>65.16</v>
      </c>
      <c r="N261">
        <v>14139.44</v>
      </c>
      <c r="O261" t="s">
        <v>27</v>
      </c>
    </row>
    <row r="262" spans="1:15">
      <c r="A262" s="1">
        <v>46054</v>
      </c>
      <c r="B262" t="s">
        <v>265</v>
      </c>
      <c r="C262" t="s">
        <v>178</v>
      </c>
      <c r="D262" t="s">
        <v>179</v>
      </c>
      <c r="E262" t="s">
        <v>151</v>
      </c>
      <c r="F262" t="s">
        <v>23</v>
      </c>
      <c r="G262">
        <v>331</v>
      </c>
      <c r="H262">
        <v>0</v>
      </c>
      <c r="I262">
        <v>183</v>
      </c>
      <c r="J262">
        <v>148</v>
      </c>
      <c r="K262">
        <v>195</v>
      </c>
      <c r="L262" t="b">
        <v>1</v>
      </c>
      <c r="M262">
        <v>344.06</v>
      </c>
      <c r="N262">
        <v>50920.72</v>
      </c>
      <c r="O262" t="s">
        <v>32</v>
      </c>
    </row>
    <row r="263" spans="1:15">
      <c r="A263" s="1">
        <v>46054</v>
      </c>
      <c r="B263" t="s">
        <v>265</v>
      </c>
      <c r="C263" t="s">
        <v>180</v>
      </c>
      <c r="D263" t="s">
        <v>181</v>
      </c>
      <c r="E263" t="s">
        <v>151</v>
      </c>
      <c r="F263" t="s">
        <v>23</v>
      </c>
      <c r="G263">
        <v>137</v>
      </c>
      <c r="H263">
        <v>320</v>
      </c>
      <c r="I263">
        <v>171</v>
      </c>
      <c r="J263">
        <v>286</v>
      </c>
      <c r="K263">
        <v>179</v>
      </c>
      <c r="L263" t="b">
        <v>0</v>
      </c>
      <c r="M263">
        <v>50</v>
      </c>
      <c r="N263">
        <v>14300.02</v>
      </c>
      <c r="O263" t="s">
        <v>44</v>
      </c>
    </row>
    <row r="264" spans="1:15">
      <c r="A264" s="1">
        <v>46054</v>
      </c>
      <c r="B264" t="s">
        <v>265</v>
      </c>
      <c r="C264" t="s">
        <v>182</v>
      </c>
      <c r="D264" t="s">
        <v>183</v>
      </c>
      <c r="E264" t="s">
        <v>151</v>
      </c>
      <c r="F264" t="s">
        <v>23</v>
      </c>
      <c r="G264">
        <v>337</v>
      </c>
      <c r="H264">
        <v>0</v>
      </c>
      <c r="I264">
        <v>140</v>
      </c>
      <c r="J264">
        <v>197</v>
      </c>
      <c r="K264">
        <v>176</v>
      </c>
      <c r="L264" t="b">
        <v>0</v>
      </c>
      <c r="M264">
        <v>266.51</v>
      </c>
      <c r="N264">
        <v>52502.1</v>
      </c>
      <c r="O264" t="s">
        <v>32</v>
      </c>
    </row>
    <row r="265" spans="1:15">
      <c r="A265" s="1">
        <v>46054</v>
      </c>
      <c r="B265" t="s">
        <v>265</v>
      </c>
      <c r="C265" t="s">
        <v>251</v>
      </c>
      <c r="D265" t="s">
        <v>252</v>
      </c>
      <c r="E265" t="s">
        <v>151</v>
      </c>
      <c r="F265" t="s">
        <v>23</v>
      </c>
      <c r="G265">
        <v>200</v>
      </c>
      <c r="H265">
        <v>0</v>
      </c>
      <c r="I265">
        <v>134</v>
      </c>
      <c r="J265">
        <v>66</v>
      </c>
      <c r="K265">
        <v>125</v>
      </c>
      <c r="L265" t="b">
        <v>1</v>
      </c>
      <c r="M265">
        <v>87.16</v>
      </c>
      <c r="N265">
        <v>5752.68</v>
      </c>
      <c r="O265" t="s">
        <v>44</v>
      </c>
    </row>
    <row r="266" spans="1:15">
      <c r="A266" s="1">
        <v>46054</v>
      </c>
      <c r="B266" t="s">
        <v>265</v>
      </c>
      <c r="C266" t="s">
        <v>184</v>
      </c>
      <c r="D266" t="s">
        <v>185</v>
      </c>
      <c r="E266" t="s">
        <v>151</v>
      </c>
      <c r="F266" t="s">
        <v>23</v>
      </c>
      <c r="G266">
        <v>146</v>
      </c>
      <c r="H266">
        <v>0</v>
      </c>
      <c r="I266">
        <v>81</v>
      </c>
      <c r="J266">
        <v>65</v>
      </c>
      <c r="K266">
        <v>109</v>
      </c>
      <c r="L266" t="b">
        <v>1</v>
      </c>
      <c r="M266">
        <v>414.83</v>
      </c>
      <c r="N266">
        <v>26963.73</v>
      </c>
      <c r="O266" t="s">
        <v>60</v>
      </c>
    </row>
    <row r="267" spans="1:15">
      <c r="A267" s="1">
        <v>46054</v>
      </c>
      <c r="B267" t="s">
        <v>265</v>
      </c>
      <c r="C267" t="s">
        <v>186</v>
      </c>
      <c r="D267" t="s">
        <v>187</v>
      </c>
      <c r="E267" t="s">
        <v>188</v>
      </c>
      <c r="F267" t="s">
        <v>23</v>
      </c>
      <c r="G267">
        <v>178</v>
      </c>
      <c r="H267">
        <v>357</v>
      </c>
      <c r="I267">
        <v>168</v>
      </c>
      <c r="J267">
        <v>367</v>
      </c>
      <c r="K267">
        <v>156</v>
      </c>
      <c r="L267" t="b">
        <v>0</v>
      </c>
      <c r="M267">
        <v>109.44</v>
      </c>
      <c r="N267">
        <v>40163.71</v>
      </c>
      <c r="O267" t="s">
        <v>24</v>
      </c>
    </row>
    <row r="268" spans="1:15">
      <c r="A268" s="1">
        <v>46054</v>
      </c>
      <c r="B268" t="s">
        <v>265</v>
      </c>
      <c r="C268" t="s">
        <v>189</v>
      </c>
      <c r="D268" t="s">
        <v>190</v>
      </c>
      <c r="E268" t="s">
        <v>188</v>
      </c>
      <c r="F268" t="s">
        <v>23</v>
      </c>
      <c r="G268">
        <v>148</v>
      </c>
      <c r="H268">
        <v>0</v>
      </c>
      <c r="I268">
        <v>87</v>
      </c>
      <c r="J268">
        <v>61</v>
      </c>
      <c r="K268">
        <v>119</v>
      </c>
      <c r="L268" t="b">
        <v>1</v>
      </c>
      <c r="M268">
        <v>563.78</v>
      </c>
      <c r="N268">
        <v>34390.29</v>
      </c>
      <c r="O268" t="s">
        <v>98</v>
      </c>
    </row>
    <row r="269" spans="1:15">
      <c r="A269" s="1">
        <v>46054</v>
      </c>
      <c r="B269" t="s">
        <v>265</v>
      </c>
      <c r="C269" t="s">
        <v>191</v>
      </c>
      <c r="D269" t="s">
        <v>192</v>
      </c>
      <c r="E269" t="s">
        <v>188</v>
      </c>
      <c r="F269" t="s">
        <v>23</v>
      </c>
      <c r="G269">
        <v>195</v>
      </c>
      <c r="H269">
        <v>0</v>
      </c>
      <c r="I269">
        <v>77</v>
      </c>
      <c r="J269">
        <v>118</v>
      </c>
      <c r="K269">
        <v>103</v>
      </c>
      <c r="L269" t="b">
        <v>0</v>
      </c>
      <c r="M269">
        <v>101.85</v>
      </c>
      <c r="N269">
        <v>12018.86</v>
      </c>
      <c r="O269" t="s">
        <v>98</v>
      </c>
    </row>
    <row r="270" spans="1:15">
      <c r="A270" s="1">
        <v>46054</v>
      </c>
      <c r="B270" t="s">
        <v>265</v>
      </c>
      <c r="C270" t="s">
        <v>193</v>
      </c>
      <c r="D270" t="s">
        <v>194</v>
      </c>
      <c r="E270" t="s">
        <v>188</v>
      </c>
      <c r="F270" t="s">
        <v>23</v>
      </c>
      <c r="G270">
        <v>374</v>
      </c>
      <c r="H270">
        <v>0</v>
      </c>
      <c r="I270">
        <v>247</v>
      </c>
      <c r="J270">
        <v>127</v>
      </c>
      <c r="K270">
        <v>191</v>
      </c>
      <c r="L270" t="b">
        <v>1</v>
      </c>
      <c r="M270">
        <v>442.39</v>
      </c>
      <c r="N270">
        <v>56183.32</v>
      </c>
      <c r="O270" t="s">
        <v>27</v>
      </c>
    </row>
    <row r="271" spans="1:15">
      <c r="A271" s="1">
        <v>46054</v>
      </c>
      <c r="B271" t="s">
        <v>265</v>
      </c>
      <c r="C271" t="s">
        <v>195</v>
      </c>
      <c r="D271" t="s">
        <v>196</v>
      </c>
      <c r="E271" t="s">
        <v>188</v>
      </c>
      <c r="F271" t="s">
        <v>23</v>
      </c>
      <c r="G271">
        <v>123</v>
      </c>
      <c r="H271">
        <v>241</v>
      </c>
      <c r="I271">
        <v>125</v>
      </c>
      <c r="J271">
        <v>239</v>
      </c>
      <c r="K271">
        <v>90</v>
      </c>
      <c r="L271" t="b">
        <v>0</v>
      </c>
      <c r="M271">
        <v>66.47</v>
      </c>
      <c r="N271">
        <v>15886.54</v>
      </c>
      <c r="O271" t="s">
        <v>47</v>
      </c>
    </row>
    <row r="272" spans="1:15">
      <c r="A272" s="1">
        <v>46054</v>
      </c>
      <c r="B272" t="s">
        <v>265</v>
      </c>
      <c r="C272" t="s">
        <v>253</v>
      </c>
      <c r="D272" t="s">
        <v>254</v>
      </c>
      <c r="E272" t="s">
        <v>188</v>
      </c>
      <c r="F272" t="s">
        <v>23</v>
      </c>
      <c r="G272">
        <v>61</v>
      </c>
      <c r="H272">
        <v>0</v>
      </c>
      <c r="I272">
        <v>32</v>
      </c>
      <c r="J272">
        <v>29</v>
      </c>
      <c r="K272">
        <v>34</v>
      </c>
      <c r="L272" t="b">
        <v>1</v>
      </c>
      <c r="M272">
        <v>329.43</v>
      </c>
      <c r="N272">
        <v>9553.48</v>
      </c>
      <c r="O272" t="s">
        <v>60</v>
      </c>
    </row>
    <row r="273" spans="1:15">
      <c r="A273" s="1">
        <v>46054</v>
      </c>
      <c r="B273" t="s">
        <v>265</v>
      </c>
      <c r="C273" t="s">
        <v>197</v>
      </c>
      <c r="D273" t="s">
        <v>198</v>
      </c>
      <c r="E273" t="s">
        <v>188</v>
      </c>
      <c r="F273" t="s">
        <v>23</v>
      </c>
      <c r="G273">
        <v>86</v>
      </c>
      <c r="H273">
        <v>182</v>
      </c>
      <c r="I273">
        <v>57</v>
      </c>
      <c r="J273">
        <v>211</v>
      </c>
      <c r="K273">
        <v>92</v>
      </c>
      <c r="L273" t="b">
        <v>0</v>
      </c>
      <c r="M273">
        <v>106.2</v>
      </c>
      <c r="N273">
        <v>22408.959999999999</v>
      </c>
      <c r="O273" t="s">
        <v>98</v>
      </c>
    </row>
    <row r="274" spans="1:15">
      <c r="A274" s="1">
        <v>46054</v>
      </c>
      <c r="B274" t="s">
        <v>265</v>
      </c>
      <c r="C274" t="s">
        <v>199</v>
      </c>
      <c r="D274" t="s">
        <v>200</v>
      </c>
      <c r="E274" t="s">
        <v>188</v>
      </c>
      <c r="F274" t="s">
        <v>23</v>
      </c>
      <c r="G274">
        <v>337</v>
      </c>
      <c r="H274">
        <v>318</v>
      </c>
      <c r="I274">
        <v>145</v>
      </c>
      <c r="J274">
        <v>510</v>
      </c>
      <c r="K274">
        <v>135</v>
      </c>
      <c r="L274" t="b">
        <v>0</v>
      </c>
      <c r="M274">
        <v>505.82</v>
      </c>
      <c r="N274">
        <v>257970.48</v>
      </c>
      <c r="O274" t="s">
        <v>98</v>
      </c>
    </row>
    <row r="275" spans="1:15">
      <c r="A275" s="1">
        <v>46054</v>
      </c>
      <c r="B275" t="s">
        <v>265</v>
      </c>
      <c r="C275" t="s">
        <v>201</v>
      </c>
      <c r="D275" t="s">
        <v>202</v>
      </c>
      <c r="E275" t="s">
        <v>188</v>
      </c>
      <c r="F275" t="s">
        <v>23</v>
      </c>
      <c r="G275">
        <v>194</v>
      </c>
      <c r="H275">
        <v>0</v>
      </c>
      <c r="I275">
        <v>194</v>
      </c>
      <c r="J275">
        <v>0</v>
      </c>
      <c r="K275">
        <v>138</v>
      </c>
      <c r="L275" t="b">
        <v>1</v>
      </c>
      <c r="M275">
        <v>859.4</v>
      </c>
      <c r="N275">
        <v>0</v>
      </c>
      <c r="O275" t="s">
        <v>47</v>
      </c>
    </row>
    <row r="276" spans="1:15">
      <c r="A276" s="1">
        <v>46054</v>
      </c>
      <c r="B276" t="s">
        <v>265</v>
      </c>
      <c r="C276" t="s">
        <v>203</v>
      </c>
      <c r="D276" t="s">
        <v>204</v>
      </c>
      <c r="E276" t="s">
        <v>188</v>
      </c>
      <c r="F276" t="s">
        <v>23</v>
      </c>
      <c r="G276">
        <v>612</v>
      </c>
      <c r="H276">
        <v>0</v>
      </c>
      <c r="I276">
        <v>250</v>
      </c>
      <c r="J276">
        <v>362</v>
      </c>
      <c r="K276">
        <v>240</v>
      </c>
      <c r="L276" t="b">
        <v>0</v>
      </c>
      <c r="M276">
        <v>4121.04</v>
      </c>
      <c r="N276">
        <v>1491815.11</v>
      </c>
      <c r="O276" t="s">
        <v>47</v>
      </c>
    </row>
    <row r="277" spans="1:15">
      <c r="A277" s="1">
        <v>46054</v>
      </c>
      <c r="B277" t="s">
        <v>265</v>
      </c>
      <c r="C277" t="s">
        <v>205</v>
      </c>
      <c r="D277" t="s">
        <v>206</v>
      </c>
      <c r="E277" t="s">
        <v>188</v>
      </c>
      <c r="F277" t="s">
        <v>23</v>
      </c>
      <c r="G277">
        <v>173</v>
      </c>
      <c r="H277">
        <v>0</v>
      </c>
      <c r="I277">
        <v>91</v>
      </c>
      <c r="J277">
        <v>82</v>
      </c>
      <c r="K277">
        <v>72</v>
      </c>
      <c r="L277" t="b">
        <v>0</v>
      </c>
      <c r="M277">
        <v>91.5</v>
      </c>
      <c r="N277">
        <v>7502.98</v>
      </c>
      <c r="O277" t="s">
        <v>98</v>
      </c>
    </row>
    <row r="278" spans="1:15">
      <c r="A278" s="1">
        <v>46054</v>
      </c>
      <c r="B278" t="s">
        <v>265</v>
      </c>
      <c r="C278" t="s">
        <v>255</v>
      </c>
      <c r="D278" t="s">
        <v>256</v>
      </c>
      <c r="E278" t="s">
        <v>188</v>
      </c>
      <c r="F278" t="s">
        <v>23</v>
      </c>
      <c r="G278">
        <v>309</v>
      </c>
      <c r="H278">
        <v>467</v>
      </c>
      <c r="I278">
        <v>218</v>
      </c>
      <c r="J278">
        <v>558</v>
      </c>
      <c r="K278">
        <v>168</v>
      </c>
      <c r="L278" t="b">
        <v>0</v>
      </c>
      <c r="M278">
        <v>418.15</v>
      </c>
      <c r="N278">
        <v>233327.07</v>
      </c>
      <c r="O278" t="s">
        <v>37</v>
      </c>
    </row>
    <row r="279" spans="1:15">
      <c r="A279" s="1">
        <v>46054</v>
      </c>
      <c r="B279" t="s">
        <v>265</v>
      </c>
      <c r="C279" t="s">
        <v>207</v>
      </c>
      <c r="D279" t="s">
        <v>208</v>
      </c>
      <c r="E279" t="s">
        <v>188</v>
      </c>
      <c r="F279" t="s">
        <v>23</v>
      </c>
      <c r="G279">
        <v>253</v>
      </c>
      <c r="H279">
        <v>0</v>
      </c>
      <c r="I279">
        <v>117</v>
      </c>
      <c r="J279">
        <v>136</v>
      </c>
      <c r="K279">
        <v>146</v>
      </c>
      <c r="L279" t="b">
        <v>1</v>
      </c>
      <c r="M279">
        <v>78.959999999999994</v>
      </c>
      <c r="N279">
        <v>10738.27</v>
      </c>
      <c r="O279" t="s">
        <v>47</v>
      </c>
    </row>
    <row r="280" spans="1:15">
      <c r="A280" s="1">
        <v>46054</v>
      </c>
      <c r="B280" t="s">
        <v>265</v>
      </c>
      <c r="C280" t="s">
        <v>209</v>
      </c>
      <c r="D280" t="s">
        <v>210</v>
      </c>
      <c r="E280" t="s">
        <v>188</v>
      </c>
      <c r="F280" t="s">
        <v>23</v>
      </c>
      <c r="G280">
        <v>192</v>
      </c>
      <c r="H280">
        <v>0</v>
      </c>
      <c r="I280">
        <v>56</v>
      </c>
      <c r="J280">
        <v>136</v>
      </c>
      <c r="K280">
        <v>97</v>
      </c>
      <c r="L280" t="b">
        <v>0</v>
      </c>
      <c r="M280">
        <v>323.93</v>
      </c>
      <c r="N280">
        <v>44054.65</v>
      </c>
      <c r="O280" t="s">
        <v>37</v>
      </c>
    </row>
    <row r="281" spans="1:15">
      <c r="A281" s="1">
        <v>46054</v>
      </c>
      <c r="B281" t="s">
        <v>265</v>
      </c>
      <c r="C281" t="s">
        <v>266</v>
      </c>
      <c r="D281" t="s">
        <v>267</v>
      </c>
      <c r="E281" t="s">
        <v>188</v>
      </c>
      <c r="F281" t="s">
        <v>23</v>
      </c>
      <c r="G281">
        <v>257</v>
      </c>
      <c r="H281">
        <v>0</v>
      </c>
      <c r="I281">
        <v>82</v>
      </c>
      <c r="J281">
        <v>175</v>
      </c>
      <c r="K281">
        <v>109</v>
      </c>
      <c r="L281" t="b">
        <v>0</v>
      </c>
      <c r="M281">
        <v>104.24</v>
      </c>
      <c r="N281">
        <v>18241.16</v>
      </c>
      <c r="O281" t="s">
        <v>24</v>
      </c>
    </row>
    <row r="282" spans="1:15">
      <c r="A282" s="1">
        <v>46054</v>
      </c>
      <c r="B282" t="s">
        <v>265</v>
      </c>
      <c r="C282" t="s">
        <v>211</v>
      </c>
      <c r="D282" t="s">
        <v>212</v>
      </c>
      <c r="E282" t="s">
        <v>188</v>
      </c>
      <c r="F282" t="s">
        <v>23</v>
      </c>
      <c r="G282">
        <v>170</v>
      </c>
      <c r="H282">
        <v>0</v>
      </c>
      <c r="I282">
        <v>86</v>
      </c>
      <c r="J282">
        <v>84</v>
      </c>
      <c r="K282">
        <v>107</v>
      </c>
      <c r="L282" t="b">
        <v>1</v>
      </c>
      <c r="M282">
        <v>420.68</v>
      </c>
      <c r="N282">
        <v>35337.230000000003</v>
      </c>
      <c r="O282" t="s">
        <v>60</v>
      </c>
    </row>
    <row r="283" spans="1:15">
      <c r="A283" s="1">
        <v>46054</v>
      </c>
      <c r="B283" t="s">
        <v>265</v>
      </c>
      <c r="C283" t="s">
        <v>268</v>
      </c>
      <c r="D283" t="s">
        <v>269</v>
      </c>
      <c r="E283" t="s">
        <v>188</v>
      </c>
      <c r="F283" t="s">
        <v>23</v>
      </c>
      <c r="G283">
        <v>556</v>
      </c>
      <c r="H283">
        <v>0</v>
      </c>
      <c r="I283">
        <v>204</v>
      </c>
      <c r="J283">
        <v>352</v>
      </c>
      <c r="K283">
        <v>231</v>
      </c>
      <c r="L283" t="b">
        <v>0</v>
      </c>
      <c r="M283">
        <v>38.71</v>
      </c>
      <c r="N283">
        <v>13626.86</v>
      </c>
      <c r="O283" t="s">
        <v>47</v>
      </c>
    </row>
    <row r="284" spans="1:15">
      <c r="A284" s="1">
        <v>46054</v>
      </c>
      <c r="B284" t="s">
        <v>265</v>
      </c>
      <c r="C284" t="s">
        <v>270</v>
      </c>
      <c r="D284" t="s">
        <v>271</v>
      </c>
      <c r="E284" t="s">
        <v>188</v>
      </c>
      <c r="F284" t="s">
        <v>23</v>
      </c>
      <c r="G284">
        <v>290</v>
      </c>
      <c r="H284">
        <v>616</v>
      </c>
      <c r="I284">
        <v>214</v>
      </c>
      <c r="J284">
        <v>692</v>
      </c>
      <c r="K284">
        <v>275</v>
      </c>
      <c r="L284" t="b">
        <v>0</v>
      </c>
      <c r="M284">
        <v>184.34</v>
      </c>
      <c r="N284">
        <v>127560.31</v>
      </c>
      <c r="O284" t="s">
        <v>24</v>
      </c>
    </row>
    <row r="285" spans="1:15">
      <c r="A285" s="1">
        <v>46054</v>
      </c>
      <c r="B285" t="s">
        <v>265</v>
      </c>
      <c r="C285" t="s">
        <v>213</v>
      </c>
      <c r="D285" t="s">
        <v>214</v>
      </c>
      <c r="E285" t="s">
        <v>188</v>
      </c>
      <c r="F285" t="s">
        <v>23</v>
      </c>
      <c r="G285">
        <v>149</v>
      </c>
      <c r="H285">
        <v>401</v>
      </c>
      <c r="I285">
        <v>103</v>
      </c>
      <c r="J285">
        <v>447</v>
      </c>
      <c r="K285">
        <v>97</v>
      </c>
      <c r="L285" t="b">
        <v>0</v>
      </c>
      <c r="M285">
        <v>328.65</v>
      </c>
      <c r="N285">
        <v>146905.10999999999</v>
      </c>
      <c r="O285" t="s">
        <v>44</v>
      </c>
    </row>
    <row r="286" spans="1:15">
      <c r="A286" s="1">
        <v>46054</v>
      </c>
      <c r="B286" t="s">
        <v>265</v>
      </c>
      <c r="C286" t="s">
        <v>217</v>
      </c>
      <c r="D286" t="s">
        <v>218</v>
      </c>
      <c r="E286" t="s">
        <v>219</v>
      </c>
      <c r="F286" t="s">
        <v>23</v>
      </c>
      <c r="G286">
        <v>248</v>
      </c>
      <c r="H286">
        <v>0</v>
      </c>
      <c r="I286">
        <v>69</v>
      </c>
      <c r="J286">
        <v>179</v>
      </c>
      <c r="K286">
        <v>125</v>
      </c>
      <c r="L286" t="b">
        <v>0</v>
      </c>
      <c r="M286">
        <v>18.059999999999999</v>
      </c>
      <c r="N286">
        <v>3231.99</v>
      </c>
      <c r="O286" t="s">
        <v>37</v>
      </c>
    </row>
    <row r="287" spans="1:15">
      <c r="A287" s="1">
        <v>46054</v>
      </c>
      <c r="B287" t="s">
        <v>265</v>
      </c>
      <c r="C287" t="s">
        <v>220</v>
      </c>
      <c r="D287" t="s">
        <v>221</v>
      </c>
      <c r="E287" t="s">
        <v>219</v>
      </c>
      <c r="F287" t="s">
        <v>23</v>
      </c>
      <c r="G287">
        <v>108</v>
      </c>
      <c r="H287">
        <v>186</v>
      </c>
      <c r="I287">
        <v>62</v>
      </c>
      <c r="J287">
        <v>232</v>
      </c>
      <c r="K287">
        <v>101</v>
      </c>
      <c r="L287" t="b">
        <v>0</v>
      </c>
      <c r="M287">
        <v>90.92</v>
      </c>
      <c r="N287">
        <v>21094.51</v>
      </c>
      <c r="O287" t="s">
        <v>60</v>
      </c>
    </row>
    <row r="288" spans="1:15">
      <c r="A288" s="1">
        <v>46054</v>
      </c>
      <c r="B288" t="s">
        <v>265</v>
      </c>
      <c r="C288" t="s">
        <v>222</v>
      </c>
      <c r="D288" t="s">
        <v>223</v>
      </c>
      <c r="E288" t="s">
        <v>219</v>
      </c>
      <c r="F288" t="s">
        <v>23</v>
      </c>
      <c r="G288">
        <v>278</v>
      </c>
      <c r="H288">
        <v>0</v>
      </c>
      <c r="I288">
        <v>228</v>
      </c>
      <c r="J288">
        <v>50</v>
      </c>
      <c r="K288">
        <v>168</v>
      </c>
      <c r="L288" t="b">
        <v>1</v>
      </c>
      <c r="M288">
        <v>44.76</v>
      </c>
      <c r="N288">
        <v>2237.88</v>
      </c>
      <c r="O288" t="s">
        <v>37</v>
      </c>
    </row>
    <row r="289" spans="1:15">
      <c r="A289" s="1">
        <v>46054</v>
      </c>
      <c r="B289" t="s">
        <v>265</v>
      </c>
      <c r="C289" t="s">
        <v>224</v>
      </c>
      <c r="D289" t="s">
        <v>225</v>
      </c>
      <c r="E289" t="s">
        <v>219</v>
      </c>
      <c r="F289" t="s">
        <v>23</v>
      </c>
      <c r="G289">
        <v>198</v>
      </c>
      <c r="H289">
        <v>0</v>
      </c>
      <c r="I289">
        <v>132</v>
      </c>
      <c r="J289">
        <v>66</v>
      </c>
      <c r="K289">
        <v>160</v>
      </c>
      <c r="L289" t="b">
        <v>1</v>
      </c>
      <c r="M289">
        <v>205.4</v>
      </c>
      <c r="N289">
        <v>13556.44</v>
      </c>
      <c r="O289" t="s">
        <v>44</v>
      </c>
    </row>
    <row r="290" spans="1:15">
      <c r="A290" s="1">
        <v>46054</v>
      </c>
      <c r="B290" t="s">
        <v>265</v>
      </c>
      <c r="C290" t="s">
        <v>272</v>
      </c>
      <c r="D290" t="s">
        <v>273</v>
      </c>
      <c r="E290" t="s">
        <v>219</v>
      </c>
      <c r="F290" t="s">
        <v>23</v>
      </c>
      <c r="G290">
        <v>267</v>
      </c>
      <c r="H290">
        <v>0</v>
      </c>
      <c r="I290">
        <v>108</v>
      </c>
      <c r="J290">
        <v>159</v>
      </c>
      <c r="K290">
        <v>115</v>
      </c>
      <c r="L290" t="b">
        <v>0</v>
      </c>
      <c r="M290">
        <v>1777.26</v>
      </c>
      <c r="N290">
        <v>282584.7</v>
      </c>
      <c r="O290" t="s">
        <v>98</v>
      </c>
    </row>
    <row r="291" spans="1:15">
      <c r="A291" s="1">
        <v>46054</v>
      </c>
      <c r="B291" t="s">
        <v>265</v>
      </c>
      <c r="C291" t="s">
        <v>228</v>
      </c>
      <c r="D291" t="s">
        <v>229</v>
      </c>
      <c r="E291" t="s">
        <v>219</v>
      </c>
      <c r="F291" t="s">
        <v>23</v>
      </c>
      <c r="G291">
        <v>423</v>
      </c>
      <c r="H291">
        <v>0</v>
      </c>
      <c r="I291">
        <v>208</v>
      </c>
      <c r="J291">
        <v>215</v>
      </c>
      <c r="K291">
        <v>233</v>
      </c>
      <c r="L291" t="b">
        <v>1</v>
      </c>
      <c r="M291">
        <v>40.74</v>
      </c>
      <c r="N291">
        <v>8759.06</v>
      </c>
      <c r="O291" t="s">
        <v>44</v>
      </c>
    </row>
    <row r="292" spans="1:15">
      <c r="A292" s="1">
        <v>46054</v>
      </c>
      <c r="B292" t="s">
        <v>265</v>
      </c>
      <c r="C292" t="s">
        <v>230</v>
      </c>
      <c r="D292" t="s">
        <v>231</v>
      </c>
      <c r="E292" t="s">
        <v>219</v>
      </c>
      <c r="F292" t="s">
        <v>23</v>
      </c>
      <c r="G292">
        <v>288</v>
      </c>
      <c r="H292">
        <v>0</v>
      </c>
      <c r="I292">
        <v>91</v>
      </c>
      <c r="J292">
        <v>197</v>
      </c>
      <c r="K292">
        <v>165</v>
      </c>
      <c r="L292" t="b">
        <v>0</v>
      </c>
      <c r="M292">
        <v>218.43</v>
      </c>
      <c r="N292">
        <v>43031.32</v>
      </c>
      <c r="O292" t="s">
        <v>32</v>
      </c>
    </row>
    <row r="293" spans="1:15">
      <c r="A293" s="1">
        <v>46054</v>
      </c>
      <c r="B293" t="s">
        <v>265</v>
      </c>
      <c r="C293" t="s">
        <v>232</v>
      </c>
      <c r="D293" t="s">
        <v>233</v>
      </c>
      <c r="E293" t="s">
        <v>219</v>
      </c>
      <c r="F293" t="s">
        <v>23</v>
      </c>
      <c r="G293">
        <v>289</v>
      </c>
      <c r="H293">
        <v>0</v>
      </c>
      <c r="I293">
        <v>82</v>
      </c>
      <c r="J293">
        <v>207</v>
      </c>
      <c r="K293">
        <v>174</v>
      </c>
      <c r="L293" t="b">
        <v>0</v>
      </c>
      <c r="M293">
        <v>149.46</v>
      </c>
      <c r="N293">
        <v>30937.47</v>
      </c>
      <c r="O293" t="s">
        <v>32</v>
      </c>
    </row>
    <row r="294" spans="1:15">
      <c r="A294" s="1">
        <v>46054</v>
      </c>
      <c r="B294" t="s">
        <v>265</v>
      </c>
      <c r="C294" t="s">
        <v>234</v>
      </c>
      <c r="D294" t="s">
        <v>235</v>
      </c>
      <c r="E294" t="s">
        <v>219</v>
      </c>
      <c r="F294" t="s">
        <v>23</v>
      </c>
      <c r="G294">
        <v>386</v>
      </c>
      <c r="H294">
        <v>0</v>
      </c>
      <c r="I294">
        <v>120</v>
      </c>
      <c r="J294">
        <v>266</v>
      </c>
      <c r="K294">
        <v>177</v>
      </c>
      <c r="L294" t="b">
        <v>0</v>
      </c>
      <c r="M294">
        <v>2223.5</v>
      </c>
      <c r="N294">
        <v>591449.91</v>
      </c>
      <c r="O294" t="s">
        <v>47</v>
      </c>
    </row>
    <row r="295" spans="1:15">
      <c r="A295" s="1">
        <v>46054</v>
      </c>
      <c r="B295" t="s">
        <v>265</v>
      </c>
      <c r="C295" t="s">
        <v>261</v>
      </c>
      <c r="D295" t="s">
        <v>262</v>
      </c>
      <c r="E295" t="s">
        <v>219</v>
      </c>
      <c r="F295" t="s">
        <v>23</v>
      </c>
      <c r="G295">
        <v>447</v>
      </c>
      <c r="H295">
        <v>462</v>
      </c>
      <c r="I295">
        <v>194</v>
      </c>
      <c r="J295">
        <v>715</v>
      </c>
      <c r="K295">
        <v>127</v>
      </c>
      <c r="L295" t="b">
        <v>0</v>
      </c>
      <c r="M295">
        <v>276.58999999999997</v>
      </c>
      <c r="N295">
        <v>197764.52</v>
      </c>
      <c r="O295" t="s">
        <v>60</v>
      </c>
    </row>
    <row r="296" spans="1:15">
      <c r="A296" s="1">
        <v>46054</v>
      </c>
      <c r="B296" t="s">
        <v>265</v>
      </c>
      <c r="C296" t="s">
        <v>274</v>
      </c>
      <c r="D296" t="s">
        <v>275</v>
      </c>
      <c r="E296" t="s">
        <v>219</v>
      </c>
      <c r="F296" t="s">
        <v>23</v>
      </c>
      <c r="G296">
        <v>24</v>
      </c>
      <c r="H296">
        <v>0</v>
      </c>
      <c r="I296">
        <v>16</v>
      </c>
      <c r="J296">
        <v>8</v>
      </c>
      <c r="K296">
        <v>19</v>
      </c>
      <c r="L296" t="b">
        <v>1</v>
      </c>
      <c r="M296">
        <v>228.38</v>
      </c>
      <c r="N296">
        <v>1827.06</v>
      </c>
      <c r="O296" t="s">
        <v>60</v>
      </c>
    </row>
    <row r="297" spans="1:15">
      <c r="A297" s="1">
        <v>46054</v>
      </c>
      <c r="B297" t="s">
        <v>265</v>
      </c>
      <c r="C297" t="s">
        <v>236</v>
      </c>
      <c r="D297" t="s">
        <v>237</v>
      </c>
      <c r="E297" t="s">
        <v>219</v>
      </c>
      <c r="F297" t="s">
        <v>23</v>
      </c>
      <c r="G297">
        <v>281</v>
      </c>
      <c r="H297">
        <v>0</v>
      </c>
      <c r="I297">
        <v>77</v>
      </c>
      <c r="J297">
        <v>204</v>
      </c>
      <c r="K297">
        <v>133</v>
      </c>
      <c r="L297" t="b">
        <v>0</v>
      </c>
      <c r="M297">
        <v>1087.46</v>
      </c>
      <c r="N297">
        <v>221841.49</v>
      </c>
      <c r="O297" t="s">
        <v>98</v>
      </c>
    </row>
    <row r="298" spans="1:15">
      <c r="A298" s="1">
        <v>46054</v>
      </c>
      <c r="B298" t="s">
        <v>265</v>
      </c>
      <c r="C298" t="s">
        <v>263</v>
      </c>
      <c r="D298" t="s">
        <v>264</v>
      </c>
      <c r="E298" t="s">
        <v>219</v>
      </c>
      <c r="F298" t="s">
        <v>23</v>
      </c>
      <c r="G298">
        <v>211</v>
      </c>
      <c r="H298">
        <v>491</v>
      </c>
      <c r="I298">
        <v>210</v>
      </c>
      <c r="J298">
        <v>492</v>
      </c>
      <c r="K298">
        <v>139</v>
      </c>
      <c r="L298" t="b">
        <v>0</v>
      </c>
      <c r="M298">
        <v>32.950000000000003</v>
      </c>
      <c r="N298">
        <v>16212.08</v>
      </c>
      <c r="O298" t="s">
        <v>27</v>
      </c>
    </row>
    <row r="299" spans="1:15">
      <c r="A299" s="1">
        <v>46054</v>
      </c>
      <c r="B299" t="s">
        <v>265</v>
      </c>
      <c r="C299" t="s">
        <v>238</v>
      </c>
      <c r="D299" t="s">
        <v>239</v>
      </c>
      <c r="E299" t="s">
        <v>219</v>
      </c>
      <c r="F299" t="s">
        <v>23</v>
      </c>
      <c r="G299">
        <v>167</v>
      </c>
      <c r="H299">
        <v>0</v>
      </c>
      <c r="I299">
        <v>114</v>
      </c>
      <c r="J299">
        <v>53</v>
      </c>
      <c r="K299">
        <v>103</v>
      </c>
      <c r="L299" t="b">
        <v>1</v>
      </c>
      <c r="M299">
        <v>155</v>
      </c>
      <c r="N299">
        <v>8215.15</v>
      </c>
      <c r="O299" t="s">
        <v>32</v>
      </c>
    </row>
    <row r="300" spans="1:15">
      <c r="A300" s="1">
        <v>46054</v>
      </c>
      <c r="B300" t="s">
        <v>265</v>
      </c>
      <c r="C300" t="s">
        <v>240</v>
      </c>
      <c r="D300" t="s">
        <v>241</v>
      </c>
      <c r="E300" t="s">
        <v>219</v>
      </c>
      <c r="F300" t="s">
        <v>23</v>
      </c>
      <c r="G300">
        <v>85</v>
      </c>
      <c r="H300">
        <v>138</v>
      </c>
      <c r="I300">
        <v>52</v>
      </c>
      <c r="J300">
        <v>171</v>
      </c>
      <c r="K300">
        <v>72</v>
      </c>
      <c r="L300" t="b">
        <v>0</v>
      </c>
      <c r="M300">
        <v>58.25</v>
      </c>
      <c r="N300">
        <v>9961</v>
      </c>
      <c r="O300" t="s">
        <v>27</v>
      </c>
    </row>
    <row r="301" spans="1:15">
      <c r="A301" s="1">
        <v>46054</v>
      </c>
      <c r="B301" t="s">
        <v>265</v>
      </c>
      <c r="C301" t="s">
        <v>242</v>
      </c>
      <c r="D301" t="s">
        <v>243</v>
      </c>
      <c r="E301" t="s">
        <v>219</v>
      </c>
      <c r="F301" t="s">
        <v>23</v>
      </c>
      <c r="G301">
        <v>396</v>
      </c>
      <c r="H301">
        <v>0</v>
      </c>
      <c r="I301">
        <v>287</v>
      </c>
      <c r="J301">
        <v>109</v>
      </c>
      <c r="K301">
        <v>226</v>
      </c>
      <c r="L301" t="b">
        <v>1</v>
      </c>
      <c r="M301">
        <v>286.67</v>
      </c>
      <c r="N301">
        <v>31247.13</v>
      </c>
      <c r="O301" t="s">
        <v>60</v>
      </c>
    </row>
    <row r="302" spans="1:15">
      <c r="A302" s="1">
        <v>46054</v>
      </c>
      <c r="B302" t="s">
        <v>276</v>
      </c>
      <c r="C302" t="s">
        <v>20</v>
      </c>
      <c r="D302" t="s">
        <v>21</v>
      </c>
      <c r="E302" t="s">
        <v>22</v>
      </c>
      <c r="F302" t="s">
        <v>23</v>
      </c>
      <c r="G302">
        <v>209</v>
      </c>
      <c r="H302">
        <v>0</v>
      </c>
      <c r="I302">
        <v>143</v>
      </c>
      <c r="J302">
        <v>66</v>
      </c>
      <c r="K302">
        <v>130</v>
      </c>
      <c r="L302" t="b">
        <v>1</v>
      </c>
      <c r="M302">
        <v>263.02</v>
      </c>
      <c r="N302">
        <v>17359.349999999999</v>
      </c>
      <c r="O302" t="s">
        <v>24</v>
      </c>
    </row>
    <row r="303" spans="1:15">
      <c r="A303" s="1">
        <v>46054</v>
      </c>
      <c r="B303" t="s">
        <v>276</v>
      </c>
      <c r="C303" t="s">
        <v>25</v>
      </c>
      <c r="D303" t="s">
        <v>26</v>
      </c>
      <c r="E303" t="s">
        <v>22</v>
      </c>
      <c r="F303" t="s">
        <v>23</v>
      </c>
      <c r="G303">
        <v>97</v>
      </c>
      <c r="H303">
        <v>163</v>
      </c>
      <c r="I303">
        <v>77</v>
      </c>
      <c r="J303">
        <v>183</v>
      </c>
      <c r="K303">
        <v>90</v>
      </c>
      <c r="L303" t="b">
        <v>0</v>
      </c>
      <c r="M303">
        <v>1145.53</v>
      </c>
      <c r="N303">
        <v>209631.95</v>
      </c>
      <c r="O303" t="s">
        <v>27</v>
      </c>
    </row>
    <row r="304" spans="1:15">
      <c r="A304" s="1">
        <v>46054</v>
      </c>
      <c r="B304" t="s">
        <v>276</v>
      </c>
      <c r="C304" t="s">
        <v>28</v>
      </c>
      <c r="D304" t="s">
        <v>29</v>
      </c>
      <c r="E304" t="s">
        <v>22</v>
      </c>
      <c r="F304" t="s">
        <v>23</v>
      </c>
      <c r="G304">
        <v>93</v>
      </c>
      <c r="H304">
        <v>0</v>
      </c>
      <c r="I304">
        <v>69</v>
      </c>
      <c r="J304">
        <v>24</v>
      </c>
      <c r="K304">
        <v>74</v>
      </c>
      <c r="L304" t="b">
        <v>1</v>
      </c>
      <c r="M304">
        <v>87.28</v>
      </c>
      <c r="N304">
        <v>2094.6799999999998</v>
      </c>
      <c r="O304" t="s">
        <v>24</v>
      </c>
    </row>
    <row r="305" spans="1:15">
      <c r="A305" s="1">
        <v>46054</v>
      </c>
      <c r="B305" t="s">
        <v>276</v>
      </c>
      <c r="C305" t="s">
        <v>30</v>
      </c>
      <c r="D305" t="s">
        <v>31</v>
      </c>
      <c r="E305" t="s">
        <v>22</v>
      </c>
      <c r="F305" t="s">
        <v>23</v>
      </c>
      <c r="G305">
        <v>319</v>
      </c>
      <c r="H305">
        <v>444</v>
      </c>
      <c r="I305">
        <v>247</v>
      </c>
      <c r="J305">
        <v>516</v>
      </c>
      <c r="K305">
        <v>280</v>
      </c>
      <c r="L305" t="b">
        <v>0</v>
      </c>
      <c r="M305">
        <v>382.69</v>
      </c>
      <c r="N305">
        <v>197468.65</v>
      </c>
      <c r="O305" t="s">
        <v>32</v>
      </c>
    </row>
    <row r="306" spans="1:15">
      <c r="A306" s="1">
        <v>46054</v>
      </c>
      <c r="B306" t="s">
        <v>276</v>
      </c>
      <c r="C306" t="s">
        <v>33</v>
      </c>
      <c r="D306" t="s">
        <v>34</v>
      </c>
      <c r="E306" t="s">
        <v>22</v>
      </c>
      <c r="F306" t="s">
        <v>23</v>
      </c>
      <c r="G306">
        <v>455</v>
      </c>
      <c r="H306">
        <v>0</v>
      </c>
      <c r="I306">
        <v>170</v>
      </c>
      <c r="J306">
        <v>285</v>
      </c>
      <c r="K306">
        <v>163</v>
      </c>
      <c r="L306" t="b">
        <v>0</v>
      </c>
      <c r="M306">
        <v>127.64</v>
      </c>
      <c r="N306">
        <v>36377.699999999997</v>
      </c>
      <c r="O306" t="s">
        <v>24</v>
      </c>
    </row>
    <row r="307" spans="1:15">
      <c r="A307" s="1">
        <v>46054</v>
      </c>
      <c r="B307" t="s">
        <v>276</v>
      </c>
      <c r="C307" t="s">
        <v>35</v>
      </c>
      <c r="D307" t="s">
        <v>36</v>
      </c>
      <c r="E307" t="s">
        <v>22</v>
      </c>
      <c r="F307" t="s">
        <v>23</v>
      </c>
      <c r="G307">
        <v>333</v>
      </c>
      <c r="H307">
        <v>617</v>
      </c>
      <c r="I307">
        <v>210</v>
      </c>
      <c r="J307">
        <v>740</v>
      </c>
      <c r="K307">
        <v>287</v>
      </c>
      <c r="L307" t="b">
        <v>0</v>
      </c>
      <c r="M307">
        <v>528.54999999999995</v>
      </c>
      <c r="N307">
        <v>391130.25</v>
      </c>
      <c r="O307" t="s">
        <v>37</v>
      </c>
    </row>
    <row r="308" spans="1:15">
      <c r="A308" s="1">
        <v>46054</v>
      </c>
      <c r="B308" t="s">
        <v>276</v>
      </c>
      <c r="C308" t="s">
        <v>40</v>
      </c>
      <c r="D308" t="s">
        <v>41</v>
      </c>
      <c r="E308" t="s">
        <v>22</v>
      </c>
      <c r="F308" t="s">
        <v>23</v>
      </c>
      <c r="G308">
        <v>304</v>
      </c>
      <c r="H308">
        <v>0</v>
      </c>
      <c r="I308">
        <v>177</v>
      </c>
      <c r="J308">
        <v>127</v>
      </c>
      <c r="K308">
        <v>168</v>
      </c>
      <c r="L308" t="b">
        <v>1</v>
      </c>
      <c r="M308">
        <v>328.19</v>
      </c>
      <c r="N308">
        <v>41680.720000000001</v>
      </c>
      <c r="O308" t="s">
        <v>24</v>
      </c>
    </row>
    <row r="309" spans="1:15">
      <c r="A309" s="1">
        <v>46054</v>
      </c>
      <c r="B309" t="s">
        <v>276</v>
      </c>
      <c r="C309" t="s">
        <v>42</v>
      </c>
      <c r="D309" t="s">
        <v>43</v>
      </c>
      <c r="E309" t="s">
        <v>22</v>
      </c>
      <c r="F309" t="s">
        <v>23</v>
      </c>
      <c r="G309">
        <v>235</v>
      </c>
      <c r="H309">
        <v>0</v>
      </c>
      <c r="I309">
        <v>153</v>
      </c>
      <c r="J309">
        <v>82</v>
      </c>
      <c r="K309">
        <v>106</v>
      </c>
      <c r="L309" t="b">
        <v>1</v>
      </c>
      <c r="M309">
        <v>173.86</v>
      </c>
      <c r="N309">
        <v>14256.25</v>
      </c>
      <c r="O309" t="s">
        <v>44</v>
      </c>
    </row>
    <row r="310" spans="1:15">
      <c r="A310" s="1">
        <v>46054</v>
      </c>
      <c r="B310" t="s">
        <v>276</v>
      </c>
      <c r="C310" t="s">
        <v>45</v>
      </c>
      <c r="D310" t="s">
        <v>46</v>
      </c>
      <c r="E310" t="s">
        <v>22</v>
      </c>
      <c r="F310" t="s">
        <v>23</v>
      </c>
      <c r="G310">
        <v>351</v>
      </c>
      <c r="H310">
        <v>0</v>
      </c>
      <c r="I310">
        <v>109</v>
      </c>
      <c r="J310">
        <v>242</v>
      </c>
      <c r="K310">
        <v>141</v>
      </c>
      <c r="L310" t="b">
        <v>0</v>
      </c>
      <c r="M310">
        <v>748.78</v>
      </c>
      <c r="N310">
        <v>181205.11</v>
      </c>
      <c r="O310" t="s">
        <v>47</v>
      </c>
    </row>
    <row r="311" spans="1:15">
      <c r="A311" s="1">
        <v>46054</v>
      </c>
      <c r="B311" t="s">
        <v>276</v>
      </c>
      <c r="C311" t="s">
        <v>48</v>
      </c>
      <c r="D311" t="s">
        <v>49</v>
      </c>
      <c r="E311" t="s">
        <v>22</v>
      </c>
      <c r="F311" t="s">
        <v>23</v>
      </c>
      <c r="G311">
        <v>133</v>
      </c>
      <c r="H311">
        <v>0</v>
      </c>
      <c r="I311">
        <v>70</v>
      </c>
      <c r="J311">
        <v>63</v>
      </c>
      <c r="K311">
        <v>82</v>
      </c>
      <c r="L311" t="b">
        <v>1</v>
      </c>
      <c r="M311">
        <v>61.66</v>
      </c>
      <c r="N311">
        <v>3884.29</v>
      </c>
      <c r="O311" t="s">
        <v>44</v>
      </c>
    </row>
    <row r="312" spans="1:15">
      <c r="A312" s="1">
        <v>46054</v>
      </c>
      <c r="B312" t="s">
        <v>276</v>
      </c>
      <c r="C312" t="s">
        <v>50</v>
      </c>
      <c r="D312" t="s">
        <v>51</v>
      </c>
      <c r="E312" t="s">
        <v>22</v>
      </c>
      <c r="F312" t="s">
        <v>23</v>
      </c>
      <c r="G312">
        <v>62</v>
      </c>
      <c r="H312">
        <v>0</v>
      </c>
      <c r="I312">
        <v>33</v>
      </c>
      <c r="J312">
        <v>29</v>
      </c>
      <c r="K312">
        <v>28</v>
      </c>
      <c r="L312" t="b">
        <v>0</v>
      </c>
      <c r="M312">
        <v>253.95</v>
      </c>
      <c r="N312">
        <v>7364.55</v>
      </c>
      <c r="O312" t="s">
        <v>24</v>
      </c>
    </row>
    <row r="313" spans="1:15">
      <c r="A313" s="1">
        <v>46054</v>
      </c>
      <c r="B313" t="s">
        <v>276</v>
      </c>
      <c r="C313" t="s">
        <v>52</v>
      </c>
      <c r="D313" t="s">
        <v>53</v>
      </c>
      <c r="E313" t="s">
        <v>22</v>
      </c>
      <c r="F313" t="s">
        <v>23</v>
      </c>
      <c r="G313">
        <v>363</v>
      </c>
      <c r="H313">
        <v>0</v>
      </c>
      <c r="I313">
        <v>220</v>
      </c>
      <c r="J313">
        <v>143</v>
      </c>
      <c r="K313">
        <v>139</v>
      </c>
      <c r="L313" t="b">
        <v>0</v>
      </c>
      <c r="M313">
        <v>59.72</v>
      </c>
      <c r="N313">
        <v>8539.9699999999993</v>
      </c>
      <c r="O313" t="s">
        <v>47</v>
      </c>
    </row>
    <row r="314" spans="1:15">
      <c r="A314" s="1">
        <v>46054</v>
      </c>
      <c r="B314" t="s">
        <v>276</v>
      </c>
      <c r="C314" t="s">
        <v>54</v>
      </c>
      <c r="D314" t="s">
        <v>55</v>
      </c>
      <c r="E314" t="s">
        <v>22</v>
      </c>
      <c r="F314" t="s">
        <v>23</v>
      </c>
      <c r="G314">
        <v>271</v>
      </c>
      <c r="H314">
        <v>0</v>
      </c>
      <c r="I314">
        <v>90</v>
      </c>
      <c r="J314">
        <v>181</v>
      </c>
      <c r="K314">
        <v>143</v>
      </c>
      <c r="L314" t="b">
        <v>0</v>
      </c>
      <c r="M314">
        <v>251.86</v>
      </c>
      <c r="N314">
        <v>45586.46</v>
      </c>
      <c r="O314" t="s">
        <v>44</v>
      </c>
    </row>
    <row r="315" spans="1:15">
      <c r="A315" s="1">
        <v>46054</v>
      </c>
      <c r="B315" t="s">
        <v>276</v>
      </c>
      <c r="C315" t="s">
        <v>56</v>
      </c>
      <c r="D315" t="s">
        <v>57</v>
      </c>
      <c r="E315" t="s">
        <v>22</v>
      </c>
      <c r="F315" t="s">
        <v>23</v>
      </c>
      <c r="G315">
        <v>91</v>
      </c>
      <c r="H315">
        <v>115</v>
      </c>
      <c r="I315">
        <v>72</v>
      </c>
      <c r="J315">
        <v>134</v>
      </c>
      <c r="K315">
        <v>82</v>
      </c>
      <c r="L315" t="b">
        <v>0</v>
      </c>
      <c r="M315">
        <v>463.13</v>
      </c>
      <c r="N315">
        <v>62059.53</v>
      </c>
      <c r="O315" t="s">
        <v>24</v>
      </c>
    </row>
    <row r="316" spans="1:15">
      <c r="A316" s="1">
        <v>46054</v>
      </c>
      <c r="B316" t="s">
        <v>276</v>
      </c>
      <c r="C316" t="s">
        <v>58</v>
      </c>
      <c r="D316" t="s">
        <v>59</v>
      </c>
      <c r="E316" t="s">
        <v>22</v>
      </c>
      <c r="F316" t="s">
        <v>23</v>
      </c>
      <c r="G316">
        <v>432</v>
      </c>
      <c r="H316">
        <v>618</v>
      </c>
      <c r="I316">
        <v>196</v>
      </c>
      <c r="J316">
        <v>854</v>
      </c>
      <c r="K316">
        <v>173</v>
      </c>
      <c r="L316" t="b">
        <v>0</v>
      </c>
      <c r="M316">
        <v>2084.5500000000002</v>
      </c>
      <c r="N316">
        <v>1780208.3</v>
      </c>
      <c r="O316" t="s">
        <v>60</v>
      </c>
    </row>
    <row r="317" spans="1:15">
      <c r="A317" s="1">
        <v>46054</v>
      </c>
      <c r="B317" t="s">
        <v>276</v>
      </c>
      <c r="C317" t="s">
        <v>61</v>
      </c>
      <c r="D317" t="s">
        <v>62</v>
      </c>
      <c r="E317" t="s">
        <v>22</v>
      </c>
      <c r="F317" t="s">
        <v>23</v>
      </c>
      <c r="G317">
        <v>461</v>
      </c>
      <c r="H317">
        <v>0</v>
      </c>
      <c r="I317">
        <v>144</v>
      </c>
      <c r="J317">
        <v>317</v>
      </c>
      <c r="K317">
        <v>237</v>
      </c>
      <c r="L317" t="b">
        <v>0</v>
      </c>
      <c r="M317">
        <v>23.38</v>
      </c>
      <c r="N317">
        <v>7409.98</v>
      </c>
      <c r="O317" t="s">
        <v>44</v>
      </c>
    </row>
    <row r="318" spans="1:15">
      <c r="A318" s="1">
        <v>46054</v>
      </c>
      <c r="B318" t="s">
        <v>276</v>
      </c>
      <c r="C318" t="s">
        <v>63</v>
      </c>
      <c r="D318" t="s">
        <v>64</v>
      </c>
      <c r="E318" t="s">
        <v>22</v>
      </c>
      <c r="F318" t="s">
        <v>23</v>
      </c>
      <c r="G318">
        <v>556</v>
      </c>
      <c r="H318">
        <v>0</v>
      </c>
      <c r="I318">
        <v>113</v>
      </c>
      <c r="J318">
        <v>443</v>
      </c>
      <c r="K318">
        <v>180</v>
      </c>
      <c r="L318" t="b">
        <v>0</v>
      </c>
      <c r="M318">
        <v>126.43</v>
      </c>
      <c r="N318">
        <v>56010.68</v>
      </c>
      <c r="O318" t="s">
        <v>47</v>
      </c>
    </row>
    <row r="319" spans="1:15">
      <c r="A319" s="1">
        <v>46054</v>
      </c>
      <c r="B319" t="s">
        <v>276</v>
      </c>
      <c r="C319" t="s">
        <v>65</v>
      </c>
      <c r="D319" t="s">
        <v>66</v>
      </c>
      <c r="E319" t="s">
        <v>22</v>
      </c>
      <c r="F319" t="s">
        <v>23</v>
      </c>
      <c r="G319">
        <v>276</v>
      </c>
      <c r="H319">
        <v>252</v>
      </c>
      <c r="I319">
        <v>107</v>
      </c>
      <c r="J319">
        <v>421</v>
      </c>
      <c r="K319">
        <v>110</v>
      </c>
      <c r="L319" t="b">
        <v>0</v>
      </c>
      <c r="M319">
        <v>87.39</v>
      </c>
      <c r="N319">
        <v>36792.92</v>
      </c>
      <c r="O319" t="s">
        <v>44</v>
      </c>
    </row>
    <row r="320" spans="1:15">
      <c r="A320" s="1">
        <v>46054</v>
      </c>
      <c r="B320" t="s">
        <v>276</v>
      </c>
      <c r="C320" t="s">
        <v>67</v>
      </c>
      <c r="D320" t="s">
        <v>68</v>
      </c>
      <c r="E320" t="s">
        <v>22</v>
      </c>
      <c r="F320" t="s">
        <v>23</v>
      </c>
      <c r="G320">
        <v>208</v>
      </c>
      <c r="H320">
        <v>666</v>
      </c>
      <c r="I320">
        <v>130</v>
      </c>
      <c r="J320">
        <v>744</v>
      </c>
      <c r="K320">
        <v>289</v>
      </c>
      <c r="L320" t="b">
        <v>0</v>
      </c>
      <c r="M320">
        <v>373</v>
      </c>
      <c r="N320">
        <v>277513.48</v>
      </c>
      <c r="O320" t="s">
        <v>27</v>
      </c>
    </row>
    <row r="321" spans="1:15">
      <c r="A321" s="1">
        <v>46054</v>
      </c>
      <c r="B321" t="s">
        <v>276</v>
      </c>
      <c r="C321" t="s">
        <v>69</v>
      </c>
      <c r="D321" t="s">
        <v>70</v>
      </c>
      <c r="E321" t="s">
        <v>71</v>
      </c>
      <c r="F321" t="s">
        <v>23</v>
      </c>
      <c r="G321">
        <v>58</v>
      </c>
      <c r="H321">
        <v>110</v>
      </c>
      <c r="I321">
        <v>28</v>
      </c>
      <c r="J321">
        <v>140</v>
      </c>
      <c r="K321">
        <v>55</v>
      </c>
      <c r="L321" t="b">
        <v>0</v>
      </c>
      <c r="M321">
        <v>104.29</v>
      </c>
      <c r="N321">
        <v>14601</v>
      </c>
      <c r="O321" t="s">
        <v>27</v>
      </c>
    </row>
    <row r="322" spans="1:15">
      <c r="A322" s="1">
        <v>46054</v>
      </c>
      <c r="B322" t="s">
        <v>276</v>
      </c>
      <c r="C322" t="s">
        <v>72</v>
      </c>
      <c r="D322" t="s">
        <v>73</v>
      </c>
      <c r="E322" t="s">
        <v>71</v>
      </c>
      <c r="F322" t="s">
        <v>23</v>
      </c>
      <c r="G322">
        <v>363</v>
      </c>
      <c r="H322">
        <v>347</v>
      </c>
      <c r="I322">
        <v>116</v>
      </c>
      <c r="J322">
        <v>594</v>
      </c>
      <c r="K322">
        <v>144</v>
      </c>
      <c r="L322" t="b">
        <v>0</v>
      </c>
      <c r="M322">
        <v>467.68</v>
      </c>
      <c r="N322">
        <v>277803.48</v>
      </c>
      <c r="O322" t="s">
        <v>60</v>
      </c>
    </row>
    <row r="323" spans="1:15">
      <c r="A323" s="1">
        <v>46054</v>
      </c>
      <c r="B323" t="s">
        <v>276</v>
      </c>
      <c r="C323" t="s">
        <v>74</v>
      </c>
      <c r="D323" t="s">
        <v>75</v>
      </c>
      <c r="E323" t="s">
        <v>71</v>
      </c>
      <c r="F323" t="s">
        <v>23</v>
      </c>
      <c r="G323">
        <v>135</v>
      </c>
      <c r="H323">
        <v>0</v>
      </c>
      <c r="I323">
        <v>109</v>
      </c>
      <c r="J323">
        <v>26</v>
      </c>
      <c r="K323">
        <v>103</v>
      </c>
      <c r="L323" t="b">
        <v>1</v>
      </c>
      <c r="M323">
        <v>223.8</v>
      </c>
      <c r="N323">
        <v>5818.79</v>
      </c>
      <c r="O323" t="s">
        <v>37</v>
      </c>
    </row>
    <row r="324" spans="1:15">
      <c r="A324" s="1">
        <v>46054</v>
      </c>
      <c r="B324" t="s">
        <v>276</v>
      </c>
      <c r="C324" t="s">
        <v>76</v>
      </c>
      <c r="D324" t="s">
        <v>77</v>
      </c>
      <c r="E324" t="s">
        <v>71</v>
      </c>
      <c r="F324" t="s">
        <v>23</v>
      </c>
      <c r="G324">
        <v>149</v>
      </c>
      <c r="H324">
        <v>0</v>
      </c>
      <c r="I324">
        <v>124</v>
      </c>
      <c r="J324">
        <v>25</v>
      </c>
      <c r="K324">
        <v>106</v>
      </c>
      <c r="L324" t="b">
        <v>1</v>
      </c>
      <c r="M324">
        <v>1156.25</v>
      </c>
      <c r="N324">
        <v>28906.13</v>
      </c>
      <c r="O324" t="s">
        <v>37</v>
      </c>
    </row>
    <row r="325" spans="1:15">
      <c r="A325" s="1">
        <v>46054</v>
      </c>
      <c r="B325" t="s">
        <v>276</v>
      </c>
      <c r="C325" t="s">
        <v>78</v>
      </c>
      <c r="D325" t="s">
        <v>79</v>
      </c>
      <c r="E325" t="s">
        <v>71</v>
      </c>
      <c r="F325" t="s">
        <v>23</v>
      </c>
      <c r="G325">
        <v>445</v>
      </c>
      <c r="H325">
        <v>0</v>
      </c>
      <c r="I325">
        <v>163</v>
      </c>
      <c r="J325">
        <v>282</v>
      </c>
      <c r="K325">
        <v>212</v>
      </c>
      <c r="L325" t="b">
        <v>0</v>
      </c>
      <c r="M325">
        <v>355.34</v>
      </c>
      <c r="N325">
        <v>100205.21</v>
      </c>
      <c r="O325" t="s">
        <v>47</v>
      </c>
    </row>
    <row r="326" spans="1:15">
      <c r="A326" s="1">
        <v>46054</v>
      </c>
      <c r="B326" t="s">
        <v>276</v>
      </c>
      <c r="C326" t="s">
        <v>82</v>
      </c>
      <c r="D326" t="s">
        <v>83</v>
      </c>
      <c r="E326" t="s">
        <v>71</v>
      </c>
      <c r="F326" t="s">
        <v>23</v>
      </c>
      <c r="G326">
        <v>505</v>
      </c>
      <c r="H326">
        <v>0</v>
      </c>
      <c r="I326">
        <v>110</v>
      </c>
      <c r="J326">
        <v>395</v>
      </c>
      <c r="K326">
        <v>272</v>
      </c>
      <c r="L326" t="b">
        <v>0</v>
      </c>
      <c r="M326">
        <v>1855.65</v>
      </c>
      <c r="N326">
        <v>732983.27</v>
      </c>
      <c r="O326" t="s">
        <v>37</v>
      </c>
    </row>
    <row r="327" spans="1:15">
      <c r="A327" s="1">
        <v>46054</v>
      </c>
      <c r="B327" t="s">
        <v>276</v>
      </c>
      <c r="C327" t="s">
        <v>86</v>
      </c>
      <c r="D327" t="s">
        <v>87</v>
      </c>
      <c r="E327" t="s">
        <v>71</v>
      </c>
      <c r="F327" t="s">
        <v>23</v>
      </c>
      <c r="G327">
        <v>44</v>
      </c>
      <c r="H327">
        <v>84</v>
      </c>
      <c r="I327">
        <v>22</v>
      </c>
      <c r="J327">
        <v>106</v>
      </c>
      <c r="K327">
        <v>41</v>
      </c>
      <c r="L327" t="b">
        <v>0</v>
      </c>
      <c r="M327">
        <v>41.77</v>
      </c>
      <c r="N327">
        <v>4427.1400000000003</v>
      </c>
      <c r="O327" t="s">
        <v>60</v>
      </c>
    </row>
    <row r="328" spans="1:15">
      <c r="A328" s="1">
        <v>46054</v>
      </c>
      <c r="B328" t="s">
        <v>276</v>
      </c>
      <c r="C328" t="s">
        <v>88</v>
      </c>
      <c r="D328" t="s">
        <v>89</v>
      </c>
      <c r="E328" t="s">
        <v>71</v>
      </c>
      <c r="F328" t="s">
        <v>23</v>
      </c>
      <c r="G328">
        <v>123</v>
      </c>
      <c r="H328">
        <v>0</v>
      </c>
      <c r="I328">
        <v>82</v>
      </c>
      <c r="J328">
        <v>41</v>
      </c>
      <c r="K328">
        <v>79</v>
      </c>
      <c r="L328" t="b">
        <v>1</v>
      </c>
      <c r="M328">
        <v>196.05</v>
      </c>
      <c r="N328">
        <v>8038.07</v>
      </c>
      <c r="O328" t="s">
        <v>32</v>
      </c>
    </row>
    <row r="329" spans="1:15">
      <c r="A329" s="1">
        <v>46054</v>
      </c>
      <c r="B329" t="s">
        <v>276</v>
      </c>
      <c r="C329" t="s">
        <v>245</v>
      </c>
      <c r="D329" t="s">
        <v>246</v>
      </c>
      <c r="E329" t="s">
        <v>71</v>
      </c>
      <c r="F329" t="s">
        <v>23</v>
      </c>
      <c r="G329">
        <v>271</v>
      </c>
      <c r="H329">
        <v>585</v>
      </c>
      <c r="I329">
        <v>135</v>
      </c>
      <c r="J329">
        <v>721</v>
      </c>
      <c r="K329">
        <v>248</v>
      </c>
      <c r="L329" t="b">
        <v>0</v>
      </c>
      <c r="M329">
        <v>7928.34</v>
      </c>
      <c r="N329">
        <v>5716330.0199999996</v>
      </c>
      <c r="O329" t="s">
        <v>27</v>
      </c>
    </row>
    <row r="330" spans="1:15">
      <c r="A330" s="1">
        <v>46054</v>
      </c>
      <c r="B330" t="s">
        <v>276</v>
      </c>
      <c r="C330" t="s">
        <v>94</v>
      </c>
      <c r="D330" t="s">
        <v>95</v>
      </c>
      <c r="E330" t="s">
        <v>71</v>
      </c>
      <c r="F330" t="s">
        <v>23</v>
      </c>
      <c r="G330">
        <v>41</v>
      </c>
      <c r="H330">
        <v>45</v>
      </c>
      <c r="I330">
        <v>15</v>
      </c>
      <c r="J330">
        <v>71</v>
      </c>
      <c r="K330">
        <v>21</v>
      </c>
      <c r="L330" t="b">
        <v>0</v>
      </c>
      <c r="M330">
        <v>1091.26</v>
      </c>
      <c r="N330">
        <v>77479.47</v>
      </c>
      <c r="O330" t="s">
        <v>32</v>
      </c>
    </row>
    <row r="331" spans="1:15">
      <c r="A331" s="1">
        <v>46054</v>
      </c>
      <c r="B331" t="s">
        <v>276</v>
      </c>
      <c r="C331" t="s">
        <v>96</v>
      </c>
      <c r="D331" t="s">
        <v>97</v>
      </c>
      <c r="E331" t="s">
        <v>71</v>
      </c>
      <c r="F331" t="s">
        <v>23</v>
      </c>
      <c r="G331">
        <v>71</v>
      </c>
      <c r="H331">
        <v>0</v>
      </c>
      <c r="I331">
        <v>23</v>
      </c>
      <c r="J331">
        <v>48</v>
      </c>
      <c r="K331">
        <v>39</v>
      </c>
      <c r="L331" t="b">
        <v>0</v>
      </c>
      <c r="M331">
        <v>700.35</v>
      </c>
      <c r="N331">
        <v>33616.94</v>
      </c>
      <c r="O331" t="s">
        <v>98</v>
      </c>
    </row>
    <row r="332" spans="1:15">
      <c r="A332" s="1">
        <v>46054</v>
      </c>
      <c r="B332" t="s">
        <v>276</v>
      </c>
      <c r="C332" t="s">
        <v>99</v>
      </c>
      <c r="D332" t="s">
        <v>100</v>
      </c>
      <c r="E332" t="s">
        <v>71</v>
      </c>
      <c r="F332" t="s">
        <v>23</v>
      </c>
      <c r="G332">
        <v>321</v>
      </c>
      <c r="H332">
        <v>0</v>
      </c>
      <c r="I332">
        <v>263</v>
      </c>
      <c r="J332">
        <v>58</v>
      </c>
      <c r="K332">
        <v>256</v>
      </c>
      <c r="L332" t="b">
        <v>1</v>
      </c>
      <c r="M332">
        <v>2973.62</v>
      </c>
      <c r="N332">
        <v>172469.71</v>
      </c>
      <c r="O332" t="s">
        <v>47</v>
      </c>
    </row>
    <row r="333" spans="1:15">
      <c r="A333" s="1">
        <v>46054</v>
      </c>
      <c r="B333" t="s">
        <v>276</v>
      </c>
      <c r="C333" t="s">
        <v>101</v>
      </c>
      <c r="D333" t="s">
        <v>102</v>
      </c>
      <c r="E333" t="s">
        <v>71</v>
      </c>
      <c r="F333" t="s">
        <v>23</v>
      </c>
      <c r="G333">
        <v>452</v>
      </c>
      <c r="H333">
        <v>0</v>
      </c>
      <c r="I333">
        <v>174</v>
      </c>
      <c r="J333">
        <v>278</v>
      </c>
      <c r="K333">
        <v>204</v>
      </c>
      <c r="L333" t="b">
        <v>0</v>
      </c>
      <c r="M333">
        <v>56.63</v>
      </c>
      <c r="N333">
        <v>15743.01</v>
      </c>
      <c r="O333" t="s">
        <v>32</v>
      </c>
    </row>
    <row r="334" spans="1:15">
      <c r="A334" s="1">
        <v>46054</v>
      </c>
      <c r="B334" t="s">
        <v>276</v>
      </c>
      <c r="C334" t="s">
        <v>247</v>
      </c>
      <c r="D334" t="s">
        <v>248</v>
      </c>
      <c r="E334" t="s">
        <v>71</v>
      </c>
      <c r="F334" t="s">
        <v>23</v>
      </c>
      <c r="G334">
        <v>105</v>
      </c>
      <c r="H334">
        <v>0</v>
      </c>
      <c r="I334">
        <v>28</v>
      </c>
      <c r="J334">
        <v>77</v>
      </c>
      <c r="K334">
        <v>38</v>
      </c>
      <c r="L334" t="b">
        <v>0</v>
      </c>
      <c r="M334">
        <v>281.83999999999997</v>
      </c>
      <c r="N334">
        <v>21701.43</v>
      </c>
      <c r="O334" t="s">
        <v>32</v>
      </c>
    </row>
    <row r="335" spans="1:15">
      <c r="A335" s="1">
        <v>46054</v>
      </c>
      <c r="B335" t="s">
        <v>276</v>
      </c>
      <c r="C335" t="s">
        <v>103</v>
      </c>
      <c r="D335" t="s">
        <v>104</v>
      </c>
      <c r="E335" t="s">
        <v>71</v>
      </c>
      <c r="F335" t="s">
        <v>23</v>
      </c>
      <c r="G335">
        <v>194</v>
      </c>
      <c r="H335">
        <v>0</v>
      </c>
      <c r="I335">
        <v>37</v>
      </c>
      <c r="J335">
        <v>157</v>
      </c>
      <c r="K335">
        <v>118</v>
      </c>
      <c r="L335" t="b">
        <v>0</v>
      </c>
      <c r="M335">
        <v>523.9</v>
      </c>
      <c r="N335">
        <v>82252.59</v>
      </c>
      <c r="O335" t="s">
        <v>98</v>
      </c>
    </row>
    <row r="336" spans="1:15">
      <c r="A336" s="1">
        <v>46054</v>
      </c>
      <c r="B336" t="s">
        <v>276</v>
      </c>
      <c r="C336" t="s">
        <v>105</v>
      </c>
      <c r="D336" t="s">
        <v>106</v>
      </c>
      <c r="E336" t="s">
        <v>71</v>
      </c>
      <c r="F336" t="s">
        <v>23</v>
      </c>
      <c r="G336">
        <v>225</v>
      </c>
      <c r="H336">
        <v>0</v>
      </c>
      <c r="I336">
        <v>142</v>
      </c>
      <c r="J336">
        <v>83</v>
      </c>
      <c r="K336">
        <v>144</v>
      </c>
      <c r="L336" t="b">
        <v>1</v>
      </c>
      <c r="M336">
        <v>2513.87</v>
      </c>
      <c r="N336">
        <v>208650.99</v>
      </c>
      <c r="O336" t="s">
        <v>32</v>
      </c>
    </row>
    <row r="337" spans="1:15">
      <c r="A337" s="1">
        <v>46054</v>
      </c>
      <c r="B337" t="s">
        <v>276</v>
      </c>
      <c r="C337" t="s">
        <v>107</v>
      </c>
      <c r="D337" t="s">
        <v>108</v>
      </c>
      <c r="E337" t="s">
        <v>109</v>
      </c>
      <c r="F337" t="s">
        <v>110</v>
      </c>
      <c r="G337">
        <v>367</v>
      </c>
      <c r="H337">
        <v>0</v>
      </c>
      <c r="I337">
        <v>215</v>
      </c>
      <c r="J337">
        <v>152</v>
      </c>
      <c r="K337">
        <v>166</v>
      </c>
      <c r="L337" t="b">
        <v>1</v>
      </c>
      <c r="M337">
        <v>98.87</v>
      </c>
      <c r="N337">
        <v>15028.48</v>
      </c>
      <c r="O337" t="s">
        <v>24</v>
      </c>
    </row>
    <row r="338" spans="1:15">
      <c r="A338" s="1">
        <v>46054</v>
      </c>
      <c r="B338" t="s">
        <v>276</v>
      </c>
      <c r="C338" t="s">
        <v>111</v>
      </c>
      <c r="D338" t="s">
        <v>112</v>
      </c>
      <c r="E338" t="s">
        <v>109</v>
      </c>
      <c r="F338" t="s">
        <v>110</v>
      </c>
      <c r="G338">
        <v>34</v>
      </c>
      <c r="H338">
        <v>93</v>
      </c>
      <c r="I338">
        <v>19</v>
      </c>
      <c r="J338">
        <v>108</v>
      </c>
      <c r="K338">
        <v>37</v>
      </c>
      <c r="L338" t="b">
        <v>0</v>
      </c>
      <c r="M338">
        <v>441.16</v>
      </c>
      <c r="N338">
        <v>47645.77</v>
      </c>
      <c r="O338" t="s">
        <v>98</v>
      </c>
    </row>
    <row r="339" spans="1:15">
      <c r="A339" s="1">
        <v>46054</v>
      </c>
      <c r="B339" t="s">
        <v>276</v>
      </c>
      <c r="C339" t="s">
        <v>113</v>
      </c>
      <c r="D339" t="s">
        <v>114</v>
      </c>
      <c r="E339" t="s">
        <v>109</v>
      </c>
      <c r="F339" t="s">
        <v>110</v>
      </c>
      <c r="G339">
        <v>154</v>
      </c>
      <c r="H339">
        <v>288</v>
      </c>
      <c r="I339">
        <v>143</v>
      </c>
      <c r="J339">
        <v>299</v>
      </c>
      <c r="K339">
        <v>142</v>
      </c>
      <c r="L339" t="b">
        <v>0</v>
      </c>
      <c r="M339">
        <v>135.19</v>
      </c>
      <c r="N339">
        <v>40421</v>
      </c>
      <c r="O339" t="s">
        <v>27</v>
      </c>
    </row>
    <row r="340" spans="1:15">
      <c r="A340" s="1">
        <v>46054</v>
      </c>
      <c r="B340" t="s">
        <v>276</v>
      </c>
      <c r="C340" t="s">
        <v>115</v>
      </c>
      <c r="D340" t="s">
        <v>116</v>
      </c>
      <c r="E340" t="s">
        <v>109</v>
      </c>
      <c r="F340" t="s">
        <v>110</v>
      </c>
      <c r="G340">
        <v>171</v>
      </c>
      <c r="H340">
        <v>0</v>
      </c>
      <c r="I340">
        <v>114</v>
      </c>
      <c r="J340">
        <v>57</v>
      </c>
      <c r="K340">
        <v>107</v>
      </c>
      <c r="L340" t="b">
        <v>1</v>
      </c>
      <c r="M340">
        <v>654.71</v>
      </c>
      <c r="N340">
        <v>37318.44</v>
      </c>
      <c r="O340" t="s">
        <v>44</v>
      </c>
    </row>
    <row r="341" spans="1:15">
      <c r="A341" s="1">
        <v>46054</v>
      </c>
      <c r="B341" t="s">
        <v>276</v>
      </c>
      <c r="C341" t="s">
        <v>119</v>
      </c>
      <c r="D341" t="s">
        <v>120</v>
      </c>
      <c r="E341" t="s">
        <v>109</v>
      </c>
      <c r="F341" t="s">
        <v>110</v>
      </c>
      <c r="G341">
        <v>88</v>
      </c>
      <c r="H341">
        <v>0</v>
      </c>
      <c r="I341">
        <v>33</v>
      </c>
      <c r="J341">
        <v>55</v>
      </c>
      <c r="K341">
        <v>38</v>
      </c>
      <c r="L341" t="b">
        <v>0</v>
      </c>
      <c r="M341">
        <v>200.51</v>
      </c>
      <c r="N341">
        <v>11028.32</v>
      </c>
      <c r="O341" t="s">
        <v>32</v>
      </c>
    </row>
    <row r="342" spans="1:15">
      <c r="A342" s="1">
        <v>46054</v>
      </c>
      <c r="B342" t="s">
        <v>276</v>
      </c>
      <c r="C342" t="s">
        <v>123</v>
      </c>
      <c r="D342" t="s">
        <v>124</v>
      </c>
      <c r="E342" t="s">
        <v>109</v>
      </c>
      <c r="F342" t="s">
        <v>110</v>
      </c>
      <c r="G342">
        <v>134</v>
      </c>
      <c r="H342">
        <v>375</v>
      </c>
      <c r="I342">
        <v>133</v>
      </c>
      <c r="J342">
        <v>376</v>
      </c>
      <c r="K342">
        <v>134</v>
      </c>
      <c r="L342" t="b">
        <v>0</v>
      </c>
      <c r="M342">
        <v>173.48</v>
      </c>
      <c r="N342">
        <v>65230.26</v>
      </c>
      <c r="O342" t="s">
        <v>24</v>
      </c>
    </row>
    <row r="343" spans="1:15">
      <c r="A343" s="1">
        <v>46054</v>
      </c>
      <c r="B343" t="s">
        <v>276</v>
      </c>
      <c r="C343" t="s">
        <v>125</v>
      </c>
      <c r="D343" t="s">
        <v>126</v>
      </c>
      <c r="E343" t="s">
        <v>109</v>
      </c>
      <c r="F343" t="s">
        <v>110</v>
      </c>
      <c r="G343">
        <v>323</v>
      </c>
      <c r="H343">
        <v>0</v>
      </c>
      <c r="I343">
        <v>211</v>
      </c>
      <c r="J343">
        <v>112</v>
      </c>
      <c r="K343">
        <v>235</v>
      </c>
      <c r="L343" t="b">
        <v>1</v>
      </c>
      <c r="M343">
        <v>143.54</v>
      </c>
      <c r="N343">
        <v>16076.95</v>
      </c>
      <c r="O343" t="s">
        <v>47</v>
      </c>
    </row>
    <row r="344" spans="1:15">
      <c r="A344" s="1">
        <v>46054</v>
      </c>
      <c r="B344" t="s">
        <v>276</v>
      </c>
      <c r="C344" t="s">
        <v>127</v>
      </c>
      <c r="D344" t="s">
        <v>128</v>
      </c>
      <c r="E344" t="s">
        <v>109</v>
      </c>
      <c r="F344" t="s">
        <v>110</v>
      </c>
      <c r="G344">
        <v>183</v>
      </c>
      <c r="H344">
        <v>410</v>
      </c>
      <c r="I344">
        <v>168</v>
      </c>
      <c r="J344">
        <v>425</v>
      </c>
      <c r="K344">
        <v>202</v>
      </c>
      <c r="L344" t="b">
        <v>0</v>
      </c>
      <c r="M344">
        <v>601.69000000000005</v>
      </c>
      <c r="N344">
        <v>255718.46</v>
      </c>
      <c r="O344" t="s">
        <v>44</v>
      </c>
    </row>
    <row r="345" spans="1:15">
      <c r="A345" s="1">
        <v>46054</v>
      </c>
      <c r="B345" t="s">
        <v>276</v>
      </c>
      <c r="C345" t="s">
        <v>129</v>
      </c>
      <c r="D345" t="s">
        <v>130</v>
      </c>
      <c r="E345" t="s">
        <v>109</v>
      </c>
      <c r="F345" t="s">
        <v>110</v>
      </c>
      <c r="G345">
        <v>80</v>
      </c>
      <c r="H345">
        <v>92</v>
      </c>
      <c r="I345">
        <v>26</v>
      </c>
      <c r="J345">
        <v>146</v>
      </c>
      <c r="K345">
        <v>41</v>
      </c>
      <c r="L345" t="b">
        <v>0</v>
      </c>
      <c r="M345">
        <v>383.8</v>
      </c>
      <c r="N345">
        <v>56034.45</v>
      </c>
      <c r="O345" t="s">
        <v>32</v>
      </c>
    </row>
    <row r="346" spans="1:15">
      <c r="A346" s="1">
        <v>46054</v>
      </c>
      <c r="B346" t="s">
        <v>276</v>
      </c>
      <c r="C346" t="s">
        <v>131</v>
      </c>
      <c r="D346" t="s">
        <v>132</v>
      </c>
      <c r="E346" t="s">
        <v>109</v>
      </c>
      <c r="F346" t="s">
        <v>110</v>
      </c>
      <c r="G346">
        <v>375</v>
      </c>
      <c r="H346">
        <v>0</v>
      </c>
      <c r="I346">
        <v>203</v>
      </c>
      <c r="J346">
        <v>172</v>
      </c>
      <c r="K346">
        <v>169</v>
      </c>
      <c r="L346" t="b">
        <v>0</v>
      </c>
      <c r="M346">
        <v>2035.93</v>
      </c>
      <c r="N346">
        <v>350180.1</v>
      </c>
      <c r="O346" t="s">
        <v>24</v>
      </c>
    </row>
    <row r="347" spans="1:15">
      <c r="A347" s="1">
        <v>46054</v>
      </c>
      <c r="B347" t="s">
        <v>276</v>
      </c>
      <c r="C347" t="s">
        <v>133</v>
      </c>
      <c r="D347" t="s">
        <v>134</v>
      </c>
      <c r="E347" t="s">
        <v>109</v>
      </c>
      <c r="F347" t="s">
        <v>110</v>
      </c>
      <c r="G347">
        <v>394</v>
      </c>
      <c r="H347">
        <v>0</v>
      </c>
      <c r="I347">
        <v>116</v>
      </c>
      <c r="J347">
        <v>278</v>
      </c>
      <c r="K347">
        <v>255</v>
      </c>
      <c r="L347" t="b">
        <v>0</v>
      </c>
      <c r="M347">
        <v>21.65</v>
      </c>
      <c r="N347">
        <v>6018.59</v>
      </c>
      <c r="O347" t="s">
        <v>98</v>
      </c>
    </row>
    <row r="348" spans="1:15">
      <c r="A348" s="1">
        <v>46054</v>
      </c>
      <c r="B348" t="s">
        <v>276</v>
      </c>
      <c r="C348" t="s">
        <v>135</v>
      </c>
      <c r="D348" t="s">
        <v>136</v>
      </c>
      <c r="E348" t="s">
        <v>109</v>
      </c>
      <c r="F348" t="s">
        <v>110</v>
      </c>
      <c r="G348">
        <v>598</v>
      </c>
      <c r="H348">
        <v>0</v>
      </c>
      <c r="I348">
        <v>154</v>
      </c>
      <c r="J348">
        <v>444</v>
      </c>
      <c r="K348">
        <v>233</v>
      </c>
      <c r="L348" t="b">
        <v>0</v>
      </c>
      <c r="M348">
        <v>109.43</v>
      </c>
      <c r="N348">
        <v>48588.24</v>
      </c>
      <c r="O348" t="s">
        <v>32</v>
      </c>
    </row>
    <row r="349" spans="1:15">
      <c r="A349" s="1">
        <v>46054</v>
      </c>
      <c r="B349" t="s">
        <v>276</v>
      </c>
      <c r="C349" t="s">
        <v>137</v>
      </c>
      <c r="D349" t="s">
        <v>138</v>
      </c>
      <c r="E349" t="s">
        <v>109</v>
      </c>
      <c r="F349" t="s">
        <v>110</v>
      </c>
      <c r="G349">
        <v>213</v>
      </c>
      <c r="H349">
        <v>0</v>
      </c>
      <c r="I349">
        <v>46</v>
      </c>
      <c r="J349">
        <v>167</v>
      </c>
      <c r="K349">
        <v>117</v>
      </c>
      <c r="L349" t="b">
        <v>0</v>
      </c>
      <c r="M349">
        <v>60.47</v>
      </c>
      <c r="N349">
        <v>10098.76</v>
      </c>
      <c r="O349" t="s">
        <v>27</v>
      </c>
    </row>
    <row r="350" spans="1:15">
      <c r="A350" s="1">
        <v>46054</v>
      </c>
      <c r="B350" t="s">
        <v>276</v>
      </c>
      <c r="C350" t="s">
        <v>139</v>
      </c>
      <c r="D350" t="s">
        <v>140</v>
      </c>
      <c r="E350" t="s">
        <v>109</v>
      </c>
      <c r="F350" t="s">
        <v>110</v>
      </c>
      <c r="G350">
        <v>202</v>
      </c>
      <c r="H350">
        <v>0</v>
      </c>
      <c r="I350">
        <v>143</v>
      </c>
      <c r="J350">
        <v>59</v>
      </c>
      <c r="K350">
        <v>155</v>
      </c>
      <c r="L350" t="b">
        <v>1</v>
      </c>
      <c r="M350">
        <v>278.06</v>
      </c>
      <c r="N350">
        <v>16405.34</v>
      </c>
      <c r="O350" t="s">
        <v>32</v>
      </c>
    </row>
    <row r="351" spans="1:15">
      <c r="A351" s="1">
        <v>46054</v>
      </c>
      <c r="B351" t="s">
        <v>276</v>
      </c>
      <c r="C351" t="s">
        <v>141</v>
      </c>
      <c r="D351" t="s">
        <v>142</v>
      </c>
      <c r="E351" t="s">
        <v>109</v>
      </c>
      <c r="F351" t="s">
        <v>110</v>
      </c>
      <c r="G351">
        <v>178</v>
      </c>
      <c r="H351">
        <v>361</v>
      </c>
      <c r="I351">
        <v>121</v>
      </c>
      <c r="J351">
        <v>418</v>
      </c>
      <c r="K351">
        <v>161</v>
      </c>
      <c r="L351" t="b">
        <v>0</v>
      </c>
      <c r="M351">
        <v>81.06</v>
      </c>
      <c r="N351">
        <v>33884.129999999997</v>
      </c>
      <c r="O351" t="s">
        <v>37</v>
      </c>
    </row>
    <row r="352" spans="1:15">
      <c r="A352" s="1">
        <v>46054</v>
      </c>
      <c r="B352" t="s">
        <v>276</v>
      </c>
      <c r="C352" t="s">
        <v>145</v>
      </c>
      <c r="D352" t="s">
        <v>146</v>
      </c>
      <c r="E352" t="s">
        <v>109</v>
      </c>
      <c r="F352" t="s">
        <v>110</v>
      </c>
      <c r="G352">
        <v>46</v>
      </c>
      <c r="H352">
        <v>0</v>
      </c>
      <c r="I352">
        <v>24</v>
      </c>
      <c r="J352">
        <v>22</v>
      </c>
      <c r="K352">
        <v>19</v>
      </c>
      <c r="L352" t="b">
        <v>0</v>
      </c>
      <c r="M352">
        <v>65.58</v>
      </c>
      <c r="N352">
        <v>1442.71</v>
      </c>
      <c r="O352" t="s">
        <v>37</v>
      </c>
    </row>
    <row r="353" spans="1:15">
      <c r="A353" s="1">
        <v>46054</v>
      </c>
      <c r="B353" t="s">
        <v>276</v>
      </c>
      <c r="C353" t="s">
        <v>147</v>
      </c>
      <c r="D353" t="s">
        <v>148</v>
      </c>
      <c r="E353" t="s">
        <v>109</v>
      </c>
      <c r="F353" t="s">
        <v>110</v>
      </c>
      <c r="G353">
        <v>185</v>
      </c>
      <c r="H353">
        <v>368</v>
      </c>
      <c r="I353">
        <v>64</v>
      </c>
      <c r="J353">
        <v>489</v>
      </c>
      <c r="K353">
        <v>170</v>
      </c>
      <c r="L353" t="b">
        <v>0</v>
      </c>
      <c r="M353">
        <v>289.8</v>
      </c>
      <c r="N353">
        <v>141712.37</v>
      </c>
      <c r="O353" t="s">
        <v>98</v>
      </c>
    </row>
    <row r="354" spans="1:15">
      <c r="A354" s="1">
        <v>46054</v>
      </c>
      <c r="B354" t="s">
        <v>276</v>
      </c>
      <c r="C354" t="s">
        <v>149</v>
      </c>
      <c r="D354" t="s">
        <v>150</v>
      </c>
      <c r="E354" t="s">
        <v>151</v>
      </c>
      <c r="F354" t="s">
        <v>23</v>
      </c>
      <c r="G354">
        <v>175</v>
      </c>
      <c r="H354">
        <v>0</v>
      </c>
      <c r="I354">
        <v>46</v>
      </c>
      <c r="J354">
        <v>129</v>
      </c>
      <c r="K354">
        <v>104</v>
      </c>
      <c r="L354" t="b">
        <v>0</v>
      </c>
      <c r="M354">
        <v>239.87</v>
      </c>
      <c r="N354">
        <v>30942.959999999999</v>
      </c>
      <c r="O354" t="s">
        <v>32</v>
      </c>
    </row>
    <row r="355" spans="1:15">
      <c r="A355" s="1">
        <v>46054</v>
      </c>
      <c r="B355" t="s">
        <v>276</v>
      </c>
      <c r="C355" t="s">
        <v>152</v>
      </c>
      <c r="D355" t="s">
        <v>153</v>
      </c>
      <c r="E355" t="s">
        <v>151</v>
      </c>
      <c r="F355" t="s">
        <v>23</v>
      </c>
      <c r="G355">
        <v>458</v>
      </c>
      <c r="H355">
        <v>0</v>
      </c>
      <c r="I355">
        <v>133</v>
      </c>
      <c r="J355">
        <v>325</v>
      </c>
      <c r="K355">
        <v>197</v>
      </c>
      <c r="L355" t="b">
        <v>0</v>
      </c>
      <c r="M355">
        <v>1287.79</v>
      </c>
      <c r="N355">
        <v>418533.24</v>
      </c>
      <c r="O355" t="s">
        <v>98</v>
      </c>
    </row>
    <row r="356" spans="1:15">
      <c r="A356" s="1">
        <v>46054</v>
      </c>
      <c r="B356" t="s">
        <v>276</v>
      </c>
      <c r="C356" t="s">
        <v>154</v>
      </c>
      <c r="D356" t="s">
        <v>155</v>
      </c>
      <c r="E356" t="s">
        <v>151</v>
      </c>
      <c r="F356" t="s">
        <v>23</v>
      </c>
      <c r="G356">
        <v>21</v>
      </c>
      <c r="H356">
        <v>0</v>
      </c>
      <c r="I356">
        <v>19</v>
      </c>
      <c r="J356">
        <v>2</v>
      </c>
      <c r="K356">
        <v>17</v>
      </c>
      <c r="L356" t="b">
        <v>1</v>
      </c>
      <c r="M356">
        <v>290.14999999999998</v>
      </c>
      <c r="N356">
        <v>580.29999999999995</v>
      </c>
      <c r="O356" t="s">
        <v>60</v>
      </c>
    </row>
    <row r="357" spans="1:15">
      <c r="A357" s="1">
        <v>46054</v>
      </c>
      <c r="B357" t="s">
        <v>276</v>
      </c>
      <c r="C357" t="s">
        <v>156</v>
      </c>
      <c r="D357" t="s">
        <v>157</v>
      </c>
      <c r="E357" t="s">
        <v>151</v>
      </c>
      <c r="F357" t="s">
        <v>23</v>
      </c>
      <c r="G357">
        <v>150</v>
      </c>
      <c r="H357">
        <v>352</v>
      </c>
      <c r="I357">
        <v>157</v>
      </c>
      <c r="J357">
        <v>345</v>
      </c>
      <c r="K357">
        <v>177</v>
      </c>
      <c r="L357" t="b">
        <v>0</v>
      </c>
      <c r="M357">
        <v>1542.82</v>
      </c>
      <c r="N357">
        <v>532271.28</v>
      </c>
      <c r="O357" t="s">
        <v>32</v>
      </c>
    </row>
    <row r="358" spans="1:15">
      <c r="A358" s="1">
        <v>46054</v>
      </c>
      <c r="B358" t="s">
        <v>276</v>
      </c>
      <c r="C358" t="s">
        <v>158</v>
      </c>
      <c r="D358" t="s">
        <v>159</v>
      </c>
      <c r="E358" t="s">
        <v>151</v>
      </c>
      <c r="F358" t="s">
        <v>23</v>
      </c>
      <c r="G358">
        <v>139</v>
      </c>
      <c r="H358">
        <v>0</v>
      </c>
      <c r="I358">
        <v>119</v>
      </c>
      <c r="J358">
        <v>20</v>
      </c>
      <c r="K358">
        <v>93</v>
      </c>
      <c r="L358" t="b">
        <v>1</v>
      </c>
      <c r="M358">
        <v>48.27</v>
      </c>
      <c r="N358">
        <v>965.47</v>
      </c>
      <c r="O358" t="s">
        <v>37</v>
      </c>
    </row>
    <row r="359" spans="1:15">
      <c r="A359" s="1">
        <v>46054</v>
      </c>
      <c r="B359" t="s">
        <v>276</v>
      </c>
      <c r="C359" t="s">
        <v>160</v>
      </c>
      <c r="D359" t="s">
        <v>161</v>
      </c>
      <c r="E359" t="s">
        <v>151</v>
      </c>
      <c r="F359" t="s">
        <v>23</v>
      </c>
      <c r="G359">
        <v>41</v>
      </c>
      <c r="H359">
        <v>0</v>
      </c>
      <c r="I359">
        <v>32</v>
      </c>
      <c r="J359">
        <v>9</v>
      </c>
      <c r="K359">
        <v>30</v>
      </c>
      <c r="L359" t="b">
        <v>1</v>
      </c>
      <c r="M359">
        <v>220.07</v>
      </c>
      <c r="N359">
        <v>1980.66</v>
      </c>
      <c r="O359" t="s">
        <v>24</v>
      </c>
    </row>
    <row r="360" spans="1:15">
      <c r="A360" s="1">
        <v>46054</v>
      </c>
      <c r="B360" t="s">
        <v>276</v>
      </c>
      <c r="C360" t="s">
        <v>162</v>
      </c>
      <c r="D360" t="s">
        <v>163</v>
      </c>
      <c r="E360" t="s">
        <v>151</v>
      </c>
      <c r="F360" t="s">
        <v>23</v>
      </c>
      <c r="G360">
        <v>362</v>
      </c>
      <c r="H360">
        <v>0</v>
      </c>
      <c r="I360">
        <v>185</v>
      </c>
      <c r="J360">
        <v>177</v>
      </c>
      <c r="K360">
        <v>168</v>
      </c>
      <c r="L360" t="b">
        <v>0</v>
      </c>
      <c r="M360">
        <v>217.25</v>
      </c>
      <c r="N360">
        <v>38452.6</v>
      </c>
      <c r="O360" t="s">
        <v>37</v>
      </c>
    </row>
    <row r="361" spans="1:15">
      <c r="A361" s="1">
        <v>46054</v>
      </c>
      <c r="B361" t="s">
        <v>276</v>
      </c>
      <c r="C361" t="s">
        <v>166</v>
      </c>
      <c r="D361" t="s">
        <v>167</v>
      </c>
      <c r="E361" t="s">
        <v>151</v>
      </c>
      <c r="F361" t="s">
        <v>23</v>
      </c>
      <c r="G361">
        <v>103</v>
      </c>
      <c r="H361">
        <v>0</v>
      </c>
      <c r="I361">
        <v>95</v>
      </c>
      <c r="J361">
        <v>8</v>
      </c>
      <c r="K361">
        <v>81</v>
      </c>
      <c r="L361" t="b">
        <v>1</v>
      </c>
      <c r="M361">
        <v>144.49</v>
      </c>
      <c r="N361">
        <v>1155.8900000000001</v>
      </c>
      <c r="O361" t="s">
        <v>44</v>
      </c>
    </row>
    <row r="362" spans="1:15">
      <c r="A362" s="1">
        <v>46054</v>
      </c>
      <c r="B362" t="s">
        <v>276</v>
      </c>
      <c r="C362" t="s">
        <v>249</v>
      </c>
      <c r="D362" t="s">
        <v>250</v>
      </c>
      <c r="E362" t="s">
        <v>151</v>
      </c>
      <c r="F362" t="s">
        <v>23</v>
      </c>
      <c r="G362">
        <v>67</v>
      </c>
      <c r="H362">
        <v>180</v>
      </c>
      <c r="I362">
        <v>40</v>
      </c>
      <c r="J362">
        <v>207</v>
      </c>
      <c r="K362">
        <v>60</v>
      </c>
      <c r="L362" t="b">
        <v>0</v>
      </c>
      <c r="M362">
        <v>701.77</v>
      </c>
      <c r="N362">
        <v>145266.26999999999</v>
      </c>
      <c r="O362" t="s">
        <v>32</v>
      </c>
    </row>
    <row r="363" spans="1:15">
      <c r="A363" s="1">
        <v>46054</v>
      </c>
      <c r="B363" t="s">
        <v>276</v>
      </c>
      <c r="C363" t="s">
        <v>168</v>
      </c>
      <c r="D363" t="s">
        <v>169</v>
      </c>
      <c r="E363" t="s">
        <v>151</v>
      </c>
      <c r="F363" t="s">
        <v>23</v>
      </c>
      <c r="G363">
        <v>439</v>
      </c>
      <c r="H363">
        <v>0</v>
      </c>
      <c r="I363">
        <v>199</v>
      </c>
      <c r="J363">
        <v>240</v>
      </c>
      <c r="K363">
        <v>280</v>
      </c>
      <c r="L363" t="b">
        <v>1</v>
      </c>
      <c r="M363">
        <v>640.54</v>
      </c>
      <c r="N363">
        <v>153728.66</v>
      </c>
      <c r="O363" t="s">
        <v>27</v>
      </c>
    </row>
    <row r="364" spans="1:15">
      <c r="A364" s="1">
        <v>46054</v>
      </c>
      <c r="B364" t="s">
        <v>276</v>
      </c>
      <c r="C364" t="s">
        <v>172</v>
      </c>
      <c r="D364" t="s">
        <v>173</v>
      </c>
      <c r="E364" t="s">
        <v>151</v>
      </c>
      <c r="F364" t="s">
        <v>23</v>
      </c>
      <c r="G364">
        <v>336</v>
      </c>
      <c r="H364">
        <v>0</v>
      </c>
      <c r="I364">
        <v>121</v>
      </c>
      <c r="J364">
        <v>215</v>
      </c>
      <c r="K364">
        <v>172</v>
      </c>
      <c r="L364" t="b">
        <v>0</v>
      </c>
      <c r="M364">
        <v>496.45</v>
      </c>
      <c r="N364">
        <v>106736.51</v>
      </c>
      <c r="O364" t="s">
        <v>24</v>
      </c>
    </row>
    <row r="365" spans="1:15">
      <c r="A365" s="1">
        <v>46054</v>
      </c>
      <c r="B365" t="s">
        <v>276</v>
      </c>
      <c r="C365" t="s">
        <v>176</v>
      </c>
      <c r="D365" t="s">
        <v>177</v>
      </c>
      <c r="E365" t="s">
        <v>151</v>
      </c>
      <c r="F365" t="s">
        <v>23</v>
      </c>
      <c r="G365">
        <v>322</v>
      </c>
      <c r="H365">
        <v>0</v>
      </c>
      <c r="I365">
        <v>191</v>
      </c>
      <c r="J365">
        <v>131</v>
      </c>
      <c r="K365">
        <v>180</v>
      </c>
      <c r="L365" t="b">
        <v>1</v>
      </c>
      <c r="M365">
        <v>65.09</v>
      </c>
      <c r="N365">
        <v>8526.67</v>
      </c>
      <c r="O365" t="s">
        <v>27</v>
      </c>
    </row>
    <row r="366" spans="1:15">
      <c r="A366" s="1">
        <v>46054</v>
      </c>
      <c r="B366" t="s">
        <v>276</v>
      </c>
      <c r="C366" t="s">
        <v>178</v>
      </c>
      <c r="D366" t="s">
        <v>179</v>
      </c>
      <c r="E366" t="s">
        <v>151</v>
      </c>
      <c r="F366" t="s">
        <v>23</v>
      </c>
      <c r="G366">
        <v>179</v>
      </c>
      <c r="H366">
        <v>214</v>
      </c>
      <c r="I366">
        <v>96</v>
      </c>
      <c r="J366">
        <v>297</v>
      </c>
      <c r="K366">
        <v>122</v>
      </c>
      <c r="L366" t="b">
        <v>0</v>
      </c>
      <c r="M366">
        <v>344.5</v>
      </c>
      <c r="N366">
        <v>102315.77</v>
      </c>
      <c r="O366" t="s">
        <v>32</v>
      </c>
    </row>
    <row r="367" spans="1:15">
      <c r="A367" s="1">
        <v>46054</v>
      </c>
      <c r="B367" t="s">
        <v>276</v>
      </c>
      <c r="C367" t="s">
        <v>180</v>
      </c>
      <c r="D367" t="s">
        <v>181</v>
      </c>
      <c r="E367" t="s">
        <v>151</v>
      </c>
      <c r="F367" t="s">
        <v>23</v>
      </c>
      <c r="G367">
        <v>200</v>
      </c>
      <c r="H367">
        <v>0</v>
      </c>
      <c r="I367">
        <v>93</v>
      </c>
      <c r="J367">
        <v>107</v>
      </c>
      <c r="K367">
        <v>99</v>
      </c>
      <c r="L367" t="b">
        <v>0</v>
      </c>
      <c r="M367">
        <v>59.56</v>
      </c>
      <c r="N367">
        <v>6373.15</v>
      </c>
      <c r="O367" t="s">
        <v>44</v>
      </c>
    </row>
    <row r="368" spans="1:15">
      <c r="A368" s="1">
        <v>46054</v>
      </c>
      <c r="B368" t="s">
        <v>276</v>
      </c>
      <c r="C368" t="s">
        <v>182</v>
      </c>
      <c r="D368" t="s">
        <v>183</v>
      </c>
      <c r="E368" t="s">
        <v>151</v>
      </c>
      <c r="F368" t="s">
        <v>23</v>
      </c>
      <c r="G368">
        <v>275</v>
      </c>
      <c r="H368">
        <v>0</v>
      </c>
      <c r="I368">
        <v>190</v>
      </c>
      <c r="J368">
        <v>85</v>
      </c>
      <c r="K368">
        <v>192</v>
      </c>
      <c r="L368" t="b">
        <v>1</v>
      </c>
      <c r="M368">
        <v>234.49</v>
      </c>
      <c r="N368">
        <v>19931.23</v>
      </c>
      <c r="O368" t="s">
        <v>32</v>
      </c>
    </row>
    <row r="369" spans="1:15">
      <c r="A369" s="1">
        <v>46054</v>
      </c>
      <c r="B369" t="s">
        <v>276</v>
      </c>
      <c r="C369" t="s">
        <v>251</v>
      </c>
      <c r="D369" t="s">
        <v>252</v>
      </c>
      <c r="E369" t="s">
        <v>151</v>
      </c>
      <c r="F369" t="s">
        <v>23</v>
      </c>
      <c r="G369">
        <v>148</v>
      </c>
      <c r="H369">
        <v>194</v>
      </c>
      <c r="I369">
        <v>64</v>
      </c>
      <c r="J369">
        <v>278</v>
      </c>
      <c r="K369">
        <v>61</v>
      </c>
      <c r="L369" t="b">
        <v>0</v>
      </c>
      <c r="M369">
        <v>92.18</v>
      </c>
      <c r="N369">
        <v>25625.439999999999</v>
      </c>
      <c r="O369" t="s">
        <v>44</v>
      </c>
    </row>
    <row r="370" spans="1:15">
      <c r="A370" s="1">
        <v>46054</v>
      </c>
      <c r="B370" t="s">
        <v>276</v>
      </c>
      <c r="C370" t="s">
        <v>184</v>
      </c>
      <c r="D370" t="s">
        <v>185</v>
      </c>
      <c r="E370" t="s">
        <v>151</v>
      </c>
      <c r="F370" t="s">
        <v>23</v>
      </c>
      <c r="G370">
        <v>462</v>
      </c>
      <c r="H370">
        <v>0</v>
      </c>
      <c r="I370">
        <v>139</v>
      </c>
      <c r="J370">
        <v>323</v>
      </c>
      <c r="K370">
        <v>163</v>
      </c>
      <c r="L370" t="b">
        <v>0</v>
      </c>
      <c r="M370">
        <v>366.8</v>
      </c>
      <c r="N370">
        <v>118475</v>
      </c>
      <c r="O370" t="s">
        <v>60</v>
      </c>
    </row>
    <row r="371" spans="1:15">
      <c r="A371" s="1">
        <v>46054</v>
      </c>
      <c r="B371" t="s">
        <v>276</v>
      </c>
      <c r="C371" t="s">
        <v>191</v>
      </c>
      <c r="D371" t="s">
        <v>192</v>
      </c>
      <c r="E371" t="s">
        <v>188</v>
      </c>
      <c r="F371" t="s">
        <v>23</v>
      </c>
      <c r="G371">
        <v>154</v>
      </c>
      <c r="H371">
        <v>0</v>
      </c>
      <c r="I371">
        <v>54</v>
      </c>
      <c r="J371">
        <v>100</v>
      </c>
      <c r="K371">
        <v>89</v>
      </c>
      <c r="L371" t="b">
        <v>0</v>
      </c>
      <c r="M371">
        <v>102.1</v>
      </c>
      <c r="N371">
        <v>10209.879999999999</v>
      </c>
      <c r="O371" t="s">
        <v>98</v>
      </c>
    </row>
    <row r="372" spans="1:15">
      <c r="A372" s="1">
        <v>46054</v>
      </c>
      <c r="B372" t="s">
        <v>276</v>
      </c>
      <c r="C372" t="s">
        <v>193</v>
      </c>
      <c r="D372" t="s">
        <v>194</v>
      </c>
      <c r="E372" t="s">
        <v>188</v>
      </c>
      <c r="F372" t="s">
        <v>23</v>
      </c>
      <c r="G372">
        <v>131</v>
      </c>
      <c r="H372">
        <v>0</v>
      </c>
      <c r="I372">
        <v>66</v>
      </c>
      <c r="J372">
        <v>65</v>
      </c>
      <c r="K372">
        <v>71</v>
      </c>
      <c r="L372" t="b">
        <v>1</v>
      </c>
      <c r="M372">
        <v>442.14</v>
      </c>
      <c r="N372">
        <v>28739.33</v>
      </c>
      <c r="O372" t="s">
        <v>27</v>
      </c>
    </row>
    <row r="373" spans="1:15">
      <c r="A373" s="1">
        <v>46054</v>
      </c>
      <c r="B373" t="s">
        <v>276</v>
      </c>
      <c r="C373" t="s">
        <v>195</v>
      </c>
      <c r="D373" t="s">
        <v>196</v>
      </c>
      <c r="E373" t="s">
        <v>188</v>
      </c>
      <c r="F373" t="s">
        <v>23</v>
      </c>
      <c r="G373">
        <v>188</v>
      </c>
      <c r="H373">
        <v>274</v>
      </c>
      <c r="I373">
        <v>103</v>
      </c>
      <c r="J373">
        <v>359</v>
      </c>
      <c r="K373">
        <v>159</v>
      </c>
      <c r="L373" t="b">
        <v>0</v>
      </c>
      <c r="M373">
        <v>76.400000000000006</v>
      </c>
      <c r="N373">
        <v>27426.98</v>
      </c>
      <c r="O373" t="s">
        <v>47</v>
      </c>
    </row>
    <row r="374" spans="1:15">
      <c r="A374" s="1">
        <v>46054</v>
      </c>
      <c r="B374" t="s">
        <v>276</v>
      </c>
      <c r="C374" t="s">
        <v>253</v>
      </c>
      <c r="D374" t="s">
        <v>254</v>
      </c>
      <c r="E374" t="s">
        <v>188</v>
      </c>
      <c r="F374" t="s">
        <v>23</v>
      </c>
      <c r="G374">
        <v>53</v>
      </c>
      <c r="H374">
        <v>0</v>
      </c>
      <c r="I374">
        <v>12</v>
      </c>
      <c r="J374">
        <v>41</v>
      </c>
      <c r="K374">
        <v>26</v>
      </c>
      <c r="L374" t="b">
        <v>0</v>
      </c>
      <c r="M374">
        <v>297.36</v>
      </c>
      <c r="N374">
        <v>12191.56</v>
      </c>
      <c r="O374" t="s">
        <v>60</v>
      </c>
    </row>
    <row r="375" spans="1:15">
      <c r="A375" s="1">
        <v>46054</v>
      </c>
      <c r="B375" t="s">
        <v>276</v>
      </c>
      <c r="C375" t="s">
        <v>197</v>
      </c>
      <c r="D375" t="s">
        <v>198</v>
      </c>
      <c r="E375" t="s">
        <v>188</v>
      </c>
      <c r="F375" t="s">
        <v>23</v>
      </c>
      <c r="G375">
        <v>326</v>
      </c>
      <c r="H375">
        <v>736</v>
      </c>
      <c r="I375">
        <v>289</v>
      </c>
      <c r="J375">
        <v>773</v>
      </c>
      <c r="K375">
        <v>249</v>
      </c>
      <c r="L375" t="b">
        <v>0</v>
      </c>
      <c r="M375">
        <v>112.3</v>
      </c>
      <c r="N375">
        <v>86805.45</v>
      </c>
      <c r="O375" t="s">
        <v>98</v>
      </c>
    </row>
    <row r="376" spans="1:15">
      <c r="A376" s="1">
        <v>46054</v>
      </c>
      <c r="B376" t="s">
        <v>276</v>
      </c>
      <c r="C376" t="s">
        <v>199</v>
      </c>
      <c r="D376" t="s">
        <v>200</v>
      </c>
      <c r="E376" t="s">
        <v>188</v>
      </c>
      <c r="F376" t="s">
        <v>23</v>
      </c>
      <c r="G376">
        <v>119</v>
      </c>
      <c r="H376">
        <v>0</v>
      </c>
      <c r="I376">
        <v>65</v>
      </c>
      <c r="J376">
        <v>54</v>
      </c>
      <c r="K376">
        <v>82</v>
      </c>
      <c r="L376" t="b">
        <v>1</v>
      </c>
      <c r="M376">
        <v>533.88</v>
      </c>
      <c r="N376">
        <v>28829.63</v>
      </c>
      <c r="O376" t="s">
        <v>98</v>
      </c>
    </row>
    <row r="377" spans="1:15">
      <c r="A377" s="1">
        <v>46054</v>
      </c>
      <c r="B377" t="s">
        <v>276</v>
      </c>
      <c r="C377" t="s">
        <v>201</v>
      </c>
      <c r="D377" t="s">
        <v>202</v>
      </c>
      <c r="E377" t="s">
        <v>188</v>
      </c>
      <c r="F377" t="s">
        <v>23</v>
      </c>
      <c r="G377">
        <v>159</v>
      </c>
      <c r="H377">
        <v>0</v>
      </c>
      <c r="I377">
        <v>88</v>
      </c>
      <c r="J377">
        <v>71</v>
      </c>
      <c r="K377">
        <v>109</v>
      </c>
      <c r="L377" t="b">
        <v>1</v>
      </c>
      <c r="M377">
        <v>904.7</v>
      </c>
      <c r="N377">
        <v>64233.47</v>
      </c>
      <c r="O377" t="s">
        <v>47</v>
      </c>
    </row>
    <row r="378" spans="1:15">
      <c r="A378" s="1">
        <v>46054</v>
      </c>
      <c r="B378" t="s">
        <v>276</v>
      </c>
      <c r="C378" t="s">
        <v>205</v>
      </c>
      <c r="D378" t="s">
        <v>206</v>
      </c>
      <c r="E378" t="s">
        <v>188</v>
      </c>
      <c r="F378" t="s">
        <v>23</v>
      </c>
      <c r="G378">
        <v>143</v>
      </c>
      <c r="H378">
        <v>252</v>
      </c>
      <c r="I378">
        <v>95</v>
      </c>
      <c r="J378">
        <v>300</v>
      </c>
      <c r="K378">
        <v>137</v>
      </c>
      <c r="L378" t="b">
        <v>0</v>
      </c>
      <c r="M378">
        <v>93.18</v>
      </c>
      <c r="N378">
        <v>27954.720000000001</v>
      </c>
      <c r="O378" t="s">
        <v>98</v>
      </c>
    </row>
    <row r="379" spans="1:15">
      <c r="A379" s="1">
        <v>46054</v>
      </c>
      <c r="B379" t="s">
        <v>276</v>
      </c>
      <c r="C379" t="s">
        <v>255</v>
      </c>
      <c r="D379" t="s">
        <v>256</v>
      </c>
      <c r="E379" t="s">
        <v>188</v>
      </c>
      <c r="F379" t="s">
        <v>23</v>
      </c>
      <c r="G379">
        <v>314</v>
      </c>
      <c r="H379">
        <v>0</v>
      </c>
      <c r="I379">
        <v>69</v>
      </c>
      <c r="J379">
        <v>245</v>
      </c>
      <c r="K379">
        <v>154</v>
      </c>
      <c r="L379" t="b">
        <v>0</v>
      </c>
      <c r="M379">
        <v>380.89</v>
      </c>
      <c r="N379">
        <v>93317.84</v>
      </c>
      <c r="O379" t="s">
        <v>37</v>
      </c>
    </row>
    <row r="380" spans="1:15">
      <c r="A380" s="1">
        <v>46054</v>
      </c>
      <c r="B380" t="s">
        <v>276</v>
      </c>
      <c r="C380" t="s">
        <v>207</v>
      </c>
      <c r="D380" t="s">
        <v>208</v>
      </c>
      <c r="E380" t="s">
        <v>188</v>
      </c>
      <c r="F380" t="s">
        <v>23</v>
      </c>
      <c r="G380">
        <v>144</v>
      </c>
      <c r="H380">
        <v>0</v>
      </c>
      <c r="I380">
        <v>79</v>
      </c>
      <c r="J380">
        <v>65</v>
      </c>
      <c r="K380">
        <v>119</v>
      </c>
      <c r="L380" t="b">
        <v>1</v>
      </c>
      <c r="M380">
        <v>69.69</v>
      </c>
      <c r="N380">
        <v>4529.7700000000004</v>
      </c>
      <c r="O380" t="s">
        <v>47</v>
      </c>
    </row>
    <row r="381" spans="1:15">
      <c r="A381" s="1">
        <v>46054</v>
      </c>
      <c r="B381" t="s">
        <v>276</v>
      </c>
      <c r="C381" t="s">
        <v>209</v>
      </c>
      <c r="D381" t="s">
        <v>210</v>
      </c>
      <c r="E381" t="s">
        <v>188</v>
      </c>
      <c r="F381" t="s">
        <v>23</v>
      </c>
      <c r="G381">
        <v>147</v>
      </c>
      <c r="H381">
        <v>0</v>
      </c>
      <c r="I381">
        <v>23</v>
      </c>
      <c r="J381">
        <v>124</v>
      </c>
      <c r="K381">
        <v>99</v>
      </c>
      <c r="L381" t="b">
        <v>0</v>
      </c>
      <c r="M381">
        <v>339.31</v>
      </c>
      <c r="N381">
        <v>42074.8</v>
      </c>
      <c r="O381" t="s">
        <v>37</v>
      </c>
    </row>
    <row r="382" spans="1:15">
      <c r="A382" s="1">
        <v>46054</v>
      </c>
      <c r="B382" t="s">
        <v>276</v>
      </c>
      <c r="C382" t="s">
        <v>268</v>
      </c>
      <c r="D382" t="s">
        <v>269</v>
      </c>
      <c r="E382" t="s">
        <v>188</v>
      </c>
      <c r="F382" t="s">
        <v>23</v>
      </c>
      <c r="G382">
        <v>81</v>
      </c>
      <c r="H382">
        <v>0</v>
      </c>
      <c r="I382">
        <v>53</v>
      </c>
      <c r="J382">
        <v>28</v>
      </c>
      <c r="K382">
        <v>47</v>
      </c>
      <c r="L382" t="b">
        <v>1</v>
      </c>
      <c r="M382">
        <v>42.67</v>
      </c>
      <c r="N382">
        <v>1194.67</v>
      </c>
      <c r="O382" t="s">
        <v>47</v>
      </c>
    </row>
    <row r="383" spans="1:15">
      <c r="A383" s="1">
        <v>46054</v>
      </c>
      <c r="B383" t="s">
        <v>276</v>
      </c>
      <c r="C383" t="s">
        <v>270</v>
      </c>
      <c r="D383" t="s">
        <v>271</v>
      </c>
      <c r="E383" t="s">
        <v>188</v>
      </c>
      <c r="F383" t="s">
        <v>23</v>
      </c>
      <c r="G383">
        <v>278</v>
      </c>
      <c r="H383">
        <v>244</v>
      </c>
      <c r="I383">
        <v>144</v>
      </c>
      <c r="J383">
        <v>378</v>
      </c>
      <c r="K383">
        <v>147</v>
      </c>
      <c r="L383" t="b">
        <v>0</v>
      </c>
      <c r="M383">
        <v>175.07</v>
      </c>
      <c r="N383">
        <v>66176.320000000007</v>
      </c>
      <c r="O383" t="s">
        <v>24</v>
      </c>
    </row>
    <row r="384" spans="1:15">
      <c r="A384" s="1">
        <v>46054</v>
      </c>
      <c r="B384" t="s">
        <v>276</v>
      </c>
      <c r="C384" t="s">
        <v>213</v>
      </c>
      <c r="D384" t="s">
        <v>214</v>
      </c>
      <c r="E384" t="s">
        <v>188</v>
      </c>
      <c r="F384" t="s">
        <v>23</v>
      </c>
      <c r="G384">
        <v>418</v>
      </c>
      <c r="H384">
        <v>0</v>
      </c>
      <c r="I384">
        <v>154</v>
      </c>
      <c r="J384">
        <v>264</v>
      </c>
      <c r="K384">
        <v>270</v>
      </c>
      <c r="L384" t="b">
        <v>1</v>
      </c>
      <c r="M384">
        <v>339.36</v>
      </c>
      <c r="N384">
        <v>89591.17</v>
      </c>
      <c r="O384" t="s">
        <v>44</v>
      </c>
    </row>
    <row r="385" spans="1:15">
      <c r="A385" s="1">
        <v>46054</v>
      </c>
      <c r="B385" t="s">
        <v>276</v>
      </c>
      <c r="C385" t="s">
        <v>217</v>
      </c>
      <c r="D385" t="s">
        <v>218</v>
      </c>
      <c r="E385" t="s">
        <v>219</v>
      </c>
      <c r="F385" t="s">
        <v>23</v>
      </c>
      <c r="G385">
        <v>66</v>
      </c>
      <c r="H385">
        <v>127</v>
      </c>
      <c r="I385">
        <v>45</v>
      </c>
      <c r="J385">
        <v>148</v>
      </c>
      <c r="K385">
        <v>67</v>
      </c>
      <c r="L385" t="b">
        <v>0</v>
      </c>
      <c r="M385">
        <v>18.79</v>
      </c>
      <c r="N385">
        <v>2781.38</v>
      </c>
      <c r="O385" t="s">
        <v>37</v>
      </c>
    </row>
    <row r="386" spans="1:15">
      <c r="A386" s="1">
        <v>46054</v>
      </c>
      <c r="B386" t="s">
        <v>276</v>
      </c>
      <c r="C386" t="s">
        <v>220</v>
      </c>
      <c r="D386" t="s">
        <v>221</v>
      </c>
      <c r="E386" t="s">
        <v>219</v>
      </c>
      <c r="F386" t="s">
        <v>23</v>
      </c>
      <c r="G386">
        <v>239</v>
      </c>
      <c r="H386">
        <v>0</v>
      </c>
      <c r="I386">
        <v>157</v>
      </c>
      <c r="J386">
        <v>82</v>
      </c>
      <c r="K386">
        <v>165</v>
      </c>
      <c r="L386" t="b">
        <v>1</v>
      </c>
      <c r="M386">
        <v>85.15</v>
      </c>
      <c r="N386">
        <v>6982.17</v>
      </c>
      <c r="O386" t="s">
        <v>60</v>
      </c>
    </row>
    <row r="387" spans="1:15">
      <c r="A387" s="1">
        <v>46054</v>
      </c>
      <c r="B387" t="s">
        <v>276</v>
      </c>
      <c r="C387" t="s">
        <v>222</v>
      </c>
      <c r="D387" t="s">
        <v>223</v>
      </c>
      <c r="E387" t="s">
        <v>219</v>
      </c>
      <c r="F387" t="s">
        <v>23</v>
      </c>
      <c r="G387">
        <v>72</v>
      </c>
      <c r="H387">
        <v>0</v>
      </c>
      <c r="I387">
        <v>28</v>
      </c>
      <c r="J387">
        <v>44</v>
      </c>
      <c r="K387">
        <v>22</v>
      </c>
      <c r="L387" t="b">
        <v>0</v>
      </c>
      <c r="M387">
        <v>45.74</v>
      </c>
      <c r="N387">
        <v>2012.54</v>
      </c>
      <c r="O387" t="s">
        <v>37</v>
      </c>
    </row>
    <row r="388" spans="1:15">
      <c r="A388" s="1">
        <v>46054</v>
      </c>
      <c r="B388" t="s">
        <v>276</v>
      </c>
      <c r="C388" t="s">
        <v>272</v>
      </c>
      <c r="D388" t="s">
        <v>273</v>
      </c>
      <c r="E388" t="s">
        <v>219</v>
      </c>
      <c r="F388" t="s">
        <v>23</v>
      </c>
      <c r="G388">
        <v>277</v>
      </c>
      <c r="H388">
        <v>0</v>
      </c>
      <c r="I388">
        <v>101</v>
      </c>
      <c r="J388">
        <v>176</v>
      </c>
      <c r="K388">
        <v>202</v>
      </c>
      <c r="L388" t="b">
        <v>1</v>
      </c>
      <c r="M388">
        <v>1867.75</v>
      </c>
      <c r="N388">
        <v>328724.64</v>
      </c>
      <c r="O388" t="s">
        <v>98</v>
      </c>
    </row>
    <row r="389" spans="1:15">
      <c r="A389" s="1">
        <v>46054</v>
      </c>
      <c r="B389" t="s">
        <v>276</v>
      </c>
      <c r="C389" t="s">
        <v>228</v>
      </c>
      <c r="D389" t="s">
        <v>229</v>
      </c>
      <c r="E389" t="s">
        <v>219</v>
      </c>
      <c r="F389" t="s">
        <v>23</v>
      </c>
      <c r="G389">
        <v>63</v>
      </c>
      <c r="H389">
        <v>211</v>
      </c>
      <c r="I389">
        <v>50</v>
      </c>
      <c r="J389">
        <v>224</v>
      </c>
      <c r="K389">
        <v>80</v>
      </c>
      <c r="L389" t="b">
        <v>0</v>
      </c>
      <c r="M389">
        <v>45.05</v>
      </c>
      <c r="N389">
        <v>10091.56</v>
      </c>
      <c r="O389" t="s">
        <v>44</v>
      </c>
    </row>
    <row r="390" spans="1:15">
      <c r="A390" s="1">
        <v>46054</v>
      </c>
      <c r="B390" t="s">
        <v>276</v>
      </c>
      <c r="C390" t="s">
        <v>230</v>
      </c>
      <c r="D390" t="s">
        <v>231</v>
      </c>
      <c r="E390" t="s">
        <v>219</v>
      </c>
      <c r="F390" t="s">
        <v>23</v>
      </c>
      <c r="G390">
        <v>213</v>
      </c>
      <c r="H390">
        <v>0</v>
      </c>
      <c r="I390">
        <v>88</v>
      </c>
      <c r="J390">
        <v>125</v>
      </c>
      <c r="K390">
        <v>112</v>
      </c>
      <c r="L390" t="b">
        <v>0</v>
      </c>
      <c r="M390">
        <v>211.82</v>
      </c>
      <c r="N390">
        <v>26477.99</v>
      </c>
      <c r="O390" t="s">
        <v>32</v>
      </c>
    </row>
    <row r="391" spans="1:15">
      <c r="A391" s="1">
        <v>46054</v>
      </c>
      <c r="B391" t="s">
        <v>276</v>
      </c>
      <c r="C391" t="s">
        <v>232</v>
      </c>
      <c r="D391" t="s">
        <v>233</v>
      </c>
      <c r="E391" t="s">
        <v>219</v>
      </c>
      <c r="F391" t="s">
        <v>23</v>
      </c>
      <c r="G391">
        <v>115</v>
      </c>
      <c r="H391">
        <v>302</v>
      </c>
      <c r="I391">
        <v>125</v>
      </c>
      <c r="J391">
        <v>292</v>
      </c>
      <c r="K391">
        <v>130</v>
      </c>
      <c r="L391" t="b">
        <v>0</v>
      </c>
      <c r="M391">
        <v>161.65</v>
      </c>
      <c r="N391">
        <v>47202.559999999998</v>
      </c>
      <c r="O391" t="s">
        <v>32</v>
      </c>
    </row>
    <row r="392" spans="1:15">
      <c r="A392" s="1">
        <v>46054</v>
      </c>
      <c r="B392" t="s">
        <v>276</v>
      </c>
      <c r="C392" t="s">
        <v>257</v>
      </c>
      <c r="D392" t="s">
        <v>258</v>
      </c>
      <c r="E392" t="s">
        <v>219</v>
      </c>
      <c r="F392" t="s">
        <v>23</v>
      </c>
      <c r="G392">
        <v>27</v>
      </c>
      <c r="H392">
        <v>0</v>
      </c>
      <c r="I392">
        <v>12</v>
      </c>
      <c r="J392">
        <v>15</v>
      </c>
      <c r="K392">
        <v>20</v>
      </c>
      <c r="L392" t="b">
        <v>1</v>
      </c>
      <c r="M392">
        <v>806.28</v>
      </c>
      <c r="N392">
        <v>12094.27</v>
      </c>
      <c r="O392" t="s">
        <v>47</v>
      </c>
    </row>
    <row r="393" spans="1:15">
      <c r="A393" s="1">
        <v>46054</v>
      </c>
      <c r="B393" t="s">
        <v>276</v>
      </c>
      <c r="C393" t="s">
        <v>259</v>
      </c>
      <c r="D393" t="s">
        <v>260</v>
      </c>
      <c r="E393" t="s">
        <v>219</v>
      </c>
      <c r="F393" t="s">
        <v>23</v>
      </c>
      <c r="G393">
        <v>43</v>
      </c>
      <c r="H393">
        <v>0</v>
      </c>
      <c r="I393">
        <v>19</v>
      </c>
      <c r="J393">
        <v>24</v>
      </c>
      <c r="K393">
        <v>25</v>
      </c>
      <c r="L393" t="b">
        <v>1</v>
      </c>
      <c r="M393">
        <v>551.84</v>
      </c>
      <c r="N393">
        <v>13244.19</v>
      </c>
      <c r="O393" t="s">
        <v>60</v>
      </c>
    </row>
    <row r="394" spans="1:15">
      <c r="A394" s="1">
        <v>46054</v>
      </c>
      <c r="B394" t="s">
        <v>276</v>
      </c>
      <c r="C394" t="s">
        <v>234</v>
      </c>
      <c r="D394" t="s">
        <v>235</v>
      </c>
      <c r="E394" t="s">
        <v>219</v>
      </c>
      <c r="F394" t="s">
        <v>23</v>
      </c>
      <c r="G394">
        <v>240</v>
      </c>
      <c r="H394">
        <v>0</v>
      </c>
      <c r="I394">
        <v>228</v>
      </c>
      <c r="J394">
        <v>12</v>
      </c>
      <c r="K394">
        <v>176</v>
      </c>
      <c r="L394" t="b">
        <v>1</v>
      </c>
      <c r="M394">
        <v>2224.0300000000002</v>
      </c>
      <c r="N394">
        <v>26688.39</v>
      </c>
      <c r="O394" t="s">
        <v>47</v>
      </c>
    </row>
    <row r="395" spans="1:15">
      <c r="A395" s="1">
        <v>46054</v>
      </c>
      <c r="B395" t="s">
        <v>276</v>
      </c>
      <c r="C395" t="s">
        <v>261</v>
      </c>
      <c r="D395" t="s">
        <v>262</v>
      </c>
      <c r="E395" t="s">
        <v>219</v>
      </c>
      <c r="F395" t="s">
        <v>23</v>
      </c>
      <c r="G395">
        <v>142</v>
      </c>
      <c r="H395">
        <v>0</v>
      </c>
      <c r="I395">
        <v>52</v>
      </c>
      <c r="J395">
        <v>90</v>
      </c>
      <c r="K395">
        <v>63</v>
      </c>
      <c r="L395" t="b">
        <v>0</v>
      </c>
      <c r="M395">
        <v>286.04000000000002</v>
      </c>
      <c r="N395">
        <v>25743.55</v>
      </c>
      <c r="O395" t="s">
        <v>60</v>
      </c>
    </row>
    <row r="396" spans="1:15">
      <c r="A396" s="1">
        <v>46054</v>
      </c>
      <c r="B396" t="s">
        <v>276</v>
      </c>
      <c r="C396" t="s">
        <v>277</v>
      </c>
      <c r="D396" t="s">
        <v>278</v>
      </c>
      <c r="E396" t="s">
        <v>219</v>
      </c>
      <c r="F396" t="s">
        <v>23</v>
      </c>
      <c r="G396">
        <v>174</v>
      </c>
      <c r="H396">
        <v>0</v>
      </c>
      <c r="I396">
        <v>55</v>
      </c>
      <c r="J396">
        <v>119</v>
      </c>
      <c r="K396">
        <v>102</v>
      </c>
      <c r="L396" t="b">
        <v>0</v>
      </c>
      <c r="M396">
        <v>1397.94</v>
      </c>
      <c r="N396">
        <v>166354.93</v>
      </c>
      <c r="O396" t="s">
        <v>44</v>
      </c>
    </row>
    <row r="397" spans="1:15">
      <c r="A397" s="1">
        <v>46054</v>
      </c>
      <c r="B397" t="s">
        <v>276</v>
      </c>
      <c r="C397" t="s">
        <v>236</v>
      </c>
      <c r="D397" t="s">
        <v>237</v>
      </c>
      <c r="E397" t="s">
        <v>219</v>
      </c>
      <c r="F397" t="s">
        <v>23</v>
      </c>
      <c r="G397">
        <v>516</v>
      </c>
      <c r="H397">
        <v>0</v>
      </c>
      <c r="I397">
        <v>313</v>
      </c>
      <c r="J397">
        <v>203</v>
      </c>
      <c r="K397">
        <v>208</v>
      </c>
      <c r="L397" t="b">
        <v>1</v>
      </c>
      <c r="M397">
        <v>1082.4100000000001</v>
      </c>
      <c r="N397">
        <v>219728.89</v>
      </c>
      <c r="O397" t="s">
        <v>98</v>
      </c>
    </row>
    <row r="398" spans="1:15">
      <c r="A398" s="1">
        <v>46054</v>
      </c>
      <c r="B398" t="s">
        <v>276</v>
      </c>
      <c r="C398" t="s">
        <v>263</v>
      </c>
      <c r="D398" t="s">
        <v>264</v>
      </c>
      <c r="E398" t="s">
        <v>219</v>
      </c>
      <c r="F398" t="s">
        <v>23</v>
      </c>
      <c r="G398">
        <v>375</v>
      </c>
      <c r="H398">
        <v>431</v>
      </c>
      <c r="I398">
        <v>61</v>
      </c>
      <c r="J398">
        <v>745</v>
      </c>
      <c r="K398">
        <v>208</v>
      </c>
      <c r="L398" t="b">
        <v>0</v>
      </c>
      <c r="M398">
        <v>32.15</v>
      </c>
      <c r="N398">
        <v>23955.11</v>
      </c>
      <c r="O398" t="s">
        <v>27</v>
      </c>
    </row>
    <row r="399" spans="1:15">
      <c r="A399" s="1">
        <v>46054</v>
      </c>
      <c r="B399" t="s">
        <v>276</v>
      </c>
      <c r="C399" t="s">
        <v>238</v>
      </c>
      <c r="D399" t="s">
        <v>239</v>
      </c>
      <c r="E399" t="s">
        <v>219</v>
      </c>
      <c r="F399" t="s">
        <v>23</v>
      </c>
      <c r="G399">
        <v>103</v>
      </c>
      <c r="H399">
        <v>289</v>
      </c>
      <c r="I399">
        <v>79</v>
      </c>
      <c r="J399">
        <v>313</v>
      </c>
      <c r="K399">
        <v>110</v>
      </c>
      <c r="L399" t="b">
        <v>0</v>
      </c>
      <c r="M399">
        <v>145.19999999999999</v>
      </c>
      <c r="N399">
        <v>45448.94</v>
      </c>
      <c r="O399" t="s">
        <v>32</v>
      </c>
    </row>
    <row r="400" spans="1:15">
      <c r="A400" s="1">
        <v>46054</v>
      </c>
      <c r="B400" t="s">
        <v>276</v>
      </c>
      <c r="C400" t="s">
        <v>240</v>
      </c>
      <c r="D400" t="s">
        <v>241</v>
      </c>
      <c r="E400" t="s">
        <v>219</v>
      </c>
      <c r="F400" t="s">
        <v>23</v>
      </c>
      <c r="G400">
        <v>93</v>
      </c>
      <c r="H400">
        <v>0</v>
      </c>
      <c r="I400">
        <v>34</v>
      </c>
      <c r="J400">
        <v>59</v>
      </c>
      <c r="K400">
        <v>57</v>
      </c>
      <c r="L400" t="b">
        <v>0</v>
      </c>
      <c r="M400">
        <v>63.41</v>
      </c>
      <c r="N400">
        <v>3741.34</v>
      </c>
      <c r="O400" t="s">
        <v>27</v>
      </c>
    </row>
    <row r="401" spans="1:15">
      <c r="A401" s="1">
        <v>46054</v>
      </c>
      <c r="B401" t="s">
        <v>276</v>
      </c>
      <c r="C401" t="s">
        <v>242</v>
      </c>
      <c r="D401" t="s">
        <v>243</v>
      </c>
      <c r="E401" t="s">
        <v>219</v>
      </c>
      <c r="F401" t="s">
        <v>23</v>
      </c>
      <c r="G401">
        <v>155</v>
      </c>
      <c r="H401">
        <v>293</v>
      </c>
      <c r="I401">
        <v>155</v>
      </c>
      <c r="J401">
        <v>293</v>
      </c>
      <c r="K401">
        <v>183</v>
      </c>
      <c r="L401" t="b">
        <v>0</v>
      </c>
      <c r="M401">
        <v>277.55</v>
      </c>
      <c r="N401">
        <v>81323.44</v>
      </c>
      <c r="O401" t="s">
        <v>60</v>
      </c>
    </row>
    <row r="402" spans="1:15">
      <c r="A402" s="1">
        <v>46054</v>
      </c>
      <c r="B402" t="s">
        <v>279</v>
      </c>
      <c r="C402" t="s">
        <v>20</v>
      </c>
      <c r="D402" t="s">
        <v>21</v>
      </c>
      <c r="E402" t="s">
        <v>22</v>
      </c>
      <c r="F402" t="s">
        <v>23</v>
      </c>
      <c r="G402">
        <v>64</v>
      </c>
      <c r="H402">
        <v>0</v>
      </c>
      <c r="I402">
        <v>25</v>
      </c>
      <c r="J402">
        <v>39</v>
      </c>
      <c r="K402">
        <v>22</v>
      </c>
      <c r="L402" t="b">
        <v>0</v>
      </c>
      <c r="M402">
        <v>280.14999999999998</v>
      </c>
      <c r="N402">
        <v>10925.96</v>
      </c>
      <c r="O402" t="s">
        <v>24</v>
      </c>
    </row>
    <row r="403" spans="1:15">
      <c r="A403" s="1">
        <v>46054</v>
      </c>
      <c r="B403" t="s">
        <v>279</v>
      </c>
      <c r="C403" t="s">
        <v>25</v>
      </c>
      <c r="D403" t="s">
        <v>26</v>
      </c>
      <c r="E403" t="s">
        <v>22</v>
      </c>
      <c r="F403" t="s">
        <v>23</v>
      </c>
      <c r="G403">
        <v>129</v>
      </c>
      <c r="H403">
        <v>0</v>
      </c>
      <c r="I403">
        <v>129</v>
      </c>
      <c r="J403">
        <v>0</v>
      </c>
      <c r="K403">
        <v>93</v>
      </c>
      <c r="L403" t="b">
        <v>1</v>
      </c>
      <c r="M403">
        <v>1297.8</v>
      </c>
      <c r="N403">
        <v>0</v>
      </c>
      <c r="O403" t="s">
        <v>27</v>
      </c>
    </row>
    <row r="404" spans="1:15">
      <c r="A404" s="1">
        <v>46054</v>
      </c>
      <c r="B404" t="s">
        <v>279</v>
      </c>
      <c r="C404" t="s">
        <v>28</v>
      </c>
      <c r="D404" t="s">
        <v>29</v>
      </c>
      <c r="E404" t="s">
        <v>22</v>
      </c>
      <c r="F404" t="s">
        <v>23</v>
      </c>
      <c r="G404">
        <v>212</v>
      </c>
      <c r="H404">
        <v>677</v>
      </c>
      <c r="I404">
        <v>254</v>
      </c>
      <c r="J404">
        <v>635</v>
      </c>
      <c r="K404">
        <v>238</v>
      </c>
      <c r="L404" t="b">
        <v>0</v>
      </c>
      <c r="M404">
        <v>97.72</v>
      </c>
      <c r="N404">
        <v>62050.8</v>
      </c>
      <c r="O404" t="s">
        <v>24</v>
      </c>
    </row>
    <row r="405" spans="1:15">
      <c r="A405" s="1">
        <v>46054</v>
      </c>
      <c r="B405" t="s">
        <v>279</v>
      </c>
      <c r="C405" t="s">
        <v>30</v>
      </c>
      <c r="D405" t="s">
        <v>31</v>
      </c>
      <c r="E405" t="s">
        <v>22</v>
      </c>
      <c r="F405" t="s">
        <v>23</v>
      </c>
      <c r="G405">
        <v>172</v>
      </c>
      <c r="H405">
        <v>0</v>
      </c>
      <c r="I405">
        <v>78</v>
      </c>
      <c r="J405">
        <v>94</v>
      </c>
      <c r="K405">
        <v>117</v>
      </c>
      <c r="L405" t="b">
        <v>1</v>
      </c>
      <c r="M405">
        <v>434.89</v>
      </c>
      <c r="N405">
        <v>40879.35</v>
      </c>
      <c r="O405" t="s">
        <v>32</v>
      </c>
    </row>
    <row r="406" spans="1:15">
      <c r="A406" s="1">
        <v>46054</v>
      </c>
      <c r="B406" t="s">
        <v>279</v>
      </c>
      <c r="C406" t="s">
        <v>33</v>
      </c>
      <c r="D406" t="s">
        <v>34</v>
      </c>
      <c r="E406" t="s">
        <v>22</v>
      </c>
      <c r="F406" t="s">
        <v>23</v>
      </c>
      <c r="G406">
        <v>185</v>
      </c>
      <c r="H406">
        <v>345</v>
      </c>
      <c r="I406">
        <v>153</v>
      </c>
      <c r="J406">
        <v>377</v>
      </c>
      <c r="K406">
        <v>173</v>
      </c>
      <c r="L406" t="b">
        <v>0</v>
      </c>
      <c r="M406">
        <v>111.9</v>
      </c>
      <c r="N406">
        <v>42185.85</v>
      </c>
      <c r="O406" t="s">
        <v>24</v>
      </c>
    </row>
    <row r="407" spans="1:15">
      <c r="A407" s="1">
        <v>46054</v>
      </c>
      <c r="B407" t="s">
        <v>279</v>
      </c>
      <c r="C407" t="s">
        <v>35</v>
      </c>
      <c r="D407" t="s">
        <v>36</v>
      </c>
      <c r="E407" t="s">
        <v>22</v>
      </c>
      <c r="F407" t="s">
        <v>23</v>
      </c>
      <c r="G407">
        <v>114</v>
      </c>
      <c r="H407">
        <v>191</v>
      </c>
      <c r="I407">
        <v>45</v>
      </c>
      <c r="J407">
        <v>260</v>
      </c>
      <c r="K407">
        <v>89</v>
      </c>
      <c r="L407" t="b">
        <v>0</v>
      </c>
      <c r="M407">
        <v>595.78</v>
      </c>
      <c r="N407">
        <v>154901.88</v>
      </c>
      <c r="O407" t="s">
        <v>37</v>
      </c>
    </row>
    <row r="408" spans="1:15">
      <c r="A408" s="1">
        <v>46054</v>
      </c>
      <c r="B408" t="s">
        <v>279</v>
      </c>
      <c r="C408" t="s">
        <v>38</v>
      </c>
      <c r="D408" t="s">
        <v>39</v>
      </c>
      <c r="E408" t="s">
        <v>22</v>
      </c>
      <c r="F408" t="s">
        <v>23</v>
      </c>
      <c r="G408">
        <v>106</v>
      </c>
      <c r="H408">
        <v>243</v>
      </c>
      <c r="I408">
        <v>97</v>
      </c>
      <c r="J408">
        <v>252</v>
      </c>
      <c r="K408">
        <v>110</v>
      </c>
      <c r="L408" t="b">
        <v>0</v>
      </c>
      <c r="M408">
        <v>82.33</v>
      </c>
      <c r="N408">
        <v>20746.45</v>
      </c>
      <c r="O408" t="s">
        <v>24</v>
      </c>
    </row>
    <row r="409" spans="1:15">
      <c r="A409" s="1">
        <v>46054</v>
      </c>
      <c r="B409" t="s">
        <v>279</v>
      </c>
      <c r="C409" t="s">
        <v>40</v>
      </c>
      <c r="D409" t="s">
        <v>41</v>
      </c>
      <c r="E409" t="s">
        <v>22</v>
      </c>
      <c r="F409" t="s">
        <v>23</v>
      </c>
      <c r="G409">
        <v>481</v>
      </c>
      <c r="H409">
        <v>0</v>
      </c>
      <c r="I409">
        <v>142</v>
      </c>
      <c r="J409">
        <v>339</v>
      </c>
      <c r="K409">
        <v>188</v>
      </c>
      <c r="L409" t="b">
        <v>0</v>
      </c>
      <c r="M409">
        <v>314.20999999999998</v>
      </c>
      <c r="N409">
        <v>106515.51</v>
      </c>
      <c r="O409" t="s">
        <v>24</v>
      </c>
    </row>
    <row r="410" spans="1:15">
      <c r="A410" s="1">
        <v>46054</v>
      </c>
      <c r="B410" t="s">
        <v>279</v>
      </c>
      <c r="C410" t="s">
        <v>42</v>
      </c>
      <c r="D410" t="s">
        <v>43</v>
      </c>
      <c r="E410" t="s">
        <v>22</v>
      </c>
      <c r="F410" t="s">
        <v>23</v>
      </c>
      <c r="G410">
        <v>175</v>
      </c>
      <c r="H410">
        <v>0</v>
      </c>
      <c r="I410">
        <v>81</v>
      </c>
      <c r="J410">
        <v>94</v>
      </c>
      <c r="K410">
        <v>145</v>
      </c>
      <c r="L410" t="b">
        <v>1</v>
      </c>
      <c r="M410">
        <v>168.61</v>
      </c>
      <c r="N410">
        <v>15849.17</v>
      </c>
      <c r="O410" t="s">
        <v>44</v>
      </c>
    </row>
    <row r="411" spans="1:15">
      <c r="A411" s="1">
        <v>46054</v>
      </c>
      <c r="B411" t="s">
        <v>279</v>
      </c>
      <c r="C411" t="s">
        <v>45</v>
      </c>
      <c r="D411" t="s">
        <v>46</v>
      </c>
      <c r="E411" t="s">
        <v>22</v>
      </c>
      <c r="F411" t="s">
        <v>23</v>
      </c>
      <c r="G411">
        <v>536</v>
      </c>
      <c r="H411">
        <v>0</v>
      </c>
      <c r="I411">
        <v>190</v>
      </c>
      <c r="J411">
        <v>346</v>
      </c>
      <c r="K411">
        <v>227</v>
      </c>
      <c r="L411" t="b">
        <v>0</v>
      </c>
      <c r="M411">
        <v>666.76</v>
      </c>
      <c r="N411">
        <v>230699.27</v>
      </c>
      <c r="O411" t="s">
        <v>47</v>
      </c>
    </row>
    <row r="412" spans="1:15">
      <c r="A412" s="1">
        <v>46054</v>
      </c>
      <c r="B412" t="s">
        <v>279</v>
      </c>
      <c r="C412" t="s">
        <v>50</v>
      </c>
      <c r="D412" t="s">
        <v>51</v>
      </c>
      <c r="E412" t="s">
        <v>22</v>
      </c>
      <c r="F412" t="s">
        <v>23</v>
      </c>
      <c r="G412">
        <v>140</v>
      </c>
      <c r="H412">
        <v>0</v>
      </c>
      <c r="I412">
        <v>76</v>
      </c>
      <c r="J412">
        <v>64</v>
      </c>
      <c r="K412">
        <v>106</v>
      </c>
      <c r="L412" t="b">
        <v>1</v>
      </c>
      <c r="M412">
        <v>268.04000000000002</v>
      </c>
      <c r="N412">
        <v>17154.61</v>
      </c>
      <c r="O412" t="s">
        <v>24</v>
      </c>
    </row>
    <row r="413" spans="1:15">
      <c r="A413" s="1">
        <v>46054</v>
      </c>
      <c r="B413" t="s">
        <v>279</v>
      </c>
      <c r="C413" t="s">
        <v>52</v>
      </c>
      <c r="D413" t="s">
        <v>53</v>
      </c>
      <c r="E413" t="s">
        <v>22</v>
      </c>
      <c r="F413" t="s">
        <v>23</v>
      </c>
      <c r="G413">
        <v>490</v>
      </c>
      <c r="H413">
        <v>0</v>
      </c>
      <c r="I413">
        <v>291</v>
      </c>
      <c r="J413">
        <v>199</v>
      </c>
      <c r="K413">
        <v>229</v>
      </c>
      <c r="L413" t="b">
        <v>1</v>
      </c>
      <c r="M413">
        <v>56.77</v>
      </c>
      <c r="N413">
        <v>11296.71</v>
      </c>
      <c r="O413" t="s">
        <v>47</v>
      </c>
    </row>
    <row r="414" spans="1:15">
      <c r="A414" s="1">
        <v>46054</v>
      </c>
      <c r="B414" t="s">
        <v>279</v>
      </c>
      <c r="C414" t="s">
        <v>54</v>
      </c>
      <c r="D414" t="s">
        <v>55</v>
      </c>
      <c r="E414" t="s">
        <v>22</v>
      </c>
      <c r="F414" t="s">
        <v>23</v>
      </c>
      <c r="G414">
        <v>84</v>
      </c>
      <c r="H414">
        <v>0</v>
      </c>
      <c r="I414">
        <v>39</v>
      </c>
      <c r="J414">
        <v>45</v>
      </c>
      <c r="K414">
        <v>40</v>
      </c>
      <c r="L414" t="b">
        <v>0</v>
      </c>
      <c r="M414">
        <v>263.77999999999997</v>
      </c>
      <c r="N414">
        <v>11870.25</v>
      </c>
      <c r="O414" t="s">
        <v>44</v>
      </c>
    </row>
    <row r="415" spans="1:15">
      <c r="A415" s="1">
        <v>46054</v>
      </c>
      <c r="B415" t="s">
        <v>279</v>
      </c>
      <c r="C415" t="s">
        <v>56</v>
      </c>
      <c r="D415" t="s">
        <v>57</v>
      </c>
      <c r="E415" t="s">
        <v>22</v>
      </c>
      <c r="F415" t="s">
        <v>23</v>
      </c>
      <c r="G415">
        <v>77</v>
      </c>
      <c r="H415">
        <v>0</v>
      </c>
      <c r="I415">
        <v>25</v>
      </c>
      <c r="J415">
        <v>52</v>
      </c>
      <c r="K415">
        <v>28</v>
      </c>
      <c r="L415" t="b">
        <v>0</v>
      </c>
      <c r="M415">
        <v>462.05</v>
      </c>
      <c r="N415">
        <v>24026.66</v>
      </c>
      <c r="O415" t="s">
        <v>24</v>
      </c>
    </row>
    <row r="416" spans="1:15">
      <c r="A416" s="1">
        <v>46054</v>
      </c>
      <c r="B416" t="s">
        <v>279</v>
      </c>
      <c r="C416" t="s">
        <v>58</v>
      </c>
      <c r="D416" t="s">
        <v>59</v>
      </c>
      <c r="E416" t="s">
        <v>22</v>
      </c>
      <c r="F416" t="s">
        <v>23</v>
      </c>
      <c r="G416">
        <v>202</v>
      </c>
      <c r="H416">
        <v>377</v>
      </c>
      <c r="I416">
        <v>103</v>
      </c>
      <c r="J416">
        <v>476</v>
      </c>
      <c r="K416">
        <v>170</v>
      </c>
      <c r="L416" t="b">
        <v>0</v>
      </c>
      <c r="M416">
        <v>1865.15</v>
      </c>
      <c r="N416">
        <v>887811.79</v>
      </c>
      <c r="O416" t="s">
        <v>60</v>
      </c>
    </row>
    <row r="417" spans="1:15">
      <c r="A417" s="1">
        <v>46054</v>
      </c>
      <c r="B417" t="s">
        <v>279</v>
      </c>
      <c r="C417" t="s">
        <v>61</v>
      </c>
      <c r="D417" t="s">
        <v>62</v>
      </c>
      <c r="E417" t="s">
        <v>22</v>
      </c>
      <c r="F417" t="s">
        <v>23</v>
      </c>
      <c r="G417">
        <v>120</v>
      </c>
      <c r="H417">
        <v>219</v>
      </c>
      <c r="I417">
        <v>54</v>
      </c>
      <c r="J417">
        <v>285</v>
      </c>
      <c r="K417">
        <v>82</v>
      </c>
      <c r="L417" t="b">
        <v>0</v>
      </c>
      <c r="M417">
        <v>23.16</v>
      </c>
      <c r="N417">
        <v>6601.32</v>
      </c>
      <c r="O417" t="s">
        <v>44</v>
      </c>
    </row>
    <row r="418" spans="1:15">
      <c r="A418" s="1">
        <v>46054</v>
      </c>
      <c r="B418" t="s">
        <v>279</v>
      </c>
      <c r="C418" t="s">
        <v>63</v>
      </c>
      <c r="D418" t="s">
        <v>64</v>
      </c>
      <c r="E418" t="s">
        <v>22</v>
      </c>
      <c r="F418" t="s">
        <v>23</v>
      </c>
      <c r="G418">
        <v>112</v>
      </c>
      <c r="H418">
        <v>0</v>
      </c>
      <c r="I418">
        <v>58</v>
      </c>
      <c r="J418">
        <v>54</v>
      </c>
      <c r="K418">
        <v>59</v>
      </c>
      <c r="L418" t="b">
        <v>1</v>
      </c>
      <c r="M418">
        <v>112.89</v>
      </c>
      <c r="N418">
        <v>6095.79</v>
      </c>
      <c r="O418" t="s">
        <v>47</v>
      </c>
    </row>
    <row r="419" spans="1:15">
      <c r="A419" s="1">
        <v>46054</v>
      </c>
      <c r="B419" t="s">
        <v>279</v>
      </c>
      <c r="C419" t="s">
        <v>65</v>
      </c>
      <c r="D419" t="s">
        <v>66</v>
      </c>
      <c r="E419" t="s">
        <v>22</v>
      </c>
      <c r="F419" t="s">
        <v>23</v>
      </c>
      <c r="G419">
        <v>24</v>
      </c>
      <c r="H419">
        <v>56</v>
      </c>
      <c r="I419">
        <v>21</v>
      </c>
      <c r="J419">
        <v>59</v>
      </c>
      <c r="K419">
        <v>21</v>
      </c>
      <c r="L419" t="b">
        <v>0</v>
      </c>
      <c r="M419">
        <v>81.569999999999993</v>
      </c>
      <c r="N419">
        <v>4812.55</v>
      </c>
      <c r="O419" t="s">
        <v>44</v>
      </c>
    </row>
    <row r="420" spans="1:15">
      <c r="A420" s="1">
        <v>46054</v>
      </c>
      <c r="B420" t="s">
        <v>279</v>
      </c>
      <c r="C420" t="s">
        <v>67</v>
      </c>
      <c r="D420" t="s">
        <v>68</v>
      </c>
      <c r="E420" t="s">
        <v>22</v>
      </c>
      <c r="F420" t="s">
        <v>23</v>
      </c>
      <c r="G420">
        <v>129</v>
      </c>
      <c r="H420">
        <v>0</v>
      </c>
      <c r="I420">
        <v>58</v>
      </c>
      <c r="J420">
        <v>71</v>
      </c>
      <c r="K420">
        <v>87</v>
      </c>
      <c r="L420" t="b">
        <v>1</v>
      </c>
      <c r="M420">
        <v>359.74</v>
      </c>
      <c r="N420">
        <v>25541.69</v>
      </c>
      <c r="O420" t="s">
        <v>27</v>
      </c>
    </row>
    <row r="421" spans="1:15">
      <c r="A421" s="1">
        <v>46054</v>
      </c>
      <c r="B421" t="s">
        <v>279</v>
      </c>
      <c r="C421" t="s">
        <v>69</v>
      </c>
      <c r="D421" t="s">
        <v>70</v>
      </c>
      <c r="E421" t="s">
        <v>71</v>
      </c>
      <c r="F421" t="s">
        <v>23</v>
      </c>
      <c r="G421">
        <v>90</v>
      </c>
      <c r="H421">
        <v>0</v>
      </c>
      <c r="I421">
        <v>38</v>
      </c>
      <c r="J421">
        <v>52</v>
      </c>
      <c r="K421">
        <v>46</v>
      </c>
      <c r="L421" t="b">
        <v>0</v>
      </c>
      <c r="M421">
        <v>104.09</v>
      </c>
      <c r="N421">
        <v>5412.43</v>
      </c>
      <c r="O421" t="s">
        <v>27</v>
      </c>
    </row>
    <row r="422" spans="1:15">
      <c r="A422" s="1">
        <v>46054</v>
      </c>
      <c r="B422" t="s">
        <v>279</v>
      </c>
      <c r="C422" t="s">
        <v>72</v>
      </c>
      <c r="D422" t="s">
        <v>73</v>
      </c>
      <c r="E422" t="s">
        <v>71</v>
      </c>
      <c r="F422" t="s">
        <v>23</v>
      </c>
      <c r="G422">
        <v>232</v>
      </c>
      <c r="H422">
        <v>0</v>
      </c>
      <c r="I422">
        <v>76</v>
      </c>
      <c r="J422">
        <v>156</v>
      </c>
      <c r="K422">
        <v>121</v>
      </c>
      <c r="L422" t="b">
        <v>0</v>
      </c>
      <c r="M422">
        <v>405.43</v>
      </c>
      <c r="N422">
        <v>63247.8</v>
      </c>
      <c r="O422" t="s">
        <v>60</v>
      </c>
    </row>
    <row r="423" spans="1:15">
      <c r="A423" s="1">
        <v>46054</v>
      </c>
      <c r="B423" t="s">
        <v>279</v>
      </c>
      <c r="C423" t="s">
        <v>74</v>
      </c>
      <c r="D423" t="s">
        <v>75</v>
      </c>
      <c r="E423" t="s">
        <v>71</v>
      </c>
      <c r="F423" t="s">
        <v>23</v>
      </c>
      <c r="G423">
        <v>86</v>
      </c>
      <c r="H423">
        <v>179</v>
      </c>
      <c r="I423">
        <v>82</v>
      </c>
      <c r="J423">
        <v>183</v>
      </c>
      <c r="K423">
        <v>87</v>
      </c>
      <c r="L423" t="b">
        <v>0</v>
      </c>
      <c r="M423">
        <v>236.86</v>
      </c>
      <c r="N423">
        <v>43346.2</v>
      </c>
      <c r="O423" t="s">
        <v>37</v>
      </c>
    </row>
    <row r="424" spans="1:15">
      <c r="A424" s="1">
        <v>46054</v>
      </c>
      <c r="B424" t="s">
        <v>279</v>
      </c>
      <c r="C424" t="s">
        <v>76</v>
      </c>
      <c r="D424" t="s">
        <v>77</v>
      </c>
      <c r="E424" t="s">
        <v>71</v>
      </c>
      <c r="F424" t="s">
        <v>23</v>
      </c>
      <c r="G424">
        <v>116</v>
      </c>
      <c r="H424">
        <v>314</v>
      </c>
      <c r="I424">
        <v>94</v>
      </c>
      <c r="J424">
        <v>336</v>
      </c>
      <c r="K424">
        <v>115</v>
      </c>
      <c r="L424" t="b">
        <v>0</v>
      </c>
      <c r="M424">
        <v>1049.18</v>
      </c>
      <c r="N424">
        <v>352522.9</v>
      </c>
      <c r="O424" t="s">
        <v>37</v>
      </c>
    </row>
    <row r="425" spans="1:15">
      <c r="A425" s="1">
        <v>46054</v>
      </c>
      <c r="B425" t="s">
        <v>279</v>
      </c>
      <c r="C425" t="s">
        <v>78</v>
      </c>
      <c r="D425" t="s">
        <v>79</v>
      </c>
      <c r="E425" t="s">
        <v>71</v>
      </c>
      <c r="F425" t="s">
        <v>23</v>
      </c>
      <c r="G425">
        <v>143</v>
      </c>
      <c r="H425">
        <v>0</v>
      </c>
      <c r="I425">
        <v>83</v>
      </c>
      <c r="J425">
        <v>60</v>
      </c>
      <c r="K425">
        <v>81</v>
      </c>
      <c r="L425" t="b">
        <v>1</v>
      </c>
      <c r="M425">
        <v>356.86</v>
      </c>
      <c r="N425">
        <v>21411.7</v>
      </c>
      <c r="O425" t="s">
        <v>47</v>
      </c>
    </row>
    <row r="426" spans="1:15">
      <c r="A426" s="1">
        <v>46054</v>
      </c>
      <c r="B426" t="s">
        <v>279</v>
      </c>
      <c r="C426" t="s">
        <v>80</v>
      </c>
      <c r="D426" t="s">
        <v>81</v>
      </c>
      <c r="E426" t="s">
        <v>71</v>
      </c>
      <c r="F426" t="s">
        <v>23</v>
      </c>
      <c r="G426">
        <v>107</v>
      </c>
      <c r="H426">
        <v>0</v>
      </c>
      <c r="I426">
        <v>46</v>
      </c>
      <c r="J426">
        <v>61</v>
      </c>
      <c r="K426">
        <v>37</v>
      </c>
      <c r="L426" t="b">
        <v>0</v>
      </c>
      <c r="M426">
        <v>1689.34</v>
      </c>
      <c r="N426">
        <v>103049.93</v>
      </c>
      <c r="O426" t="s">
        <v>32</v>
      </c>
    </row>
    <row r="427" spans="1:15">
      <c r="A427" s="1">
        <v>46054</v>
      </c>
      <c r="B427" t="s">
        <v>279</v>
      </c>
      <c r="C427" t="s">
        <v>82</v>
      </c>
      <c r="D427" t="s">
        <v>83</v>
      </c>
      <c r="E427" t="s">
        <v>71</v>
      </c>
      <c r="F427" t="s">
        <v>23</v>
      </c>
      <c r="G427">
        <v>235</v>
      </c>
      <c r="H427">
        <v>0</v>
      </c>
      <c r="I427">
        <v>89</v>
      </c>
      <c r="J427">
        <v>146</v>
      </c>
      <c r="K427">
        <v>193</v>
      </c>
      <c r="L427" t="b">
        <v>1</v>
      </c>
      <c r="M427">
        <v>1788.85</v>
      </c>
      <c r="N427">
        <v>261172.45</v>
      </c>
      <c r="O427" t="s">
        <v>37</v>
      </c>
    </row>
    <row r="428" spans="1:15">
      <c r="A428" s="1">
        <v>46054</v>
      </c>
      <c r="B428" t="s">
        <v>279</v>
      </c>
      <c r="C428" t="s">
        <v>84</v>
      </c>
      <c r="D428" t="s">
        <v>85</v>
      </c>
      <c r="E428" t="s">
        <v>71</v>
      </c>
      <c r="F428" t="s">
        <v>23</v>
      </c>
      <c r="G428">
        <v>537</v>
      </c>
      <c r="H428">
        <v>0</v>
      </c>
      <c r="I428">
        <v>229</v>
      </c>
      <c r="J428">
        <v>308</v>
      </c>
      <c r="K428">
        <v>255</v>
      </c>
      <c r="L428" t="b">
        <v>0</v>
      </c>
      <c r="M428">
        <v>7890.68</v>
      </c>
      <c r="N428">
        <v>2430330.63</v>
      </c>
      <c r="O428" t="s">
        <v>47</v>
      </c>
    </row>
    <row r="429" spans="1:15">
      <c r="A429" s="1">
        <v>46054</v>
      </c>
      <c r="B429" t="s">
        <v>279</v>
      </c>
      <c r="C429" t="s">
        <v>86</v>
      </c>
      <c r="D429" t="s">
        <v>87</v>
      </c>
      <c r="E429" t="s">
        <v>71</v>
      </c>
      <c r="F429" t="s">
        <v>23</v>
      </c>
      <c r="G429">
        <v>113</v>
      </c>
      <c r="H429">
        <v>278</v>
      </c>
      <c r="I429">
        <v>125</v>
      </c>
      <c r="J429">
        <v>266</v>
      </c>
      <c r="K429">
        <v>118</v>
      </c>
      <c r="L429" t="b">
        <v>0</v>
      </c>
      <c r="M429">
        <v>43.33</v>
      </c>
      <c r="N429">
        <v>11525.15</v>
      </c>
      <c r="O429" t="s">
        <v>60</v>
      </c>
    </row>
    <row r="430" spans="1:15">
      <c r="A430" s="1">
        <v>46054</v>
      </c>
      <c r="B430" t="s">
        <v>279</v>
      </c>
      <c r="C430" t="s">
        <v>88</v>
      </c>
      <c r="D430" t="s">
        <v>89</v>
      </c>
      <c r="E430" t="s">
        <v>71</v>
      </c>
      <c r="F430" t="s">
        <v>23</v>
      </c>
      <c r="G430">
        <v>336</v>
      </c>
      <c r="H430">
        <v>579</v>
      </c>
      <c r="I430">
        <v>189</v>
      </c>
      <c r="J430">
        <v>726</v>
      </c>
      <c r="K430">
        <v>314</v>
      </c>
      <c r="L430" t="b">
        <v>0</v>
      </c>
      <c r="M430">
        <v>215.07</v>
      </c>
      <c r="N430">
        <v>156141.73000000001</v>
      </c>
      <c r="O430" t="s">
        <v>32</v>
      </c>
    </row>
    <row r="431" spans="1:15">
      <c r="A431" s="1">
        <v>46054</v>
      </c>
      <c r="B431" t="s">
        <v>279</v>
      </c>
      <c r="C431" t="s">
        <v>92</v>
      </c>
      <c r="D431" t="s">
        <v>93</v>
      </c>
      <c r="E431" t="s">
        <v>71</v>
      </c>
      <c r="F431" t="s">
        <v>23</v>
      </c>
      <c r="G431">
        <v>171</v>
      </c>
      <c r="H431">
        <v>295</v>
      </c>
      <c r="I431">
        <v>131</v>
      </c>
      <c r="J431">
        <v>335</v>
      </c>
      <c r="K431">
        <v>139</v>
      </c>
      <c r="L431" t="b">
        <v>0</v>
      </c>
      <c r="M431">
        <v>253.55</v>
      </c>
      <c r="N431">
        <v>84940.88</v>
      </c>
      <c r="O431" t="s">
        <v>24</v>
      </c>
    </row>
    <row r="432" spans="1:15">
      <c r="A432" s="1">
        <v>46054</v>
      </c>
      <c r="B432" t="s">
        <v>279</v>
      </c>
      <c r="C432" t="s">
        <v>247</v>
      </c>
      <c r="D432" t="s">
        <v>248</v>
      </c>
      <c r="E432" t="s">
        <v>71</v>
      </c>
      <c r="F432" t="s">
        <v>23</v>
      </c>
      <c r="G432">
        <v>223</v>
      </c>
      <c r="H432">
        <v>421</v>
      </c>
      <c r="I432">
        <v>218</v>
      </c>
      <c r="J432">
        <v>426</v>
      </c>
      <c r="K432">
        <v>196</v>
      </c>
      <c r="L432" t="b">
        <v>0</v>
      </c>
      <c r="M432">
        <v>279.52</v>
      </c>
      <c r="N432">
        <v>119077.46</v>
      </c>
      <c r="O432" t="s">
        <v>32</v>
      </c>
    </row>
    <row r="433" spans="1:15">
      <c r="A433" s="1">
        <v>46054</v>
      </c>
      <c r="B433" t="s">
        <v>279</v>
      </c>
      <c r="C433" t="s">
        <v>103</v>
      </c>
      <c r="D433" t="s">
        <v>104</v>
      </c>
      <c r="E433" t="s">
        <v>71</v>
      </c>
      <c r="F433" t="s">
        <v>23</v>
      </c>
      <c r="G433">
        <v>322</v>
      </c>
      <c r="H433">
        <v>0</v>
      </c>
      <c r="I433">
        <v>118</v>
      </c>
      <c r="J433">
        <v>204</v>
      </c>
      <c r="K433">
        <v>161</v>
      </c>
      <c r="L433" t="b">
        <v>0</v>
      </c>
      <c r="M433">
        <v>525.21</v>
      </c>
      <c r="N433">
        <v>107142.9</v>
      </c>
      <c r="O433" t="s">
        <v>98</v>
      </c>
    </row>
    <row r="434" spans="1:15">
      <c r="A434" s="1">
        <v>46054</v>
      </c>
      <c r="B434" t="s">
        <v>279</v>
      </c>
      <c r="C434" t="s">
        <v>105</v>
      </c>
      <c r="D434" t="s">
        <v>106</v>
      </c>
      <c r="E434" t="s">
        <v>71</v>
      </c>
      <c r="F434" t="s">
        <v>23</v>
      </c>
      <c r="G434">
        <v>508</v>
      </c>
      <c r="H434">
        <v>0</v>
      </c>
      <c r="I434">
        <v>173</v>
      </c>
      <c r="J434">
        <v>335</v>
      </c>
      <c r="K434">
        <v>236</v>
      </c>
      <c r="L434" t="b">
        <v>0</v>
      </c>
      <c r="M434">
        <v>2362.56</v>
      </c>
      <c r="N434">
        <v>791456.54</v>
      </c>
      <c r="O434" t="s">
        <v>32</v>
      </c>
    </row>
    <row r="435" spans="1:15">
      <c r="A435" s="1">
        <v>46054</v>
      </c>
      <c r="B435" t="s">
        <v>279</v>
      </c>
      <c r="C435" t="s">
        <v>107</v>
      </c>
      <c r="D435" t="s">
        <v>108</v>
      </c>
      <c r="E435" t="s">
        <v>109</v>
      </c>
      <c r="F435" t="s">
        <v>110</v>
      </c>
      <c r="G435">
        <v>197</v>
      </c>
      <c r="H435">
        <v>0</v>
      </c>
      <c r="I435">
        <v>100</v>
      </c>
      <c r="J435">
        <v>97</v>
      </c>
      <c r="K435">
        <v>96</v>
      </c>
      <c r="L435" t="b">
        <v>0</v>
      </c>
      <c r="M435">
        <v>100.62</v>
      </c>
      <c r="N435">
        <v>9759.9</v>
      </c>
      <c r="O435" t="s">
        <v>24</v>
      </c>
    </row>
    <row r="436" spans="1:15">
      <c r="A436" s="1">
        <v>46054</v>
      </c>
      <c r="B436" t="s">
        <v>279</v>
      </c>
      <c r="C436" t="s">
        <v>113</v>
      </c>
      <c r="D436" t="s">
        <v>114</v>
      </c>
      <c r="E436" t="s">
        <v>109</v>
      </c>
      <c r="F436" t="s">
        <v>110</v>
      </c>
      <c r="G436">
        <v>224</v>
      </c>
      <c r="H436">
        <v>0</v>
      </c>
      <c r="I436">
        <v>84</v>
      </c>
      <c r="J436">
        <v>140</v>
      </c>
      <c r="K436">
        <v>113</v>
      </c>
      <c r="L436" t="b">
        <v>0</v>
      </c>
      <c r="M436">
        <v>132.78</v>
      </c>
      <c r="N436">
        <v>18588.72</v>
      </c>
      <c r="O436" t="s">
        <v>27</v>
      </c>
    </row>
    <row r="437" spans="1:15">
      <c r="A437" s="1">
        <v>46054</v>
      </c>
      <c r="B437" t="s">
        <v>279</v>
      </c>
      <c r="C437" t="s">
        <v>115</v>
      </c>
      <c r="D437" t="s">
        <v>116</v>
      </c>
      <c r="E437" t="s">
        <v>109</v>
      </c>
      <c r="F437" t="s">
        <v>110</v>
      </c>
      <c r="G437">
        <v>386</v>
      </c>
      <c r="H437">
        <v>0</v>
      </c>
      <c r="I437">
        <v>143</v>
      </c>
      <c r="J437">
        <v>243</v>
      </c>
      <c r="K437">
        <v>195</v>
      </c>
      <c r="L437" t="b">
        <v>0</v>
      </c>
      <c r="M437">
        <v>589.13</v>
      </c>
      <c r="N437">
        <v>143157.79</v>
      </c>
      <c r="O437" t="s">
        <v>44</v>
      </c>
    </row>
    <row r="438" spans="1:15">
      <c r="A438" s="1">
        <v>46054</v>
      </c>
      <c r="B438" t="s">
        <v>279</v>
      </c>
      <c r="C438" t="s">
        <v>119</v>
      </c>
      <c r="D438" t="s">
        <v>120</v>
      </c>
      <c r="E438" t="s">
        <v>109</v>
      </c>
      <c r="F438" t="s">
        <v>110</v>
      </c>
      <c r="G438">
        <v>392</v>
      </c>
      <c r="H438">
        <v>0</v>
      </c>
      <c r="I438">
        <v>165</v>
      </c>
      <c r="J438">
        <v>227</v>
      </c>
      <c r="K438">
        <v>247</v>
      </c>
      <c r="L438" t="b">
        <v>1</v>
      </c>
      <c r="M438">
        <v>202.67</v>
      </c>
      <c r="N438">
        <v>46005.56</v>
      </c>
      <c r="O438" t="s">
        <v>32</v>
      </c>
    </row>
    <row r="439" spans="1:15">
      <c r="A439" s="1">
        <v>46054</v>
      </c>
      <c r="B439" t="s">
        <v>279</v>
      </c>
      <c r="C439" t="s">
        <v>121</v>
      </c>
      <c r="D439" t="s">
        <v>122</v>
      </c>
      <c r="E439" t="s">
        <v>109</v>
      </c>
      <c r="F439" t="s">
        <v>110</v>
      </c>
      <c r="G439">
        <v>425</v>
      </c>
      <c r="H439">
        <v>0</v>
      </c>
      <c r="I439">
        <v>198</v>
      </c>
      <c r="J439">
        <v>227</v>
      </c>
      <c r="K439">
        <v>261</v>
      </c>
      <c r="L439" t="b">
        <v>1</v>
      </c>
      <c r="M439">
        <v>40.21</v>
      </c>
      <c r="N439">
        <v>9127.5499999999993</v>
      </c>
      <c r="O439" t="s">
        <v>47</v>
      </c>
    </row>
    <row r="440" spans="1:15">
      <c r="A440" s="1">
        <v>46054</v>
      </c>
      <c r="B440" t="s">
        <v>279</v>
      </c>
      <c r="C440" t="s">
        <v>125</v>
      </c>
      <c r="D440" t="s">
        <v>126</v>
      </c>
      <c r="E440" t="s">
        <v>109</v>
      </c>
      <c r="F440" t="s">
        <v>110</v>
      </c>
      <c r="G440">
        <v>183</v>
      </c>
      <c r="H440">
        <v>0</v>
      </c>
      <c r="I440">
        <v>63</v>
      </c>
      <c r="J440">
        <v>120</v>
      </c>
      <c r="K440">
        <v>126</v>
      </c>
      <c r="L440" t="b">
        <v>1</v>
      </c>
      <c r="M440">
        <v>138.72999999999999</v>
      </c>
      <c r="N440">
        <v>16647.7</v>
      </c>
      <c r="O440" t="s">
        <v>47</v>
      </c>
    </row>
    <row r="441" spans="1:15">
      <c r="A441" s="1">
        <v>46054</v>
      </c>
      <c r="B441" t="s">
        <v>279</v>
      </c>
      <c r="C441" t="s">
        <v>127</v>
      </c>
      <c r="D441" t="s">
        <v>128</v>
      </c>
      <c r="E441" t="s">
        <v>109</v>
      </c>
      <c r="F441" t="s">
        <v>110</v>
      </c>
      <c r="G441">
        <v>75</v>
      </c>
      <c r="H441">
        <v>0</v>
      </c>
      <c r="I441">
        <v>33</v>
      </c>
      <c r="J441">
        <v>42</v>
      </c>
      <c r="K441">
        <v>43</v>
      </c>
      <c r="L441" t="b">
        <v>1</v>
      </c>
      <c r="M441">
        <v>602.99</v>
      </c>
      <c r="N441">
        <v>25325.67</v>
      </c>
      <c r="O441" t="s">
        <v>44</v>
      </c>
    </row>
    <row r="442" spans="1:15">
      <c r="A442" s="1">
        <v>46054</v>
      </c>
      <c r="B442" t="s">
        <v>279</v>
      </c>
      <c r="C442" t="s">
        <v>129</v>
      </c>
      <c r="D442" t="s">
        <v>130</v>
      </c>
      <c r="E442" t="s">
        <v>109</v>
      </c>
      <c r="F442" t="s">
        <v>110</v>
      </c>
      <c r="G442">
        <v>438</v>
      </c>
      <c r="H442">
        <v>0</v>
      </c>
      <c r="I442">
        <v>194</v>
      </c>
      <c r="J442">
        <v>244</v>
      </c>
      <c r="K442">
        <v>122</v>
      </c>
      <c r="L442" t="b">
        <v>0</v>
      </c>
      <c r="M442">
        <v>434.91</v>
      </c>
      <c r="N442">
        <v>106117.46</v>
      </c>
      <c r="O442" t="s">
        <v>32</v>
      </c>
    </row>
    <row r="443" spans="1:15">
      <c r="A443" s="1">
        <v>46054</v>
      </c>
      <c r="B443" t="s">
        <v>279</v>
      </c>
      <c r="C443" t="s">
        <v>131</v>
      </c>
      <c r="D443" t="s">
        <v>132</v>
      </c>
      <c r="E443" t="s">
        <v>109</v>
      </c>
      <c r="F443" t="s">
        <v>110</v>
      </c>
      <c r="G443">
        <v>284</v>
      </c>
      <c r="H443">
        <v>0</v>
      </c>
      <c r="I443">
        <v>113</v>
      </c>
      <c r="J443">
        <v>171</v>
      </c>
      <c r="K443">
        <v>128</v>
      </c>
      <c r="L443" t="b">
        <v>0</v>
      </c>
      <c r="M443">
        <v>1905.13</v>
      </c>
      <c r="N443">
        <v>325776.89</v>
      </c>
      <c r="O443" t="s">
        <v>24</v>
      </c>
    </row>
    <row r="444" spans="1:15">
      <c r="A444" s="1">
        <v>46054</v>
      </c>
      <c r="B444" t="s">
        <v>279</v>
      </c>
      <c r="C444" t="s">
        <v>133</v>
      </c>
      <c r="D444" t="s">
        <v>134</v>
      </c>
      <c r="E444" t="s">
        <v>109</v>
      </c>
      <c r="F444" t="s">
        <v>110</v>
      </c>
      <c r="G444">
        <v>34</v>
      </c>
      <c r="H444">
        <v>0</v>
      </c>
      <c r="I444">
        <v>19</v>
      </c>
      <c r="J444">
        <v>15</v>
      </c>
      <c r="K444">
        <v>16</v>
      </c>
      <c r="L444" t="b">
        <v>1</v>
      </c>
      <c r="M444">
        <v>22.08</v>
      </c>
      <c r="N444">
        <v>331.24</v>
      </c>
      <c r="O444" t="s">
        <v>98</v>
      </c>
    </row>
    <row r="445" spans="1:15">
      <c r="A445" s="1">
        <v>46054</v>
      </c>
      <c r="B445" t="s">
        <v>279</v>
      </c>
      <c r="C445" t="s">
        <v>135</v>
      </c>
      <c r="D445" t="s">
        <v>136</v>
      </c>
      <c r="E445" t="s">
        <v>109</v>
      </c>
      <c r="F445" t="s">
        <v>110</v>
      </c>
      <c r="G445">
        <v>253</v>
      </c>
      <c r="H445">
        <v>0</v>
      </c>
      <c r="I445">
        <v>150</v>
      </c>
      <c r="J445">
        <v>103</v>
      </c>
      <c r="K445">
        <v>161</v>
      </c>
      <c r="L445" t="b">
        <v>1</v>
      </c>
      <c r="M445">
        <v>99</v>
      </c>
      <c r="N445">
        <v>10196.65</v>
      </c>
      <c r="O445" t="s">
        <v>32</v>
      </c>
    </row>
    <row r="446" spans="1:15">
      <c r="A446" s="1">
        <v>46054</v>
      </c>
      <c r="B446" t="s">
        <v>279</v>
      </c>
      <c r="C446" t="s">
        <v>137</v>
      </c>
      <c r="D446" t="s">
        <v>138</v>
      </c>
      <c r="E446" t="s">
        <v>109</v>
      </c>
      <c r="F446" t="s">
        <v>110</v>
      </c>
      <c r="G446">
        <v>346</v>
      </c>
      <c r="H446">
        <v>0</v>
      </c>
      <c r="I446">
        <v>179</v>
      </c>
      <c r="J446">
        <v>167</v>
      </c>
      <c r="K446">
        <v>210</v>
      </c>
      <c r="L446" t="b">
        <v>1</v>
      </c>
      <c r="M446">
        <v>58.14</v>
      </c>
      <c r="N446">
        <v>9709.31</v>
      </c>
      <c r="O446" t="s">
        <v>27</v>
      </c>
    </row>
    <row r="447" spans="1:15">
      <c r="A447" s="1">
        <v>46054</v>
      </c>
      <c r="B447" t="s">
        <v>279</v>
      </c>
      <c r="C447" t="s">
        <v>139</v>
      </c>
      <c r="D447" t="s">
        <v>140</v>
      </c>
      <c r="E447" t="s">
        <v>109</v>
      </c>
      <c r="F447" t="s">
        <v>110</v>
      </c>
      <c r="G447">
        <v>36</v>
      </c>
      <c r="H447">
        <v>41</v>
      </c>
      <c r="I447">
        <v>22</v>
      </c>
      <c r="J447">
        <v>55</v>
      </c>
      <c r="K447">
        <v>17</v>
      </c>
      <c r="L447" t="b">
        <v>0</v>
      </c>
      <c r="M447">
        <v>301.49</v>
      </c>
      <c r="N447">
        <v>16581.810000000001</v>
      </c>
      <c r="O447" t="s">
        <v>32</v>
      </c>
    </row>
    <row r="448" spans="1:15">
      <c r="A448" s="1">
        <v>46054</v>
      </c>
      <c r="B448" t="s">
        <v>279</v>
      </c>
      <c r="C448" t="s">
        <v>143</v>
      </c>
      <c r="D448" t="s">
        <v>144</v>
      </c>
      <c r="E448" t="s">
        <v>109</v>
      </c>
      <c r="F448" t="s">
        <v>110</v>
      </c>
      <c r="G448">
        <v>49</v>
      </c>
      <c r="H448">
        <v>86</v>
      </c>
      <c r="I448">
        <v>36</v>
      </c>
      <c r="J448">
        <v>99</v>
      </c>
      <c r="K448">
        <v>56</v>
      </c>
      <c r="L448" t="b">
        <v>0</v>
      </c>
      <c r="M448">
        <v>398.42</v>
      </c>
      <c r="N448">
        <v>39444.03</v>
      </c>
      <c r="O448" t="s">
        <v>24</v>
      </c>
    </row>
    <row r="449" spans="1:15">
      <c r="A449" s="1">
        <v>46054</v>
      </c>
      <c r="B449" t="s">
        <v>279</v>
      </c>
      <c r="C449" t="s">
        <v>152</v>
      </c>
      <c r="D449" t="s">
        <v>153</v>
      </c>
      <c r="E449" t="s">
        <v>151</v>
      </c>
      <c r="F449" t="s">
        <v>23</v>
      </c>
      <c r="G449">
        <v>212</v>
      </c>
      <c r="H449">
        <v>258</v>
      </c>
      <c r="I449">
        <v>102</v>
      </c>
      <c r="J449">
        <v>368</v>
      </c>
      <c r="K449">
        <v>102</v>
      </c>
      <c r="L449" t="b">
        <v>0</v>
      </c>
      <c r="M449">
        <v>1190.3</v>
      </c>
      <c r="N449">
        <v>438029.69</v>
      </c>
      <c r="O449" t="s">
        <v>98</v>
      </c>
    </row>
    <row r="450" spans="1:15">
      <c r="A450" s="1">
        <v>46054</v>
      </c>
      <c r="B450" t="s">
        <v>279</v>
      </c>
      <c r="C450" t="s">
        <v>154</v>
      </c>
      <c r="D450" t="s">
        <v>155</v>
      </c>
      <c r="E450" t="s">
        <v>151</v>
      </c>
      <c r="F450" t="s">
        <v>23</v>
      </c>
      <c r="G450">
        <v>171</v>
      </c>
      <c r="H450">
        <v>0</v>
      </c>
      <c r="I450">
        <v>77</v>
      </c>
      <c r="J450">
        <v>94</v>
      </c>
      <c r="K450">
        <v>134</v>
      </c>
      <c r="L450" t="b">
        <v>1</v>
      </c>
      <c r="M450">
        <v>307.22000000000003</v>
      </c>
      <c r="N450">
        <v>28878.39</v>
      </c>
      <c r="O450" t="s">
        <v>60</v>
      </c>
    </row>
    <row r="451" spans="1:15">
      <c r="A451" s="1">
        <v>46054</v>
      </c>
      <c r="B451" t="s">
        <v>279</v>
      </c>
      <c r="C451" t="s">
        <v>156</v>
      </c>
      <c r="D451" t="s">
        <v>157</v>
      </c>
      <c r="E451" t="s">
        <v>151</v>
      </c>
      <c r="F451" t="s">
        <v>23</v>
      </c>
      <c r="G451">
        <v>488</v>
      </c>
      <c r="H451">
        <v>0</v>
      </c>
      <c r="I451">
        <v>147</v>
      </c>
      <c r="J451">
        <v>341</v>
      </c>
      <c r="K451">
        <v>159</v>
      </c>
      <c r="L451" t="b">
        <v>0</v>
      </c>
      <c r="M451">
        <v>1515.56</v>
      </c>
      <c r="N451">
        <v>516806.76</v>
      </c>
      <c r="O451" t="s">
        <v>32</v>
      </c>
    </row>
    <row r="452" spans="1:15">
      <c r="A452" s="1">
        <v>46054</v>
      </c>
      <c r="B452" t="s">
        <v>279</v>
      </c>
      <c r="C452" t="s">
        <v>158</v>
      </c>
      <c r="D452" t="s">
        <v>159</v>
      </c>
      <c r="E452" t="s">
        <v>151</v>
      </c>
      <c r="F452" t="s">
        <v>23</v>
      </c>
      <c r="G452">
        <v>456</v>
      </c>
      <c r="H452">
        <v>0</v>
      </c>
      <c r="I452">
        <v>189</v>
      </c>
      <c r="J452">
        <v>267</v>
      </c>
      <c r="K452">
        <v>140</v>
      </c>
      <c r="L452" t="b">
        <v>0</v>
      </c>
      <c r="M452">
        <v>42.7</v>
      </c>
      <c r="N452">
        <v>11399.62</v>
      </c>
      <c r="O452" t="s">
        <v>37</v>
      </c>
    </row>
    <row r="453" spans="1:15">
      <c r="A453" s="1">
        <v>46054</v>
      </c>
      <c r="B453" t="s">
        <v>279</v>
      </c>
      <c r="C453" t="s">
        <v>160</v>
      </c>
      <c r="D453" t="s">
        <v>161</v>
      </c>
      <c r="E453" t="s">
        <v>151</v>
      </c>
      <c r="F453" t="s">
        <v>23</v>
      </c>
      <c r="G453">
        <v>107</v>
      </c>
      <c r="H453">
        <v>0</v>
      </c>
      <c r="I453">
        <v>57</v>
      </c>
      <c r="J453">
        <v>50</v>
      </c>
      <c r="K453">
        <v>46</v>
      </c>
      <c r="L453" t="b">
        <v>0</v>
      </c>
      <c r="M453">
        <v>225.98</v>
      </c>
      <c r="N453">
        <v>11299.02</v>
      </c>
      <c r="O453" t="s">
        <v>24</v>
      </c>
    </row>
    <row r="454" spans="1:15">
      <c r="A454" s="1">
        <v>46054</v>
      </c>
      <c r="B454" t="s">
        <v>279</v>
      </c>
      <c r="C454" t="s">
        <v>162</v>
      </c>
      <c r="D454" t="s">
        <v>163</v>
      </c>
      <c r="E454" t="s">
        <v>151</v>
      </c>
      <c r="F454" t="s">
        <v>23</v>
      </c>
      <c r="G454">
        <v>85</v>
      </c>
      <c r="H454">
        <v>0</v>
      </c>
      <c r="I454">
        <v>40</v>
      </c>
      <c r="J454">
        <v>45</v>
      </c>
      <c r="K454">
        <v>67</v>
      </c>
      <c r="L454" t="b">
        <v>1</v>
      </c>
      <c r="M454">
        <v>215.9</v>
      </c>
      <c r="N454">
        <v>9715.51</v>
      </c>
      <c r="O454" t="s">
        <v>37</v>
      </c>
    </row>
    <row r="455" spans="1:15">
      <c r="A455" s="1">
        <v>46054</v>
      </c>
      <c r="B455" t="s">
        <v>279</v>
      </c>
      <c r="C455" t="s">
        <v>164</v>
      </c>
      <c r="D455" t="s">
        <v>165</v>
      </c>
      <c r="E455" t="s">
        <v>151</v>
      </c>
      <c r="F455" t="s">
        <v>23</v>
      </c>
      <c r="G455">
        <v>230</v>
      </c>
      <c r="H455">
        <v>0</v>
      </c>
      <c r="I455">
        <v>76</v>
      </c>
      <c r="J455">
        <v>154</v>
      </c>
      <c r="K455">
        <v>84</v>
      </c>
      <c r="L455" t="b">
        <v>0</v>
      </c>
      <c r="M455">
        <v>907.52</v>
      </c>
      <c r="N455">
        <v>139758.54999999999</v>
      </c>
      <c r="O455" t="s">
        <v>98</v>
      </c>
    </row>
    <row r="456" spans="1:15">
      <c r="A456" s="1">
        <v>46054</v>
      </c>
      <c r="B456" t="s">
        <v>279</v>
      </c>
      <c r="C456" t="s">
        <v>166</v>
      </c>
      <c r="D456" t="s">
        <v>167</v>
      </c>
      <c r="E456" t="s">
        <v>151</v>
      </c>
      <c r="F456" t="s">
        <v>23</v>
      </c>
      <c r="G456">
        <v>328</v>
      </c>
      <c r="H456">
        <v>0</v>
      </c>
      <c r="I456">
        <v>131</v>
      </c>
      <c r="J456">
        <v>197</v>
      </c>
      <c r="K456">
        <v>146</v>
      </c>
      <c r="L456" t="b">
        <v>0</v>
      </c>
      <c r="M456">
        <v>131.76</v>
      </c>
      <c r="N456">
        <v>25957.11</v>
      </c>
      <c r="O456" t="s">
        <v>44</v>
      </c>
    </row>
    <row r="457" spans="1:15">
      <c r="A457" s="1">
        <v>46054</v>
      </c>
      <c r="B457" t="s">
        <v>279</v>
      </c>
      <c r="C457" t="s">
        <v>249</v>
      </c>
      <c r="D457" t="s">
        <v>250</v>
      </c>
      <c r="E457" t="s">
        <v>151</v>
      </c>
      <c r="F457" t="s">
        <v>23</v>
      </c>
      <c r="G457">
        <v>190</v>
      </c>
      <c r="H457">
        <v>488</v>
      </c>
      <c r="I457">
        <v>130</v>
      </c>
      <c r="J457">
        <v>548</v>
      </c>
      <c r="K457">
        <v>231</v>
      </c>
      <c r="L457" t="b">
        <v>0</v>
      </c>
      <c r="M457">
        <v>592.71</v>
      </c>
      <c r="N457">
        <v>324802.7</v>
      </c>
      <c r="O457" t="s">
        <v>32</v>
      </c>
    </row>
    <row r="458" spans="1:15">
      <c r="A458" s="1">
        <v>46054</v>
      </c>
      <c r="B458" t="s">
        <v>279</v>
      </c>
      <c r="C458" t="s">
        <v>168</v>
      </c>
      <c r="D458" t="s">
        <v>169</v>
      </c>
      <c r="E458" t="s">
        <v>151</v>
      </c>
      <c r="F458" t="s">
        <v>23</v>
      </c>
      <c r="G458">
        <v>320</v>
      </c>
      <c r="H458">
        <v>0</v>
      </c>
      <c r="I458">
        <v>219</v>
      </c>
      <c r="J458">
        <v>101</v>
      </c>
      <c r="K458">
        <v>180</v>
      </c>
      <c r="L458" t="b">
        <v>1</v>
      </c>
      <c r="M458">
        <v>644.48</v>
      </c>
      <c r="N458">
        <v>65092.639999999999</v>
      </c>
      <c r="O458" t="s">
        <v>27</v>
      </c>
    </row>
    <row r="459" spans="1:15">
      <c r="A459" s="1">
        <v>46054</v>
      </c>
      <c r="B459" t="s">
        <v>279</v>
      </c>
      <c r="C459" t="s">
        <v>170</v>
      </c>
      <c r="D459" t="s">
        <v>171</v>
      </c>
      <c r="E459" t="s">
        <v>151</v>
      </c>
      <c r="F459" t="s">
        <v>23</v>
      </c>
      <c r="G459">
        <v>141</v>
      </c>
      <c r="H459">
        <v>0</v>
      </c>
      <c r="I459">
        <v>76</v>
      </c>
      <c r="J459">
        <v>65</v>
      </c>
      <c r="K459">
        <v>96</v>
      </c>
      <c r="L459" t="b">
        <v>1</v>
      </c>
      <c r="M459">
        <v>3073.19</v>
      </c>
      <c r="N459">
        <v>199757.15</v>
      </c>
      <c r="O459" t="s">
        <v>47</v>
      </c>
    </row>
    <row r="460" spans="1:15">
      <c r="A460" s="1">
        <v>46054</v>
      </c>
      <c r="B460" t="s">
        <v>279</v>
      </c>
      <c r="C460" t="s">
        <v>172</v>
      </c>
      <c r="D460" t="s">
        <v>173</v>
      </c>
      <c r="E460" t="s">
        <v>151</v>
      </c>
      <c r="F460" t="s">
        <v>23</v>
      </c>
      <c r="G460">
        <v>298</v>
      </c>
      <c r="H460">
        <v>294</v>
      </c>
      <c r="I460">
        <v>90</v>
      </c>
      <c r="J460">
        <v>502</v>
      </c>
      <c r="K460">
        <v>168</v>
      </c>
      <c r="L460" t="b">
        <v>0</v>
      </c>
      <c r="M460">
        <v>465.4</v>
      </c>
      <c r="N460">
        <v>233631.18</v>
      </c>
      <c r="O460" t="s">
        <v>24</v>
      </c>
    </row>
    <row r="461" spans="1:15">
      <c r="A461" s="1">
        <v>46054</v>
      </c>
      <c r="B461" t="s">
        <v>279</v>
      </c>
      <c r="C461" t="s">
        <v>174</v>
      </c>
      <c r="D461" t="s">
        <v>175</v>
      </c>
      <c r="E461" t="s">
        <v>151</v>
      </c>
      <c r="F461" t="s">
        <v>23</v>
      </c>
      <c r="G461">
        <v>494</v>
      </c>
      <c r="H461">
        <v>0</v>
      </c>
      <c r="I461">
        <v>198</v>
      </c>
      <c r="J461">
        <v>296</v>
      </c>
      <c r="K461">
        <v>232</v>
      </c>
      <c r="L461" t="b">
        <v>0</v>
      </c>
      <c r="M461">
        <v>2298.96</v>
      </c>
      <c r="N461">
        <v>680493.48</v>
      </c>
      <c r="O461" t="s">
        <v>27</v>
      </c>
    </row>
    <row r="462" spans="1:15">
      <c r="A462" s="1">
        <v>46054</v>
      </c>
      <c r="B462" t="s">
        <v>279</v>
      </c>
      <c r="C462" t="s">
        <v>176</v>
      </c>
      <c r="D462" t="s">
        <v>177</v>
      </c>
      <c r="E462" t="s">
        <v>151</v>
      </c>
      <c r="F462" t="s">
        <v>23</v>
      </c>
      <c r="G462">
        <v>88</v>
      </c>
      <c r="H462">
        <v>165</v>
      </c>
      <c r="I462">
        <v>66</v>
      </c>
      <c r="J462">
        <v>187</v>
      </c>
      <c r="K462">
        <v>93</v>
      </c>
      <c r="L462" t="b">
        <v>0</v>
      </c>
      <c r="M462">
        <v>64.88</v>
      </c>
      <c r="N462">
        <v>12131.68</v>
      </c>
      <c r="O462" t="s">
        <v>27</v>
      </c>
    </row>
    <row r="463" spans="1:15">
      <c r="A463" s="1">
        <v>46054</v>
      </c>
      <c r="B463" t="s">
        <v>279</v>
      </c>
      <c r="C463" t="s">
        <v>178</v>
      </c>
      <c r="D463" t="s">
        <v>179</v>
      </c>
      <c r="E463" t="s">
        <v>151</v>
      </c>
      <c r="F463" t="s">
        <v>23</v>
      </c>
      <c r="G463">
        <v>53</v>
      </c>
      <c r="H463">
        <v>0</v>
      </c>
      <c r="I463">
        <v>39</v>
      </c>
      <c r="J463">
        <v>14</v>
      </c>
      <c r="K463">
        <v>39</v>
      </c>
      <c r="L463" t="b">
        <v>1</v>
      </c>
      <c r="M463">
        <v>334.46</v>
      </c>
      <c r="N463">
        <v>4682.3999999999996</v>
      </c>
      <c r="O463" t="s">
        <v>32</v>
      </c>
    </row>
    <row r="464" spans="1:15">
      <c r="A464" s="1">
        <v>46054</v>
      </c>
      <c r="B464" t="s">
        <v>279</v>
      </c>
      <c r="C464" t="s">
        <v>180</v>
      </c>
      <c r="D464" t="s">
        <v>181</v>
      </c>
      <c r="E464" t="s">
        <v>151</v>
      </c>
      <c r="F464" t="s">
        <v>23</v>
      </c>
      <c r="G464">
        <v>152</v>
      </c>
      <c r="H464">
        <v>378</v>
      </c>
      <c r="I464">
        <v>98</v>
      </c>
      <c r="J464">
        <v>432</v>
      </c>
      <c r="K464">
        <v>130</v>
      </c>
      <c r="L464" t="b">
        <v>0</v>
      </c>
      <c r="M464">
        <v>53.72</v>
      </c>
      <c r="N464">
        <v>23207.39</v>
      </c>
      <c r="O464" t="s">
        <v>44</v>
      </c>
    </row>
    <row r="465" spans="1:15">
      <c r="A465" s="1">
        <v>46054</v>
      </c>
      <c r="B465" t="s">
        <v>279</v>
      </c>
      <c r="C465" t="s">
        <v>182</v>
      </c>
      <c r="D465" t="s">
        <v>183</v>
      </c>
      <c r="E465" t="s">
        <v>151</v>
      </c>
      <c r="F465" t="s">
        <v>23</v>
      </c>
      <c r="G465">
        <v>126</v>
      </c>
      <c r="H465">
        <v>148</v>
      </c>
      <c r="I465">
        <v>40</v>
      </c>
      <c r="J465">
        <v>234</v>
      </c>
      <c r="K465">
        <v>66</v>
      </c>
      <c r="L465" t="b">
        <v>0</v>
      </c>
      <c r="M465">
        <v>260.35000000000002</v>
      </c>
      <c r="N465">
        <v>60921.94</v>
      </c>
      <c r="O465" t="s">
        <v>32</v>
      </c>
    </row>
    <row r="466" spans="1:15">
      <c r="A466" s="1">
        <v>46054</v>
      </c>
      <c r="B466" t="s">
        <v>279</v>
      </c>
      <c r="C466" t="s">
        <v>251</v>
      </c>
      <c r="D466" t="s">
        <v>252</v>
      </c>
      <c r="E466" t="s">
        <v>151</v>
      </c>
      <c r="F466" t="s">
        <v>23</v>
      </c>
      <c r="G466">
        <v>435</v>
      </c>
      <c r="H466">
        <v>0</v>
      </c>
      <c r="I466">
        <v>233</v>
      </c>
      <c r="J466">
        <v>202</v>
      </c>
      <c r="K466">
        <v>261</v>
      </c>
      <c r="L466" t="b">
        <v>1</v>
      </c>
      <c r="M466">
        <v>78.89</v>
      </c>
      <c r="N466">
        <v>15934.78</v>
      </c>
      <c r="O466" t="s">
        <v>44</v>
      </c>
    </row>
    <row r="467" spans="1:15">
      <c r="A467" s="1">
        <v>46054</v>
      </c>
      <c r="B467" t="s">
        <v>279</v>
      </c>
      <c r="C467" t="s">
        <v>184</v>
      </c>
      <c r="D467" t="s">
        <v>185</v>
      </c>
      <c r="E467" t="s">
        <v>151</v>
      </c>
      <c r="F467" t="s">
        <v>23</v>
      </c>
      <c r="G467">
        <v>88</v>
      </c>
      <c r="H467">
        <v>247</v>
      </c>
      <c r="I467">
        <v>60</v>
      </c>
      <c r="J467">
        <v>275</v>
      </c>
      <c r="K467">
        <v>88</v>
      </c>
      <c r="L467" t="b">
        <v>0</v>
      </c>
      <c r="M467">
        <v>379.98</v>
      </c>
      <c r="N467">
        <v>104493.64</v>
      </c>
      <c r="O467" t="s">
        <v>60</v>
      </c>
    </row>
    <row r="468" spans="1:15">
      <c r="A468" s="1">
        <v>46054</v>
      </c>
      <c r="B468" t="s">
        <v>279</v>
      </c>
      <c r="C468" t="s">
        <v>186</v>
      </c>
      <c r="D468" t="s">
        <v>187</v>
      </c>
      <c r="E468" t="s">
        <v>188</v>
      </c>
      <c r="F468" t="s">
        <v>23</v>
      </c>
      <c r="G468">
        <v>44</v>
      </c>
      <c r="H468">
        <v>0</v>
      </c>
      <c r="I468">
        <v>18</v>
      </c>
      <c r="J468">
        <v>26</v>
      </c>
      <c r="K468">
        <v>15</v>
      </c>
      <c r="L468" t="b">
        <v>0</v>
      </c>
      <c r="M468">
        <v>131.13</v>
      </c>
      <c r="N468">
        <v>3409.43</v>
      </c>
      <c r="O468" t="s">
        <v>24</v>
      </c>
    </row>
    <row r="469" spans="1:15">
      <c r="A469" s="1">
        <v>46054</v>
      </c>
      <c r="B469" t="s">
        <v>279</v>
      </c>
      <c r="C469" t="s">
        <v>189</v>
      </c>
      <c r="D469" t="s">
        <v>190</v>
      </c>
      <c r="E469" t="s">
        <v>188</v>
      </c>
      <c r="F469" t="s">
        <v>23</v>
      </c>
      <c r="G469">
        <v>281</v>
      </c>
      <c r="H469">
        <v>0</v>
      </c>
      <c r="I469">
        <v>127</v>
      </c>
      <c r="J469">
        <v>154</v>
      </c>
      <c r="K469">
        <v>135</v>
      </c>
      <c r="L469" t="b">
        <v>0</v>
      </c>
      <c r="M469">
        <v>542.69000000000005</v>
      </c>
      <c r="N469">
        <v>83573.58</v>
      </c>
      <c r="O469" t="s">
        <v>98</v>
      </c>
    </row>
    <row r="470" spans="1:15">
      <c r="A470" s="1">
        <v>46054</v>
      </c>
      <c r="B470" t="s">
        <v>279</v>
      </c>
      <c r="C470" t="s">
        <v>195</v>
      </c>
      <c r="D470" t="s">
        <v>196</v>
      </c>
      <c r="E470" t="s">
        <v>188</v>
      </c>
      <c r="F470" t="s">
        <v>23</v>
      </c>
      <c r="G470">
        <v>218</v>
      </c>
      <c r="H470">
        <v>453</v>
      </c>
      <c r="I470">
        <v>221</v>
      </c>
      <c r="J470">
        <v>450</v>
      </c>
      <c r="K470">
        <v>213</v>
      </c>
      <c r="L470" t="b">
        <v>0</v>
      </c>
      <c r="M470">
        <v>63.43</v>
      </c>
      <c r="N470">
        <v>28544.42</v>
      </c>
      <c r="O470" t="s">
        <v>47</v>
      </c>
    </row>
    <row r="471" spans="1:15">
      <c r="A471" s="1">
        <v>46054</v>
      </c>
      <c r="B471" t="s">
        <v>279</v>
      </c>
      <c r="C471" t="s">
        <v>253</v>
      </c>
      <c r="D471" t="s">
        <v>254</v>
      </c>
      <c r="E471" t="s">
        <v>188</v>
      </c>
      <c r="F471" t="s">
        <v>23</v>
      </c>
      <c r="G471">
        <v>265</v>
      </c>
      <c r="H471">
        <v>0</v>
      </c>
      <c r="I471">
        <v>140</v>
      </c>
      <c r="J471">
        <v>125</v>
      </c>
      <c r="K471">
        <v>171</v>
      </c>
      <c r="L471" t="b">
        <v>1</v>
      </c>
      <c r="M471">
        <v>324.42</v>
      </c>
      <c r="N471">
        <v>40552.75</v>
      </c>
      <c r="O471" t="s">
        <v>60</v>
      </c>
    </row>
    <row r="472" spans="1:15">
      <c r="A472" s="1">
        <v>46054</v>
      </c>
      <c r="B472" t="s">
        <v>279</v>
      </c>
      <c r="C472" t="s">
        <v>197</v>
      </c>
      <c r="D472" t="s">
        <v>198</v>
      </c>
      <c r="E472" t="s">
        <v>188</v>
      </c>
      <c r="F472" t="s">
        <v>23</v>
      </c>
      <c r="G472">
        <v>122</v>
      </c>
      <c r="H472">
        <v>0</v>
      </c>
      <c r="I472">
        <v>50</v>
      </c>
      <c r="J472">
        <v>72</v>
      </c>
      <c r="K472">
        <v>55</v>
      </c>
      <c r="L472" t="b">
        <v>0</v>
      </c>
      <c r="M472">
        <v>115.85</v>
      </c>
      <c r="N472">
        <v>8341.2199999999993</v>
      </c>
      <c r="O472" t="s">
        <v>98</v>
      </c>
    </row>
    <row r="473" spans="1:15">
      <c r="A473" s="1">
        <v>46054</v>
      </c>
      <c r="B473" t="s">
        <v>279</v>
      </c>
      <c r="C473" t="s">
        <v>199</v>
      </c>
      <c r="D473" t="s">
        <v>200</v>
      </c>
      <c r="E473" t="s">
        <v>188</v>
      </c>
      <c r="F473" t="s">
        <v>23</v>
      </c>
      <c r="G473">
        <v>156</v>
      </c>
      <c r="H473">
        <v>0</v>
      </c>
      <c r="I473">
        <v>130</v>
      </c>
      <c r="J473">
        <v>26</v>
      </c>
      <c r="K473">
        <v>112</v>
      </c>
      <c r="L473" t="b">
        <v>1</v>
      </c>
      <c r="M473">
        <v>533.84</v>
      </c>
      <c r="N473">
        <v>13879.88</v>
      </c>
      <c r="O473" t="s">
        <v>98</v>
      </c>
    </row>
    <row r="474" spans="1:15">
      <c r="A474" s="1">
        <v>46054</v>
      </c>
      <c r="B474" t="s">
        <v>279</v>
      </c>
      <c r="C474" t="s">
        <v>201</v>
      </c>
      <c r="D474" t="s">
        <v>202</v>
      </c>
      <c r="E474" t="s">
        <v>188</v>
      </c>
      <c r="F474" t="s">
        <v>23</v>
      </c>
      <c r="G474">
        <v>486</v>
      </c>
      <c r="H474">
        <v>0</v>
      </c>
      <c r="I474">
        <v>221</v>
      </c>
      <c r="J474">
        <v>265</v>
      </c>
      <c r="K474">
        <v>194</v>
      </c>
      <c r="L474" t="b">
        <v>0</v>
      </c>
      <c r="M474">
        <v>862.91</v>
      </c>
      <c r="N474">
        <v>228670.09</v>
      </c>
      <c r="O474" t="s">
        <v>47</v>
      </c>
    </row>
    <row r="475" spans="1:15">
      <c r="A475" s="1">
        <v>46054</v>
      </c>
      <c r="B475" t="s">
        <v>279</v>
      </c>
      <c r="C475" t="s">
        <v>203</v>
      </c>
      <c r="D475" t="s">
        <v>204</v>
      </c>
      <c r="E475" t="s">
        <v>188</v>
      </c>
      <c r="F475" t="s">
        <v>23</v>
      </c>
      <c r="G475">
        <v>483</v>
      </c>
      <c r="H475">
        <v>0</v>
      </c>
      <c r="I475">
        <v>211</v>
      </c>
      <c r="J475">
        <v>272</v>
      </c>
      <c r="K475">
        <v>192</v>
      </c>
      <c r="L475" t="b">
        <v>0</v>
      </c>
      <c r="M475">
        <v>4022.51</v>
      </c>
      <c r="N475">
        <v>1094123.26</v>
      </c>
      <c r="O475" t="s">
        <v>47</v>
      </c>
    </row>
    <row r="476" spans="1:15">
      <c r="A476" s="1">
        <v>46054</v>
      </c>
      <c r="B476" t="s">
        <v>279</v>
      </c>
      <c r="C476" t="s">
        <v>205</v>
      </c>
      <c r="D476" t="s">
        <v>206</v>
      </c>
      <c r="E476" t="s">
        <v>188</v>
      </c>
      <c r="F476" t="s">
        <v>23</v>
      </c>
      <c r="G476">
        <v>295</v>
      </c>
      <c r="H476">
        <v>0</v>
      </c>
      <c r="I476">
        <v>173</v>
      </c>
      <c r="J476">
        <v>122</v>
      </c>
      <c r="K476">
        <v>245</v>
      </c>
      <c r="L476" t="b">
        <v>1</v>
      </c>
      <c r="M476">
        <v>93.49</v>
      </c>
      <c r="N476">
        <v>11405.57</v>
      </c>
      <c r="O476" t="s">
        <v>98</v>
      </c>
    </row>
    <row r="477" spans="1:15">
      <c r="A477" s="1">
        <v>46054</v>
      </c>
      <c r="B477" t="s">
        <v>279</v>
      </c>
      <c r="C477" t="s">
        <v>255</v>
      </c>
      <c r="D477" t="s">
        <v>256</v>
      </c>
      <c r="E477" t="s">
        <v>188</v>
      </c>
      <c r="F477" t="s">
        <v>23</v>
      </c>
      <c r="G477">
        <v>282</v>
      </c>
      <c r="H477">
        <v>0</v>
      </c>
      <c r="I477">
        <v>147</v>
      </c>
      <c r="J477">
        <v>135</v>
      </c>
      <c r="K477">
        <v>111</v>
      </c>
      <c r="L477" t="b">
        <v>0</v>
      </c>
      <c r="M477">
        <v>386.24</v>
      </c>
      <c r="N477">
        <v>52141.760000000002</v>
      </c>
      <c r="O477" t="s">
        <v>37</v>
      </c>
    </row>
    <row r="478" spans="1:15">
      <c r="A478" s="1">
        <v>46054</v>
      </c>
      <c r="B478" t="s">
        <v>279</v>
      </c>
      <c r="C478" t="s">
        <v>209</v>
      </c>
      <c r="D478" t="s">
        <v>210</v>
      </c>
      <c r="E478" t="s">
        <v>188</v>
      </c>
      <c r="F478" t="s">
        <v>23</v>
      </c>
      <c r="G478">
        <v>322</v>
      </c>
      <c r="H478">
        <v>595</v>
      </c>
      <c r="I478">
        <v>171</v>
      </c>
      <c r="J478">
        <v>746</v>
      </c>
      <c r="K478">
        <v>293</v>
      </c>
      <c r="L478" t="b">
        <v>0</v>
      </c>
      <c r="M478">
        <v>366.44</v>
      </c>
      <c r="N478">
        <v>273363.11</v>
      </c>
      <c r="O478" t="s">
        <v>37</v>
      </c>
    </row>
    <row r="479" spans="1:15">
      <c r="A479" s="1">
        <v>46054</v>
      </c>
      <c r="B479" t="s">
        <v>279</v>
      </c>
      <c r="C479" t="s">
        <v>266</v>
      </c>
      <c r="D479" t="s">
        <v>267</v>
      </c>
      <c r="E479" t="s">
        <v>188</v>
      </c>
      <c r="F479" t="s">
        <v>23</v>
      </c>
      <c r="G479">
        <v>328</v>
      </c>
      <c r="H479">
        <v>0</v>
      </c>
      <c r="I479">
        <v>166</v>
      </c>
      <c r="J479">
        <v>162</v>
      </c>
      <c r="K479">
        <v>141</v>
      </c>
      <c r="L479" t="b">
        <v>0</v>
      </c>
      <c r="M479">
        <v>101.63</v>
      </c>
      <c r="N479">
        <v>16463.88</v>
      </c>
      <c r="O479" t="s">
        <v>24</v>
      </c>
    </row>
    <row r="480" spans="1:15">
      <c r="A480" s="1">
        <v>46054</v>
      </c>
      <c r="B480" t="s">
        <v>279</v>
      </c>
      <c r="C480" t="s">
        <v>211</v>
      </c>
      <c r="D480" t="s">
        <v>212</v>
      </c>
      <c r="E480" t="s">
        <v>188</v>
      </c>
      <c r="F480" t="s">
        <v>23</v>
      </c>
      <c r="G480">
        <v>69</v>
      </c>
      <c r="H480">
        <v>0</v>
      </c>
      <c r="I480">
        <v>46</v>
      </c>
      <c r="J480">
        <v>23</v>
      </c>
      <c r="K480">
        <v>43</v>
      </c>
      <c r="L480" t="b">
        <v>1</v>
      </c>
      <c r="M480">
        <v>428.71</v>
      </c>
      <c r="N480">
        <v>9860.2900000000009</v>
      </c>
      <c r="O480" t="s">
        <v>60</v>
      </c>
    </row>
    <row r="481" spans="1:15">
      <c r="A481" s="1">
        <v>46054</v>
      </c>
      <c r="B481" t="s">
        <v>279</v>
      </c>
      <c r="C481" t="s">
        <v>268</v>
      </c>
      <c r="D481" t="s">
        <v>269</v>
      </c>
      <c r="E481" t="s">
        <v>188</v>
      </c>
      <c r="F481" t="s">
        <v>23</v>
      </c>
      <c r="G481">
        <v>42</v>
      </c>
      <c r="H481">
        <v>0</v>
      </c>
      <c r="I481">
        <v>13</v>
      </c>
      <c r="J481">
        <v>29</v>
      </c>
      <c r="K481">
        <v>28</v>
      </c>
      <c r="L481" t="b">
        <v>0</v>
      </c>
      <c r="M481">
        <v>40.31</v>
      </c>
      <c r="N481">
        <v>1168.99</v>
      </c>
      <c r="O481" t="s">
        <v>47</v>
      </c>
    </row>
    <row r="482" spans="1:15">
      <c r="A482" s="1">
        <v>46054</v>
      </c>
      <c r="B482" t="s">
        <v>279</v>
      </c>
      <c r="C482" t="s">
        <v>270</v>
      </c>
      <c r="D482" t="s">
        <v>271</v>
      </c>
      <c r="E482" t="s">
        <v>188</v>
      </c>
      <c r="F482" t="s">
        <v>23</v>
      </c>
      <c r="G482">
        <v>128</v>
      </c>
      <c r="H482">
        <v>0</v>
      </c>
      <c r="I482">
        <v>88</v>
      </c>
      <c r="J482">
        <v>40</v>
      </c>
      <c r="K482">
        <v>105</v>
      </c>
      <c r="L482" t="b">
        <v>1</v>
      </c>
      <c r="M482">
        <v>175.44</v>
      </c>
      <c r="N482">
        <v>7017.53</v>
      </c>
      <c r="O482" t="s">
        <v>24</v>
      </c>
    </row>
    <row r="483" spans="1:15">
      <c r="A483" s="1">
        <v>46054</v>
      </c>
      <c r="B483" t="s">
        <v>279</v>
      </c>
      <c r="C483" t="s">
        <v>213</v>
      </c>
      <c r="D483" t="s">
        <v>214</v>
      </c>
      <c r="E483" t="s">
        <v>188</v>
      </c>
      <c r="F483" t="s">
        <v>23</v>
      </c>
      <c r="G483">
        <v>450</v>
      </c>
      <c r="H483">
        <v>0</v>
      </c>
      <c r="I483">
        <v>219</v>
      </c>
      <c r="J483">
        <v>231</v>
      </c>
      <c r="K483">
        <v>284</v>
      </c>
      <c r="L483" t="b">
        <v>1</v>
      </c>
      <c r="M483">
        <v>312.48</v>
      </c>
      <c r="N483">
        <v>72181.8</v>
      </c>
      <c r="O483" t="s">
        <v>44</v>
      </c>
    </row>
    <row r="484" spans="1:15">
      <c r="A484" s="1">
        <v>46054</v>
      </c>
      <c r="B484" t="s">
        <v>279</v>
      </c>
      <c r="C484" t="s">
        <v>215</v>
      </c>
      <c r="D484" t="s">
        <v>216</v>
      </c>
      <c r="E484" t="s">
        <v>188</v>
      </c>
      <c r="F484" t="s">
        <v>23</v>
      </c>
      <c r="G484">
        <v>602</v>
      </c>
      <c r="H484">
        <v>0</v>
      </c>
      <c r="I484">
        <v>203</v>
      </c>
      <c r="J484">
        <v>399</v>
      </c>
      <c r="K484">
        <v>286</v>
      </c>
      <c r="L484" t="b">
        <v>0</v>
      </c>
      <c r="M484">
        <v>1718.05</v>
      </c>
      <c r="N484">
        <v>685501.83</v>
      </c>
      <c r="O484" t="s">
        <v>27</v>
      </c>
    </row>
    <row r="485" spans="1:15">
      <c r="A485" s="1">
        <v>46054</v>
      </c>
      <c r="B485" t="s">
        <v>279</v>
      </c>
      <c r="C485" t="s">
        <v>217</v>
      </c>
      <c r="D485" t="s">
        <v>218</v>
      </c>
      <c r="E485" t="s">
        <v>219</v>
      </c>
      <c r="F485" t="s">
        <v>23</v>
      </c>
      <c r="G485">
        <v>526</v>
      </c>
      <c r="H485">
        <v>411</v>
      </c>
      <c r="I485">
        <v>165</v>
      </c>
      <c r="J485">
        <v>772</v>
      </c>
      <c r="K485">
        <v>171</v>
      </c>
      <c r="L485" t="b">
        <v>0</v>
      </c>
      <c r="M485">
        <v>17.100000000000001</v>
      </c>
      <c r="N485">
        <v>13200.3</v>
      </c>
      <c r="O485" t="s">
        <v>37</v>
      </c>
    </row>
    <row r="486" spans="1:15">
      <c r="A486" s="1">
        <v>46054</v>
      </c>
      <c r="B486" t="s">
        <v>279</v>
      </c>
      <c r="C486" t="s">
        <v>220</v>
      </c>
      <c r="D486" t="s">
        <v>221</v>
      </c>
      <c r="E486" t="s">
        <v>219</v>
      </c>
      <c r="F486" t="s">
        <v>23</v>
      </c>
      <c r="G486">
        <v>405</v>
      </c>
      <c r="H486">
        <v>0</v>
      </c>
      <c r="I486">
        <v>147</v>
      </c>
      <c r="J486">
        <v>258</v>
      </c>
      <c r="K486">
        <v>221</v>
      </c>
      <c r="L486" t="b">
        <v>0</v>
      </c>
      <c r="M486">
        <v>85.72</v>
      </c>
      <c r="N486">
        <v>22115.360000000001</v>
      </c>
      <c r="O486" t="s">
        <v>60</v>
      </c>
    </row>
    <row r="487" spans="1:15">
      <c r="A487" s="1">
        <v>46054</v>
      </c>
      <c r="B487" t="s">
        <v>279</v>
      </c>
      <c r="C487" t="s">
        <v>222</v>
      </c>
      <c r="D487" t="s">
        <v>223</v>
      </c>
      <c r="E487" t="s">
        <v>219</v>
      </c>
      <c r="F487" t="s">
        <v>23</v>
      </c>
      <c r="G487">
        <v>177</v>
      </c>
      <c r="H487">
        <v>237</v>
      </c>
      <c r="I487">
        <v>119</v>
      </c>
      <c r="J487">
        <v>295</v>
      </c>
      <c r="K487">
        <v>138</v>
      </c>
      <c r="L487" t="b">
        <v>0</v>
      </c>
      <c r="M487">
        <v>41.28</v>
      </c>
      <c r="N487">
        <v>12177.45</v>
      </c>
      <c r="O487" t="s">
        <v>37</v>
      </c>
    </row>
    <row r="488" spans="1:15">
      <c r="A488" s="1">
        <v>46054</v>
      </c>
      <c r="B488" t="s">
        <v>279</v>
      </c>
      <c r="C488" t="s">
        <v>224</v>
      </c>
      <c r="D488" t="s">
        <v>225</v>
      </c>
      <c r="E488" t="s">
        <v>219</v>
      </c>
      <c r="F488" t="s">
        <v>23</v>
      </c>
      <c r="G488">
        <v>297</v>
      </c>
      <c r="H488">
        <v>0</v>
      </c>
      <c r="I488">
        <v>83</v>
      </c>
      <c r="J488">
        <v>214</v>
      </c>
      <c r="K488">
        <v>133</v>
      </c>
      <c r="L488" t="b">
        <v>0</v>
      </c>
      <c r="M488">
        <v>177.48</v>
      </c>
      <c r="N488">
        <v>37980.120000000003</v>
      </c>
      <c r="O488" t="s">
        <v>44</v>
      </c>
    </row>
    <row r="489" spans="1:15">
      <c r="A489" s="1">
        <v>46054</v>
      </c>
      <c r="B489" t="s">
        <v>279</v>
      </c>
      <c r="C489" t="s">
        <v>272</v>
      </c>
      <c r="D489" t="s">
        <v>273</v>
      </c>
      <c r="E489" t="s">
        <v>219</v>
      </c>
      <c r="F489" t="s">
        <v>23</v>
      </c>
      <c r="G489">
        <v>346</v>
      </c>
      <c r="H489">
        <v>0</v>
      </c>
      <c r="I489">
        <v>96</v>
      </c>
      <c r="J489">
        <v>250</v>
      </c>
      <c r="K489">
        <v>120</v>
      </c>
      <c r="L489" t="b">
        <v>0</v>
      </c>
      <c r="M489">
        <v>1702.23</v>
      </c>
      <c r="N489">
        <v>425556.82</v>
      </c>
      <c r="O489" t="s">
        <v>98</v>
      </c>
    </row>
    <row r="490" spans="1:15">
      <c r="A490" s="1">
        <v>46054</v>
      </c>
      <c r="B490" t="s">
        <v>279</v>
      </c>
      <c r="C490" t="s">
        <v>228</v>
      </c>
      <c r="D490" t="s">
        <v>229</v>
      </c>
      <c r="E490" t="s">
        <v>219</v>
      </c>
      <c r="F490" t="s">
        <v>23</v>
      </c>
      <c r="G490">
        <v>210</v>
      </c>
      <c r="H490">
        <v>677</v>
      </c>
      <c r="I490">
        <v>173</v>
      </c>
      <c r="J490">
        <v>714</v>
      </c>
      <c r="K490">
        <v>215</v>
      </c>
      <c r="L490" t="b">
        <v>0</v>
      </c>
      <c r="M490">
        <v>47.47</v>
      </c>
      <c r="N490">
        <v>33891.589999999997</v>
      </c>
      <c r="O490" t="s">
        <v>44</v>
      </c>
    </row>
    <row r="491" spans="1:15">
      <c r="A491" s="1">
        <v>46054</v>
      </c>
      <c r="B491" t="s">
        <v>279</v>
      </c>
      <c r="C491" t="s">
        <v>230</v>
      </c>
      <c r="D491" t="s">
        <v>231</v>
      </c>
      <c r="E491" t="s">
        <v>219</v>
      </c>
      <c r="F491" t="s">
        <v>23</v>
      </c>
      <c r="G491">
        <v>316</v>
      </c>
      <c r="H491">
        <v>0</v>
      </c>
      <c r="I491">
        <v>130</v>
      </c>
      <c r="J491">
        <v>186</v>
      </c>
      <c r="K491">
        <v>216</v>
      </c>
      <c r="L491" t="b">
        <v>1</v>
      </c>
      <c r="M491">
        <v>213.8</v>
      </c>
      <c r="N491">
        <v>39765.97</v>
      </c>
      <c r="O491" t="s">
        <v>32</v>
      </c>
    </row>
    <row r="492" spans="1:15">
      <c r="A492" s="1">
        <v>46054</v>
      </c>
      <c r="B492" t="s">
        <v>279</v>
      </c>
      <c r="C492" t="s">
        <v>257</v>
      </c>
      <c r="D492" t="s">
        <v>258</v>
      </c>
      <c r="E492" t="s">
        <v>219</v>
      </c>
      <c r="F492" t="s">
        <v>23</v>
      </c>
      <c r="G492">
        <v>182</v>
      </c>
      <c r="H492">
        <v>0</v>
      </c>
      <c r="I492">
        <v>117</v>
      </c>
      <c r="J492">
        <v>65</v>
      </c>
      <c r="K492">
        <v>74</v>
      </c>
      <c r="L492" t="b">
        <v>1</v>
      </c>
      <c r="M492">
        <v>694.46</v>
      </c>
      <c r="N492">
        <v>45140.2</v>
      </c>
      <c r="O492" t="s">
        <v>47</v>
      </c>
    </row>
    <row r="493" spans="1:15">
      <c r="A493" s="1">
        <v>46054</v>
      </c>
      <c r="B493" t="s">
        <v>279</v>
      </c>
      <c r="C493" t="s">
        <v>259</v>
      </c>
      <c r="D493" t="s">
        <v>260</v>
      </c>
      <c r="E493" t="s">
        <v>219</v>
      </c>
      <c r="F493" t="s">
        <v>23</v>
      </c>
      <c r="G493">
        <v>158</v>
      </c>
      <c r="H493">
        <v>0</v>
      </c>
      <c r="I493">
        <v>110</v>
      </c>
      <c r="J493">
        <v>48</v>
      </c>
      <c r="K493">
        <v>97</v>
      </c>
      <c r="L493" t="b">
        <v>1</v>
      </c>
      <c r="M493">
        <v>554.15</v>
      </c>
      <c r="N493">
        <v>26599.09</v>
      </c>
      <c r="O493" t="s">
        <v>60</v>
      </c>
    </row>
    <row r="494" spans="1:15">
      <c r="A494" s="1">
        <v>46054</v>
      </c>
      <c r="B494" t="s">
        <v>279</v>
      </c>
      <c r="C494" t="s">
        <v>234</v>
      </c>
      <c r="D494" t="s">
        <v>235</v>
      </c>
      <c r="E494" t="s">
        <v>219</v>
      </c>
      <c r="F494" t="s">
        <v>23</v>
      </c>
      <c r="G494">
        <v>179</v>
      </c>
      <c r="H494">
        <v>198</v>
      </c>
      <c r="I494">
        <v>96</v>
      </c>
      <c r="J494">
        <v>281</v>
      </c>
      <c r="K494">
        <v>101</v>
      </c>
      <c r="L494" t="b">
        <v>0</v>
      </c>
      <c r="M494">
        <v>2384.9899999999998</v>
      </c>
      <c r="N494">
        <v>670180.97</v>
      </c>
      <c r="O494" t="s">
        <v>47</v>
      </c>
    </row>
    <row r="495" spans="1:15">
      <c r="A495" s="1">
        <v>46054</v>
      </c>
      <c r="B495" t="s">
        <v>279</v>
      </c>
      <c r="C495" t="s">
        <v>277</v>
      </c>
      <c r="D495" t="s">
        <v>278</v>
      </c>
      <c r="E495" t="s">
        <v>219</v>
      </c>
      <c r="F495" t="s">
        <v>23</v>
      </c>
      <c r="G495">
        <v>93</v>
      </c>
      <c r="H495">
        <v>270</v>
      </c>
      <c r="I495">
        <v>85</v>
      </c>
      <c r="J495">
        <v>278</v>
      </c>
      <c r="K495">
        <v>109</v>
      </c>
      <c r="L495" t="b">
        <v>0</v>
      </c>
      <c r="M495">
        <v>1269.48</v>
      </c>
      <c r="N495">
        <v>352916.17</v>
      </c>
      <c r="O495" t="s">
        <v>44</v>
      </c>
    </row>
    <row r="496" spans="1:15">
      <c r="A496" s="1">
        <v>46054</v>
      </c>
      <c r="B496" t="s">
        <v>279</v>
      </c>
      <c r="C496" t="s">
        <v>274</v>
      </c>
      <c r="D496" t="s">
        <v>275</v>
      </c>
      <c r="E496" t="s">
        <v>219</v>
      </c>
      <c r="F496" t="s">
        <v>23</v>
      </c>
      <c r="G496">
        <v>219</v>
      </c>
      <c r="H496">
        <v>455</v>
      </c>
      <c r="I496">
        <v>130</v>
      </c>
      <c r="J496">
        <v>544</v>
      </c>
      <c r="K496">
        <v>197</v>
      </c>
      <c r="L496" t="b">
        <v>0</v>
      </c>
      <c r="M496">
        <v>235.74</v>
      </c>
      <c r="N496">
        <v>128240.75</v>
      </c>
      <c r="O496" t="s">
        <v>60</v>
      </c>
    </row>
    <row r="497" spans="1:15">
      <c r="A497" s="1">
        <v>46054</v>
      </c>
      <c r="B497" t="s">
        <v>279</v>
      </c>
      <c r="C497" t="s">
        <v>236</v>
      </c>
      <c r="D497" t="s">
        <v>237</v>
      </c>
      <c r="E497" t="s">
        <v>219</v>
      </c>
      <c r="F497" t="s">
        <v>23</v>
      </c>
      <c r="G497">
        <v>307</v>
      </c>
      <c r="H497">
        <v>225</v>
      </c>
      <c r="I497">
        <v>89</v>
      </c>
      <c r="J497">
        <v>443</v>
      </c>
      <c r="K497">
        <v>84</v>
      </c>
      <c r="L497" t="b">
        <v>0</v>
      </c>
      <c r="M497">
        <v>951.75</v>
      </c>
      <c r="N497">
        <v>421624.9</v>
      </c>
      <c r="O497" t="s">
        <v>98</v>
      </c>
    </row>
    <row r="498" spans="1:15">
      <c r="A498" s="1">
        <v>46054</v>
      </c>
      <c r="B498" t="s">
        <v>279</v>
      </c>
      <c r="C498" t="s">
        <v>263</v>
      </c>
      <c r="D498" t="s">
        <v>264</v>
      </c>
      <c r="E498" t="s">
        <v>219</v>
      </c>
      <c r="F498" t="s">
        <v>23</v>
      </c>
      <c r="G498">
        <v>359</v>
      </c>
      <c r="H498">
        <v>0</v>
      </c>
      <c r="I498">
        <v>187</v>
      </c>
      <c r="J498">
        <v>172</v>
      </c>
      <c r="K498">
        <v>139</v>
      </c>
      <c r="L498" t="b">
        <v>0</v>
      </c>
      <c r="M498">
        <v>32.61</v>
      </c>
      <c r="N498">
        <v>5609.41</v>
      </c>
      <c r="O498" t="s">
        <v>27</v>
      </c>
    </row>
    <row r="499" spans="1:15">
      <c r="A499" s="1">
        <v>46054</v>
      </c>
      <c r="B499" t="s">
        <v>279</v>
      </c>
      <c r="C499" t="s">
        <v>238</v>
      </c>
      <c r="D499" t="s">
        <v>239</v>
      </c>
      <c r="E499" t="s">
        <v>219</v>
      </c>
      <c r="F499" t="s">
        <v>23</v>
      </c>
      <c r="G499">
        <v>476</v>
      </c>
      <c r="H499">
        <v>0</v>
      </c>
      <c r="I499">
        <v>181</v>
      </c>
      <c r="J499">
        <v>295</v>
      </c>
      <c r="K499">
        <v>204</v>
      </c>
      <c r="L499" t="b">
        <v>0</v>
      </c>
      <c r="M499">
        <v>152.96</v>
      </c>
      <c r="N499">
        <v>45123.95</v>
      </c>
      <c r="O499" t="s">
        <v>32</v>
      </c>
    </row>
    <row r="500" spans="1:15">
      <c r="A500" s="1">
        <v>46054</v>
      </c>
      <c r="B500" t="s">
        <v>279</v>
      </c>
      <c r="C500" t="s">
        <v>240</v>
      </c>
      <c r="D500" t="s">
        <v>241</v>
      </c>
      <c r="E500" t="s">
        <v>219</v>
      </c>
      <c r="F500" t="s">
        <v>23</v>
      </c>
      <c r="G500">
        <v>121</v>
      </c>
      <c r="H500">
        <v>209</v>
      </c>
      <c r="I500">
        <v>118</v>
      </c>
      <c r="J500">
        <v>212</v>
      </c>
      <c r="K500">
        <v>130</v>
      </c>
      <c r="L500" t="b">
        <v>0</v>
      </c>
      <c r="M500">
        <v>58.76</v>
      </c>
      <c r="N500">
        <v>12456.29</v>
      </c>
      <c r="O500" t="s">
        <v>27</v>
      </c>
    </row>
    <row r="501" spans="1:15">
      <c r="A501" s="1">
        <v>46054</v>
      </c>
      <c r="B501" t="s">
        <v>279</v>
      </c>
      <c r="C501" t="s">
        <v>242</v>
      </c>
      <c r="D501" t="s">
        <v>243</v>
      </c>
      <c r="E501" t="s">
        <v>219</v>
      </c>
      <c r="F501" t="s">
        <v>23</v>
      </c>
      <c r="G501">
        <v>113</v>
      </c>
      <c r="H501">
        <v>202</v>
      </c>
      <c r="I501">
        <v>66</v>
      </c>
      <c r="J501">
        <v>249</v>
      </c>
      <c r="K501">
        <v>100</v>
      </c>
      <c r="L501" t="b">
        <v>0</v>
      </c>
      <c r="M501">
        <v>284.58</v>
      </c>
      <c r="N501">
        <v>70861.11</v>
      </c>
      <c r="O501" t="s">
        <v>60</v>
      </c>
    </row>
    <row r="502" spans="1:15">
      <c r="A502" s="1">
        <v>46082</v>
      </c>
      <c r="B502" t="s">
        <v>19</v>
      </c>
      <c r="C502" t="s">
        <v>20</v>
      </c>
      <c r="D502" t="s">
        <v>21</v>
      </c>
      <c r="E502" t="s">
        <v>22</v>
      </c>
      <c r="F502" t="s">
        <v>23</v>
      </c>
      <c r="G502">
        <v>168</v>
      </c>
      <c r="H502">
        <v>289</v>
      </c>
      <c r="I502">
        <v>169</v>
      </c>
      <c r="J502">
        <v>288</v>
      </c>
      <c r="K502">
        <v>123</v>
      </c>
      <c r="L502" t="b">
        <v>0</v>
      </c>
      <c r="M502">
        <v>277.2</v>
      </c>
      <c r="N502">
        <v>79834.149999999994</v>
      </c>
      <c r="O502" t="s">
        <v>24</v>
      </c>
    </row>
    <row r="503" spans="1:15">
      <c r="A503" s="1">
        <v>46082</v>
      </c>
      <c r="B503" t="s">
        <v>19</v>
      </c>
      <c r="C503" t="s">
        <v>25</v>
      </c>
      <c r="D503" t="s">
        <v>26</v>
      </c>
      <c r="E503" t="s">
        <v>22</v>
      </c>
      <c r="F503" t="s">
        <v>23</v>
      </c>
      <c r="G503">
        <v>47</v>
      </c>
      <c r="H503">
        <v>121</v>
      </c>
      <c r="I503">
        <v>31</v>
      </c>
      <c r="J503">
        <v>137</v>
      </c>
      <c r="K503">
        <v>53</v>
      </c>
      <c r="L503" t="b">
        <v>0</v>
      </c>
      <c r="M503">
        <v>1285.03</v>
      </c>
      <c r="N503">
        <v>176048.76</v>
      </c>
      <c r="O503" t="s">
        <v>27</v>
      </c>
    </row>
    <row r="504" spans="1:15">
      <c r="A504" s="1">
        <v>46082</v>
      </c>
      <c r="B504" t="s">
        <v>19</v>
      </c>
      <c r="C504" t="s">
        <v>28</v>
      </c>
      <c r="D504" t="s">
        <v>29</v>
      </c>
      <c r="E504" t="s">
        <v>22</v>
      </c>
      <c r="F504" t="s">
        <v>23</v>
      </c>
      <c r="G504">
        <v>672</v>
      </c>
      <c r="H504">
        <v>0</v>
      </c>
      <c r="I504">
        <v>124</v>
      </c>
      <c r="J504">
        <v>548</v>
      </c>
      <c r="K504">
        <v>176</v>
      </c>
      <c r="L504" t="b">
        <v>0</v>
      </c>
      <c r="M504">
        <v>98.88</v>
      </c>
      <c r="N504">
        <v>54184.639999999999</v>
      </c>
      <c r="O504" t="s">
        <v>24</v>
      </c>
    </row>
    <row r="505" spans="1:15">
      <c r="A505" s="1">
        <v>46082</v>
      </c>
      <c r="B505" t="s">
        <v>19</v>
      </c>
      <c r="C505" t="s">
        <v>30</v>
      </c>
      <c r="D505" t="s">
        <v>31</v>
      </c>
      <c r="E505" t="s">
        <v>22</v>
      </c>
      <c r="F505" t="s">
        <v>23</v>
      </c>
      <c r="G505">
        <v>272</v>
      </c>
      <c r="H505">
        <v>0</v>
      </c>
      <c r="I505">
        <v>27</v>
      </c>
      <c r="J505">
        <v>245</v>
      </c>
      <c r="K505">
        <v>96</v>
      </c>
      <c r="L505" t="b">
        <v>0</v>
      </c>
      <c r="M505">
        <v>414.53</v>
      </c>
      <c r="N505">
        <v>101559.95</v>
      </c>
      <c r="O505" t="s">
        <v>32</v>
      </c>
    </row>
    <row r="506" spans="1:15">
      <c r="A506" s="1">
        <v>46082</v>
      </c>
      <c r="B506" t="s">
        <v>19</v>
      </c>
      <c r="C506" t="s">
        <v>33</v>
      </c>
      <c r="D506" t="s">
        <v>34</v>
      </c>
      <c r="E506" t="s">
        <v>22</v>
      </c>
      <c r="F506" t="s">
        <v>23</v>
      </c>
      <c r="G506">
        <v>360</v>
      </c>
      <c r="H506">
        <v>0</v>
      </c>
      <c r="I506">
        <v>76</v>
      </c>
      <c r="J506">
        <v>284</v>
      </c>
      <c r="K506">
        <v>136</v>
      </c>
      <c r="L506" t="b">
        <v>0</v>
      </c>
      <c r="M506">
        <v>129.80000000000001</v>
      </c>
      <c r="N506">
        <v>36862.910000000003</v>
      </c>
      <c r="O506" t="s">
        <v>24</v>
      </c>
    </row>
    <row r="507" spans="1:15">
      <c r="A507" s="1">
        <v>46082</v>
      </c>
      <c r="B507" t="s">
        <v>19</v>
      </c>
      <c r="C507" t="s">
        <v>35</v>
      </c>
      <c r="D507" t="s">
        <v>36</v>
      </c>
      <c r="E507" t="s">
        <v>22</v>
      </c>
      <c r="F507" t="s">
        <v>23</v>
      </c>
      <c r="G507">
        <v>888</v>
      </c>
      <c r="H507">
        <v>402</v>
      </c>
      <c r="I507">
        <v>198</v>
      </c>
      <c r="J507">
        <v>1092</v>
      </c>
      <c r="K507">
        <v>159</v>
      </c>
      <c r="L507" t="b">
        <v>0</v>
      </c>
      <c r="M507">
        <v>528.46</v>
      </c>
      <c r="N507">
        <v>577073.81000000006</v>
      </c>
      <c r="O507" t="s">
        <v>37</v>
      </c>
    </row>
    <row r="508" spans="1:15">
      <c r="A508" s="1">
        <v>46082</v>
      </c>
      <c r="B508" t="s">
        <v>19</v>
      </c>
      <c r="C508" t="s">
        <v>38</v>
      </c>
      <c r="D508" t="s">
        <v>39</v>
      </c>
      <c r="E508" t="s">
        <v>22</v>
      </c>
      <c r="F508" t="s">
        <v>23</v>
      </c>
      <c r="G508">
        <v>446</v>
      </c>
      <c r="H508">
        <v>0</v>
      </c>
      <c r="I508">
        <v>151</v>
      </c>
      <c r="J508">
        <v>295</v>
      </c>
      <c r="K508">
        <v>135</v>
      </c>
      <c r="L508" t="b">
        <v>0</v>
      </c>
      <c r="M508">
        <v>67.94</v>
      </c>
      <c r="N508">
        <v>20041.54</v>
      </c>
      <c r="O508" t="s">
        <v>24</v>
      </c>
    </row>
    <row r="509" spans="1:15">
      <c r="A509" s="1">
        <v>46082</v>
      </c>
      <c r="B509" t="s">
        <v>19</v>
      </c>
      <c r="C509" t="s">
        <v>40</v>
      </c>
      <c r="D509" t="s">
        <v>41</v>
      </c>
      <c r="E509" t="s">
        <v>22</v>
      </c>
      <c r="F509" t="s">
        <v>23</v>
      </c>
      <c r="G509">
        <v>35</v>
      </c>
      <c r="H509">
        <v>468</v>
      </c>
      <c r="I509">
        <v>186</v>
      </c>
      <c r="J509">
        <v>317</v>
      </c>
      <c r="K509">
        <v>175</v>
      </c>
      <c r="L509" t="b">
        <v>0</v>
      </c>
      <c r="M509">
        <v>367.48</v>
      </c>
      <c r="N509">
        <v>116491.47</v>
      </c>
      <c r="O509" t="s">
        <v>24</v>
      </c>
    </row>
    <row r="510" spans="1:15">
      <c r="A510" s="1">
        <v>46082</v>
      </c>
      <c r="B510" t="s">
        <v>19</v>
      </c>
      <c r="C510" t="s">
        <v>42</v>
      </c>
      <c r="D510" t="s">
        <v>43</v>
      </c>
      <c r="E510" t="s">
        <v>22</v>
      </c>
      <c r="F510" t="s">
        <v>23</v>
      </c>
      <c r="G510">
        <v>127</v>
      </c>
      <c r="H510">
        <v>235</v>
      </c>
      <c r="I510">
        <v>124</v>
      </c>
      <c r="J510">
        <v>238</v>
      </c>
      <c r="K510">
        <v>120</v>
      </c>
      <c r="L510" t="b">
        <v>0</v>
      </c>
      <c r="M510">
        <v>153.6</v>
      </c>
      <c r="N510">
        <v>36555.78</v>
      </c>
      <c r="O510" t="s">
        <v>44</v>
      </c>
    </row>
    <row r="511" spans="1:15">
      <c r="A511" s="1">
        <v>46082</v>
      </c>
      <c r="B511" t="s">
        <v>19</v>
      </c>
      <c r="C511" t="s">
        <v>45</v>
      </c>
      <c r="D511" t="s">
        <v>46</v>
      </c>
      <c r="E511" t="s">
        <v>22</v>
      </c>
      <c r="F511" t="s">
        <v>23</v>
      </c>
      <c r="G511">
        <v>56</v>
      </c>
      <c r="H511">
        <v>51</v>
      </c>
      <c r="I511">
        <v>17</v>
      </c>
      <c r="J511">
        <v>90</v>
      </c>
      <c r="K511">
        <v>25</v>
      </c>
      <c r="L511" t="b">
        <v>0</v>
      </c>
      <c r="M511">
        <v>776.32</v>
      </c>
      <c r="N511">
        <v>69869.2</v>
      </c>
      <c r="O511" t="s">
        <v>47</v>
      </c>
    </row>
    <row r="512" spans="1:15">
      <c r="A512" s="1">
        <v>46082</v>
      </c>
      <c r="B512" t="s">
        <v>19</v>
      </c>
      <c r="C512" t="s">
        <v>48</v>
      </c>
      <c r="D512" t="s">
        <v>49</v>
      </c>
      <c r="E512" t="s">
        <v>22</v>
      </c>
      <c r="F512" t="s">
        <v>23</v>
      </c>
      <c r="G512">
        <v>406</v>
      </c>
      <c r="H512">
        <v>391</v>
      </c>
      <c r="I512">
        <v>88</v>
      </c>
      <c r="J512">
        <v>709</v>
      </c>
      <c r="K512">
        <v>153</v>
      </c>
      <c r="L512" t="b">
        <v>0</v>
      </c>
      <c r="M512">
        <v>62.04</v>
      </c>
      <c r="N512">
        <v>43983.1</v>
      </c>
      <c r="O512" t="s">
        <v>44</v>
      </c>
    </row>
    <row r="513" spans="1:15">
      <c r="A513" s="1">
        <v>46082</v>
      </c>
      <c r="B513" t="s">
        <v>19</v>
      </c>
      <c r="C513" t="s">
        <v>50</v>
      </c>
      <c r="D513" t="s">
        <v>51</v>
      </c>
      <c r="E513" t="s">
        <v>22</v>
      </c>
      <c r="F513" t="s">
        <v>23</v>
      </c>
      <c r="G513">
        <v>458</v>
      </c>
      <c r="H513">
        <v>0</v>
      </c>
      <c r="I513">
        <v>119</v>
      </c>
      <c r="J513">
        <v>339</v>
      </c>
      <c r="K513">
        <v>156</v>
      </c>
      <c r="L513" t="b">
        <v>0</v>
      </c>
      <c r="M513">
        <v>261.62</v>
      </c>
      <c r="N513">
        <v>88687.74</v>
      </c>
      <c r="O513" t="s">
        <v>24</v>
      </c>
    </row>
    <row r="514" spans="1:15">
      <c r="A514" s="1">
        <v>46082</v>
      </c>
      <c r="B514" t="s">
        <v>19</v>
      </c>
      <c r="C514" t="s">
        <v>52</v>
      </c>
      <c r="D514" t="s">
        <v>53</v>
      </c>
      <c r="E514" t="s">
        <v>22</v>
      </c>
      <c r="F514" t="s">
        <v>23</v>
      </c>
      <c r="G514">
        <v>518</v>
      </c>
      <c r="H514">
        <v>0</v>
      </c>
      <c r="I514">
        <v>195</v>
      </c>
      <c r="J514">
        <v>323</v>
      </c>
      <c r="K514">
        <v>159</v>
      </c>
      <c r="L514" t="b">
        <v>0</v>
      </c>
      <c r="M514">
        <v>55.1</v>
      </c>
      <c r="N514">
        <v>17797.22</v>
      </c>
      <c r="O514" t="s">
        <v>47</v>
      </c>
    </row>
    <row r="515" spans="1:15">
      <c r="A515" s="1">
        <v>46082</v>
      </c>
      <c r="B515" t="s">
        <v>19</v>
      </c>
      <c r="C515" t="s">
        <v>54</v>
      </c>
      <c r="D515" t="s">
        <v>55</v>
      </c>
      <c r="E515" t="s">
        <v>22</v>
      </c>
      <c r="F515" t="s">
        <v>23</v>
      </c>
      <c r="G515">
        <v>165</v>
      </c>
      <c r="H515">
        <v>0</v>
      </c>
      <c r="I515">
        <v>104</v>
      </c>
      <c r="J515">
        <v>61</v>
      </c>
      <c r="K515">
        <v>135</v>
      </c>
      <c r="L515" t="b">
        <v>1</v>
      </c>
      <c r="M515">
        <v>246.72</v>
      </c>
      <c r="N515">
        <v>15050.1</v>
      </c>
      <c r="O515" t="s">
        <v>44</v>
      </c>
    </row>
    <row r="516" spans="1:15">
      <c r="A516" s="1">
        <v>46082</v>
      </c>
      <c r="B516" t="s">
        <v>19</v>
      </c>
      <c r="C516" t="s">
        <v>56</v>
      </c>
      <c r="D516" t="s">
        <v>57</v>
      </c>
      <c r="E516" t="s">
        <v>22</v>
      </c>
      <c r="F516" t="s">
        <v>23</v>
      </c>
      <c r="G516">
        <v>47</v>
      </c>
      <c r="H516">
        <v>367</v>
      </c>
      <c r="I516">
        <v>167</v>
      </c>
      <c r="J516">
        <v>247</v>
      </c>
      <c r="K516">
        <v>157</v>
      </c>
      <c r="L516" t="b">
        <v>0</v>
      </c>
      <c r="M516">
        <v>417.36</v>
      </c>
      <c r="N516">
        <v>103089</v>
      </c>
      <c r="O516" t="s">
        <v>24</v>
      </c>
    </row>
    <row r="517" spans="1:15">
      <c r="A517" s="1">
        <v>46082</v>
      </c>
      <c r="B517" t="s">
        <v>19</v>
      </c>
      <c r="C517" t="s">
        <v>58</v>
      </c>
      <c r="D517" t="s">
        <v>59</v>
      </c>
      <c r="E517" t="s">
        <v>22</v>
      </c>
      <c r="F517" t="s">
        <v>23</v>
      </c>
      <c r="G517">
        <v>74</v>
      </c>
      <c r="H517">
        <v>0</v>
      </c>
      <c r="I517">
        <v>64</v>
      </c>
      <c r="J517">
        <v>10</v>
      </c>
      <c r="K517">
        <v>48</v>
      </c>
      <c r="L517" t="b">
        <v>1</v>
      </c>
      <c r="M517">
        <v>2191.87</v>
      </c>
      <c r="N517">
        <v>21918.67</v>
      </c>
      <c r="O517" t="s">
        <v>60</v>
      </c>
    </row>
    <row r="518" spans="1:15">
      <c r="A518" s="1">
        <v>46082</v>
      </c>
      <c r="B518" t="s">
        <v>19</v>
      </c>
      <c r="C518" t="s">
        <v>61</v>
      </c>
      <c r="D518" t="s">
        <v>62</v>
      </c>
      <c r="E518" t="s">
        <v>22</v>
      </c>
      <c r="F518" t="s">
        <v>23</v>
      </c>
      <c r="G518">
        <v>53</v>
      </c>
      <c r="H518">
        <v>179</v>
      </c>
      <c r="I518">
        <v>44</v>
      </c>
      <c r="J518">
        <v>188</v>
      </c>
      <c r="K518">
        <v>50</v>
      </c>
      <c r="L518" t="b">
        <v>0</v>
      </c>
      <c r="M518">
        <v>26.4</v>
      </c>
      <c r="N518">
        <v>4964.03</v>
      </c>
      <c r="O518" t="s">
        <v>44</v>
      </c>
    </row>
    <row r="519" spans="1:15">
      <c r="A519" s="1">
        <v>46082</v>
      </c>
      <c r="B519" t="s">
        <v>19</v>
      </c>
      <c r="C519" t="s">
        <v>63</v>
      </c>
      <c r="D519" t="s">
        <v>64</v>
      </c>
      <c r="E519" t="s">
        <v>22</v>
      </c>
      <c r="F519" t="s">
        <v>23</v>
      </c>
      <c r="G519">
        <v>105</v>
      </c>
      <c r="H519">
        <v>677</v>
      </c>
      <c r="I519">
        <v>144</v>
      </c>
      <c r="J519">
        <v>638</v>
      </c>
      <c r="K519">
        <v>251</v>
      </c>
      <c r="L519" t="b">
        <v>0</v>
      </c>
      <c r="M519">
        <v>106.44</v>
      </c>
      <c r="N519">
        <v>67909.03</v>
      </c>
      <c r="O519" t="s">
        <v>47</v>
      </c>
    </row>
    <row r="520" spans="1:15">
      <c r="A520" s="1">
        <v>46082</v>
      </c>
      <c r="B520" t="s">
        <v>19</v>
      </c>
      <c r="C520" t="s">
        <v>65</v>
      </c>
      <c r="D520" t="s">
        <v>66</v>
      </c>
      <c r="E520" t="s">
        <v>22</v>
      </c>
      <c r="F520" t="s">
        <v>23</v>
      </c>
      <c r="G520">
        <v>184</v>
      </c>
      <c r="H520">
        <v>149</v>
      </c>
      <c r="I520">
        <v>43</v>
      </c>
      <c r="J520">
        <v>290</v>
      </c>
      <c r="K520">
        <v>52</v>
      </c>
      <c r="L520" t="b">
        <v>0</v>
      </c>
      <c r="M520">
        <v>73.069999999999993</v>
      </c>
      <c r="N520">
        <v>21191.39</v>
      </c>
      <c r="O520" t="s">
        <v>44</v>
      </c>
    </row>
    <row r="521" spans="1:15">
      <c r="A521" s="1">
        <v>46082</v>
      </c>
      <c r="B521" t="s">
        <v>19</v>
      </c>
      <c r="C521" t="s">
        <v>67</v>
      </c>
      <c r="D521" t="s">
        <v>68</v>
      </c>
      <c r="E521" t="s">
        <v>22</v>
      </c>
      <c r="F521" t="s">
        <v>23</v>
      </c>
      <c r="G521">
        <v>264</v>
      </c>
      <c r="H521">
        <v>0</v>
      </c>
      <c r="I521">
        <v>99</v>
      </c>
      <c r="J521">
        <v>165</v>
      </c>
      <c r="K521">
        <v>123</v>
      </c>
      <c r="L521" t="b">
        <v>0</v>
      </c>
      <c r="M521">
        <v>376.1</v>
      </c>
      <c r="N521">
        <v>62055.75</v>
      </c>
      <c r="O521" t="s">
        <v>27</v>
      </c>
    </row>
    <row r="522" spans="1:15">
      <c r="A522" s="1">
        <v>46082</v>
      </c>
      <c r="B522" t="s">
        <v>19</v>
      </c>
      <c r="C522" t="s">
        <v>69</v>
      </c>
      <c r="D522" t="s">
        <v>70</v>
      </c>
      <c r="E522" t="s">
        <v>71</v>
      </c>
      <c r="F522" t="s">
        <v>23</v>
      </c>
      <c r="G522">
        <v>828</v>
      </c>
      <c r="H522">
        <v>0</v>
      </c>
      <c r="I522">
        <v>245</v>
      </c>
      <c r="J522">
        <v>583</v>
      </c>
      <c r="K522">
        <v>140</v>
      </c>
      <c r="L522" t="b">
        <v>0</v>
      </c>
      <c r="M522">
        <v>95.6</v>
      </c>
      <c r="N522">
        <v>55737.03</v>
      </c>
      <c r="O522" t="s">
        <v>27</v>
      </c>
    </row>
    <row r="523" spans="1:15">
      <c r="A523" s="1">
        <v>46082</v>
      </c>
      <c r="B523" t="s">
        <v>19</v>
      </c>
      <c r="C523" t="s">
        <v>72</v>
      </c>
      <c r="D523" t="s">
        <v>73</v>
      </c>
      <c r="E523" t="s">
        <v>71</v>
      </c>
      <c r="F523" t="s">
        <v>23</v>
      </c>
      <c r="G523">
        <v>201</v>
      </c>
      <c r="H523">
        <v>452</v>
      </c>
      <c r="I523">
        <v>183</v>
      </c>
      <c r="J523">
        <v>470</v>
      </c>
      <c r="K523">
        <v>233</v>
      </c>
      <c r="L523" t="b">
        <v>0</v>
      </c>
      <c r="M523">
        <v>436.74</v>
      </c>
      <c r="N523">
        <v>205268.99</v>
      </c>
      <c r="O523" t="s">
        <v>60</v>
      </c>
    </row>
    <row r="524" spans="1:15">
      <c r="A524" s="1">
        <v>46082</v>
      </c>
      <c r="B524" t="s">
        <v>19</v>
      </c>
      <c r="C524" t="s">
        <v>74</v>
      </c>
      <c r="D524" t="s">
        <v>75</v>
      </c>
      <c r="E524" t="s">
        <v>71</v>
      </c>
      <c r="F524" t="s">
        <v>23</v>
      </c>
      <c r="G524">
        <v>95</v>
      </c>
      <c r="H524">
        <v>168</v>
      </c>
      <c r="I524">
        <v>36</v>
      </c>
      <c r="J524">
        <v>227</v>
      </c>
      <c r="K524">
        <v>44</v>
      </c>
      <c r="L524" t="b">
        <v>0</v>
      </c>
      <c r="M524">
        <v>239.68</v>
      </c>
      <c r="N524">
        <v>54407.98</v>
      </c>
      <c r="O524" t="s">
        <v>37</v>
      </c>
    </row>
    <row r="525" spans="1:15">
      <c r="A525" s="1">
        <v>46082</v>
      </c>
      <c r="B525" t="s">
        <v>19</v>
      </c>
      <c r="C525" t="s">
        <v>76</v>
      </c>
      <c r="D525" t="s">
        <v>77</v>
      </c>
      <c r="E525" t="s">
        <v>71</v>
      </c>
      <c r="F525" t="s">
        <v>23</v>
      </c>
      <c r="G525">
        <v>403</v>
      </c>
      <c r="H525">
        <v>0</v>
      </c>
      <c r="I525">
        <v>191</v>
      </c>
      <c r="J525">
        <v>212</v>
      </c>
      <c r="K525">
        <v>198</v>
      </c>
      <c r="L525" t="b">
        <v>0</v>
      </c>
      <c r="M525">
        <v>1133.4000000000001</v>
      </c>
      <c r="N525">
        <v>240281.53</v>
      </c>
      <c r="O525" t="s">
        <v>37</v>
      </c>
    </row>
    <row r="526" spans="1:15">
      <c r="A526" s="1">
        <v>46082</v>
      </c>
      <c r="B526" t="s">
        <v>19</v>
      </c>
      <c r="C526" t="s">
        <v>78</v>
      </c>
      <c r="D526" t="s">
        <v>79</v>
      </c>
      <c r="E526" t="s">
        <v>71</v>
      </c>
      <c r="F526" t="s">
        <v>23</v>
      </c>
      <c r="G526">
        <v>39</v>
      </c>
      <c r="H526">
        <v>0</v>
      </c>
      <c r="I526">
        <v>35</v>
      </c>
      <c r="J526">
        <v>4</v>
      </c>
      <c r="K526">
        <v>23</v>
      </c>
      <c r="L526" t="b">
        <v>1</v>
      </c>
      <c r="M526">
        <v>367.29</v>
      </c>
      <c r="N526">
        <v>1469.15</v>
      </c>
      <c r="O526" t="s">
        <v>47</v>
      </c>
    </row>
    <row r="527" spans="1:15">
      <c r="A527" s="1">
        <v>46082</v>
      </c>
      <c r="B527" t="s">
        <v>19</v>
      </c>
      <c r="C527" t="s">
        <v>80</v>
      </c>
      <c r="D527" t="s">
        <v>81</v>
      </c>
      <c r="E527" t="s">
        <v>71</v>
      </c>
      <c r="F527" t="s">
        <v>23</v>
      </c>
      <c r="G527">
        <v>338</v>
      </c>
      <c r="H527">
        <v>0</v>
      </c>
      <c r="I527">
        <v>206</v>
      </c>
      <c r="J527">
        <v>132</v>
      </c>
      <c r="K527">
        <v>193</v>
      </c>
      <c r="L527" t="b">
        <v>1</v>
      </c>
      <c r="M527">
        <v>1800.2</v>
      </c>
      <c r="N527">
        <v>237626.78</v>
      </c>
      <c r="O527" t="s">
        <v>32</v>
      </c>
    </row>
    <row r="528" spans="1:15">
      <c r="A528" s="1">
        <v>46082</v>
      </c>
      <c r="B528" t="s">
        <v>19</v>
      </c>
      <c r="C528" t="s">
        <v>82</v>
      </c>
      <c r="D528" t="s">
        <v>83</v>
      </c>
      <c r="E528" t="s">
        <v>71</v>
      </c>
      <c r="F528" t="s">
        <v>23</v>
      </c>
      <c r="G528">
        <v>708</v>
      </c>
      <c r="H528">
        <v>0</v>
      </c>
      <c r="I528">
        <v>142</v>
      </c>
      <c r="J528">
        <v>566</v>
      </c>
      <c r="K528">
        <v>169</v>
      </c>
      <c r="L528" t="b">
        <v>0</v>
      </c>
      <c r="M528">
        <v>1838.5</v>
      </c>
      <c r="N528">
        <v>1040592.24</v>
      </c>
      <c r="O528" t="s">
        <v>37</v>
      </c>
    </row>
    <row r="529" spans="1:15">
      <c r="A529" s="1">
        <v>46082</v>
      </c>
      <c r="B529" t="s">
        <v>19</v>
      </c>
      <c r="C529" t="s">
        <v>84</v>
      </c>
      <c r="D529" t="s">
        <v>85</v>
      </c>
      <c r="E529" t="s">
        <v>71</v>
      </c>
      <c r="F529" t="s">
        <v>23</v>
      </c>
      <c r="G529">
        <v>224</v>
      </c>
      <c r="H529">
        <v>0</v>
      </c>
      <c r="I529">
        <v>94</v>
      </c>
      <c r="J529">
        <v>130</v>
      </c>
      <c r="K529">
        <v>148</v>
      </c>
      <c r="L529" t="b">
        <v>1</v>
      </c>
      <c r="M529">
        <v>8198.7000000000007</v>
      </c>
      <c r="N529">
        <v>1065831</v>
      </c>
      <c r="O529" t="s">
        <v>47</v>
      </c>
    </row>
    <row r="530" spans="1:15">
      <c r="A530" s="1">
        <v>46082</v>
      </c>
      <c r="B530" t="s">
        <v>19</v>
      </c>
      <c r="C530" t="s">
        <v>86</v>
      </c>
      <c r="D530" t="s">
        <v>87</v>
      </c>
      <c r="E530" t="s">
        <v>71</v>
      </c>
      <c r="F530" t="s">
        <v>23</v>
      </c>
      <c r="G530">
        <v>245</v>
      </c>
      <c r="H530">
        <v>0</v>
      </c>
      <c r="I530">
        <v>94</v>
      </c>
      <c r="J530">
        <v>151</v>
      </c>
      <c r="K530">
        <v>174</v>
      </c>
      <c r="L530" t="b">
        <v>1</v>
      </c>
      <c r="M530">
        <v>49.4</v>
      </c>
      <c r="N530">
        <v>7459.63</v>
      </c>
      <c r="O530" t="s">
        <v>60</v>
      </c>
    </row>
    <row r="531" spans="1:15">
      <c r="A531" s="1">
        <v>46082</v>
      </c>
      <c r="B531" t="s">
        <v>19</v>
      </c>
      <c r="C531" t="s">
        <v>88</v>
      </c>
      <c r="D531" t="s">
        <v>89</v>
      </c>
      <c r="E531" t="s">
        <v>71</v>
      </c>
      <c r="F531" t="s">
        <v>23</v>
      </c>
      <c r="G531">
        <v>79</v>
      </c>
      <c r="H531">
        <v>0</v>
      </c>
      <c r="I531">
        <v>61</v>
      </c>
      <c r="J531">
        <v>18</v>
      </c>
      <c r="K531">
        <v>54</v>
      </c>
      <c r="L531" t="b">
        <v>1</v>
      </c>
      <c r="M531">
        <v>194.38</v>
      </c>
      <c r="N531">
        <v>3498.8</v>
      </c>
      <c r="O531" t="s">
        <v>32</v>
      </c>
    </row>
    <row r="532" spans="1:15">
      <c r="A532" s="1">
        <v>46082</v>
      </c>
      <c r="B532" t="s">
        <v>19</v>
      </c>
      <c r="C532" t="s">
        <v>90</v>
      </c>
      <c r="D532" t="s">
        <v>91</v>
      </c>
      <c r="E532" t="s">
        <v>71</v>
      </c>
      <c r="F532" t="s">
        <v>23</v>
      </c>
      <c r="G532">
        <v>112</v>
      </c>
      <c r="H532">
        <v>0</v>
      </c>
      <c r="I532">
        <v>33</v>
      </c>
      <c r="J532">
        <v>79</v>
      </c>
      <c r="K532">
        <v>43</v>
      </c>
      <c r="L532" t="b">
        <v>0</v>
      </c>
      <c r="M532">
        <v>1650.26</v>
      </c>
      <c r="N532">
        <v>130370.57</v>
      </c>
      <c r="O532" t="s">
        <v>32</v>
      </c>
    </row>
    <row r="533" spans="1:15">
      <c r="A533" s="1">
        <v>46082</v>
      </c>
      <c r="B533" t="s">
        <v>19</v>
      </c>
      <c r="C533" t="s">
        <v>92</v>
      </c>
      <c r="D533" t="s">
        <v>93</v>
      </c>
      <c r="E533" t="s">
        <v>71</v>
      </c>
      <c r="F533" t="s">
        <v>23</v>
      </c>
      <c r="G533">
        <v>407</v>
      </c>
      <c r="H533">
        <v>0</v>
      </c>
      <c r="I533">
        <v>184</v>
      </c>
      <c r="J533">
        <v>223</v>
      </c>
      <c r="K533">
        <v>137</v>
      </c>
      <c r="L533" t="b">
        <v>0</v>
      </c>
      <c r="M533">
        <v>272.17</v>
      </c>
      <c r="N533">
        <v>60694.67</v>
      </c>
      <c r="O533" t="s">
        <v>24</v>
      </c>
    </row>
    <row r="534" spans="1:15">
      <c r="A534" s="1">
        <v>46082</v>
      </c>
      <c r="B534" t="s">
        <v>19</v>
      </c>
      <c r="C534" t="s">
        <v>94</v>
      </c>
      <c r="D534" t="s">
        <v>95</v>
      </c>
      <c r="E534" t="s">
        <v>71</v>
      </c>
      <c r="F534" t="s">
        <v>23</v>
      </c>
      <c r="G534">
        <v>245</v>
      </c>
      <c r="H534">
        <v>0</v>
      </c>
      <c r="I534">
        <v>161</v>
      </c>
      <c r="J534">
        <v>84</v>
      </c>
      <c r="K534">
        <v>177</v>
      </c>
      <c r="L534" t="b">
        <v>1</v>
      </c>
      <c r="M534">
        <v>1308.95</v>
      </c>
      <c r="N534">
        <v>109951.53</v>
      </c>
      <c r="O534" t="s">
        <v>32</v>
      </c>
    </row>
    <row r="535" spans="1:15">
      <c r="A535" s="1">
        <v>46082</v>
      </c>
      <c r="B535" t="s">
        <v>19</v>
      </c>
      <c r="C535" t="s">
        <v>96</v>
      </c>
      <c r="D535" t="s">
        <v>97</v>
      </c>
      <c r="E535" t="s">
        <v>71</v>
      </c>
      <c r="F535" t="s">
        <v>23</v>
      </c>
      <c r="G535">
        <v>257</v>
      </c>
      <c r="H535">
        <v>415</v>
      </c>
      <c r="I535">
        <v>196</v>
      </c>
      <c r="J535">
        <v>476</v>
      </c>
      <c r="K535">
        <v>218</v>
      </c>
      <c r="L535" t="b">
        <v>0</v>
      </c>
      <c r="M535">
        <v>761.8</v>
      </c>
      <c r="N535">
        <v>362618.67</v>
      </c>
      <c r="O535" t="s">
        <v>98</v>
      </c>
    </row>
    <row r="536" spans="1:15">
      <c r="A536" s="1">
        <v>46082</v>
      </c>
      <c r="B536" t="s">
        <v>19</v>
      </c>
      <c r="C536" t="s">
        <v>99</v>
      </c>
      <c r="D536" t="s">
        <v>100</v>
      </c>
      <c r="E536" t="s">
        <v>71</v>
      </c>
      <c r="F536" t="s">
        <v>23</v>
      </c>
      <c r="G536">
        <v>137</v>
      </c>
      <c r="H536">
        <v>262</v>
      </c>
      <c r="I536">
        <v>141</v>
      </c>
      <c r="J536">
        <v>258</v>
      </c>
      <c r="K536">
        <v>120</v>
      </c>
      <c r="L536" t="b">
        <v>0</v>
      </c>
      <c r="M536">
        <v>3522.85</v>
      </c>
      <c r="N536">
        <v>908895.15</v>
      </c>
      <c r="O536" t="s">
        <v>47</v>
      </c>
    </row>
    <row r="537" spans="1:15">
      <c r="A537" s="1">
        <v>46082</v>
      </c>
      <c r="B537" t="s">
        <v>19</v>
      </c>
      <c r="C537" t="s">
        <v>101</v>
      </c>
      <c r="D537" t="s">
        <v>102</v>
      </c>
      <c r="E537" t="s">
        <v>71</v>
      </c>
      <c r="F537" t="s">
        <v>23</v>
      </c>
      <c r="G537">
        <v>87</v>
      </c>
      <c r="H537">
        <v>591</v>
      </c>
      <c r="I537">
        <v>276</v>
      </c>
      <c r="J537">
        <v>402</v>
      </c>
      <c r="K537">
        <v>156</v>
      </c>
      <c r="L537" t="b">
        <v>0</v>
      </c>
      <c r="M537">
        <v>58.23</v>
      </c>
      <c r="N537">
        <v>23409.83</v>
      </c>
      <c r="O537" t="s">
        <v>32</v>
      </c>
    </row>
    <row r="538" spans="1:15">
      <c r="A538" s="1">
        <v>46082</v>
      </c>
      <c r="B538" t="s">
        <v>19</v>
      </c>
      <c r="C538" t="s">
        <v>103</v>
      </c>
      <c r="D538" t="s">
        <v>104</v>
      </c>
      <c r="E538" t="s">
        <v>71</v>
      </c>
      <c r="F538" t="s">
        <v>23</v>
      </c>
      <c r="G538">
        <v>86</v>
      </c>
      <c r="H538">
        <v>463</v>
      </c>
      <c r="I538">
        <v>250</v>
      </c>
      <c r="J538">
        <v>299</v>
      </c>
      <c r="K538">
        <v>201</v>
      </c>
      <c r="L538" t="b">
        <v>0</v>
      </c>
      <c r="M538">
        <v>485.44</v>
      </c>
      <c r="N538">
        <v>145146.79999999999</v>
      </c>
      <c r="O538" t="s">
        <v>98</v>
      </c>
    </row>
    <row r="539" spans="1:15">
      <c r="A539" s="1">
        <v>46082</v>
      </c>
      <c r="B539" t="s">
        <v>19</v>
      </c>
      <c r="C539" t="s">
        <v>105</v>
      </c>
      <c r="D539" t="s">
        <v>106</v>
      </c>
      <c r="E539" t="s">
        <v>71</v>
      </c>
      <c r="F539" t="s">
        <v>23</v>
      </c>
      <c r="G539">
        <v>277</v>
      </c>
      <c r="H539">
        <v>0</v>
      </c>
      <c r="I539">
        <v>154</v>
      </c>
      <c r="J539">
        <v>123</v>
      </c>
      <c r="K539">
        <v>201</v>
      </c>
      <c r="L539" t="b">
        <v>1</v>
      </c>
      <c r="M539">
        <v>2417.67</v>
      </c>
      <c r="N539">
        <v>297373.65000000002</v>
      </c>
      <c r="O539" t="s">
        <v>32</v>
      </c>
    </row>
    <row r="540" spans="1:15">
      <c r="A540" s="1">
        <v>46082</v>
      </c>
      <c r="B540" t="s">
        <v>19</v>
      </c>
      <c r="C540" t="s">
        <v>107</v>
      </c>
      <c r="D540" t="s">
        <v>108</v>
      </c>
      <c r="E540" t="s">
        <v>109</v>
      </c>
      <c r="F540" t="s">
        <v>110</v>
      </c>
      <c r="G540">
        <v>0</v>
      </c>
      <c r="H540">
        <v>284</v>
      </c>
      <c r="I540">
        <v>81</v>
      </c>
      <c r="J540">
        <v>203</v>
      </c>
      <c r="K540">
        <v>99</v>
      </c>
      <c r="L540" t="b">
        <v>0</v>
      </c>
      <c r="M540">
        <v>94.01</v>
      </c>
      <c r="N540">
        <v>19084.919999999998</v>
      </c>
      <c r="O540" t="s">
        <v>24</v>
      </c>
    </row>
    <row r="541" spans="1:15">
      <c r="A541" s="1">
        <v>46082</v>
      </c>
      <c r="B541" t="s">
        <v>19</v>
      </c>
      <c r="C541" t="s">
        <v>111</v>
      </c>
      <c r="D541" t="s">
        <v>112</v>
      </c>
      <c r="E541" t="s">
        <v>109</v>
      </c>
      <c r="F541" t="s">
        <v>110</v>
      </c>
      <c r="G541">
        <v>256</v>
      </c>
      <c r="H541">
        <v>0</v>
      </c>
      <c r="I541">
        <v>71</v>
      </c>
      <c r="J541">
        <v>185</v>
      </c>
      <c r="K541">
        <v>79</v>
      </c>
      <c r="L541" t="b">
        <v>0</v>
      </c>
      <c r="M541">
        <v>480.67</v>
      </c>
      <c r="N541">
        <v>88924.76</v>
      </c>
      <c r="O541" t="s">
        <v>98</v>
      </c>
    </row>
    <row r="542" spans="1:15">
      <c r="A542" s="1">
        <v>46082</v>
      </c>
      <c r="B542" t="s">
        <v>19</v>
      </c>
      <c r="C542" t="s">
        <v>113</v>
      </c>
      <c r="D542" t="s">
        <v>114</v>
      </c>
      <c r="E542" t="s">
        <v>109</v>
      </c>
      <c r="F542" t="s">
        <v>110</v>
      </c>
      <c r="G542">
        <v>888</v>
      </c>
      <c r="H542">
        <v>0</v>
      </c>
      <c r="I542">
        <v>121</v>
      </c>
      <c r="J542">
        <v>767</v>
      </c>
      <c r="K542">
        <v>224</v>
      </c>
      <c r="L542" t="b">
        <v>0</v>
      </c>
      <c r="M542">
        <v>155.04</v>
      </c>
      <c r="N542">
        <v>118912.27</v>
      </c>
      <c r="O542" t="s">
        <v>27</v>
      </c>
    </row>
    <row r="543" spans="1:15">
      <c r="A543" s="1">
        <v>46082</v>
      </c>
      <c r="B543" t="s">
        <v>19</v>
      </c>
      <c r="C543" t="s">
        <v>115</v>
      </c>
      <c r="D543" t="s">
        <v>116</v>
      </c>
      <c r="E543" t="s">
        <v>109</v>
      </c>
      <c r="F543" t="s">
        <v>110</v>
      </c>
      <c r="G543">
        <v>367</v>
      </c>
      <c r="H543">
        <v>0</v>
      </c>
      <c r="I543">
        <v>160</v>
      </c>
      <c r="J543">
        <v>207</v>
      </c>
      <c r="K543">
        <v>151</v>
      </c>
      <c r="L543" t="b">
        <v>0</v>
      </c>
      <c r="M543">
        <v>679.08</v>
      </c>
      <c r="N543">
        <v>140569.56</v>
      </c>
      <c r="O543" t="s">
        <v>44</v>
      </c>
    </row>
    <row r="544" spans="1:15">
      <c r="A544" s="1">
        <v>46082</v>
      </c>
      <c r="B544" t="s">
        <v>19</v>
      </c>
      <c r="C544" t="s">
        <v>117</v>
      </c>
      <c r="D544" t="s">
        <v>118</v>
      </c>
      <c r="E544" t="s">
        <v>109</v>
      </c>
      <c r="F544" t="s">
        <v>110</v>
      </c>
      <c r="G544">
        <v>525</v>
      </c>
      <c r="H544">
        <v>0</v>
      </c>
      <c r="I544">
        <v>131</v>
      </c>
      <c r="J544">
        <v>394</v>
      </c>
      <c r="K544">
        <v>139</v>
      </c>
      <c r="L544" t="b">
        <v>0</v>
      </c>
      <c r="M544">
        <v>41.45</v>
      </c>
      <c r="N544">
        <v>16330.77</v>
      </c>
      <c r="O544" t="s">
        <v>32</v>
      </c>
    </row>
    <row r="545" spans="1:15">
      <c r="A545" s="1">
        <v>46082</v>
      </c>
      <c r="B545" t="s">
        <v>19</v>
      </c>
      <c r="C545" t="s">
        <v>119</v>
      </c>
      <c r="D545" t="s">
        <v>120</v>
      </c>
      <c r="E545" t="s">
        <v>109</v>
      </c>
      <c r="F545" t="s">
        <v>110</v>
      </c>
      <c r="G545">
        <v>600</v>
      </c>
      <c r="H545">
        <v>445</v>
      </c>
      <c r="I545">
        <v>124</v>
      </c>
      <c r="J545">
        <v>921</v>
      </c>
      <c r="K545">
        <v>167</v>
      </c>
      <c r="L545" t="b">
        <v>0</v>
      </c>
      <c r="M545">
        <v>186.4</v>
      </c>
      <c r="N545">
        <v>171673.39</v>
      </c>
      <c r="O545" t="s">
        <v>32</v>
      </c>
    </row>
    <row r="546" spans="1:15">
      <c r="A546" s="1">
        <v>46082</v>
      </c>
      <c r="B546" t="s">
        <v>19</v>
      </c>
      <c r="C546" t="s">
        <v>121</v>
      </c>
      <c r="D546" t="s">
        <v>122</v>
      </c>
      <c r="E546" t="s">
        <v>109</v>
      </c>
      <c r="F546" t="s">
        <v>110</v>
      </c>
      <c r="G546">
        <v>125</v>
      </c>
      <c r="H546">
        <v>0</v>
      </c>
      <c r="I546">
        <v>58</v>
      </c>
      <c r="J546">
        <v>67</v>
      </c>
      <c r="K546">
        <v>89</v>
      </c>
      <c r="L546" t="b">
        <v>1</v>
      </c>
      <c r="M546">
        <v>41.17</v>
      </c>
      <c r="N546">
        <v>2758.64</v>
      </c>
      <c r="O546" t="s">
        <v>47</v>
      </c>
    </row>
    <row r="547" spans="1:15">
      <c r="A547" s="1">
        <v>46082</v>
      </c>
      <c r="B547" t="s">
        <v>19</v>
      </c>
      <c r="C547" t="s">
        <v>123</v>
      </c>
      <c r="D547" t="s">
        <v>124</v>
      </c>
      <c r="E547" t="s">
        <v>109</v>
      </c>
      <c r="F547" t="s">
        <v>110</v>
      </c>
      <c r="G547">
        <v>40</v>
      </c>
      <c r="H547">
        <v>261</v>
      </c>
      <c r="I547">
        <v>68</v>
      </c>
      <c r="J547">
        <v>233</v>
      </c>
      <c r="K547">
        <v>106</v>
      </c>
      <c r="L547" t="b">
        <v>0</v>
      </c>
      <c r="M547">
        <v>191.63</v>
      </c>
      <c r="N547">
        <v>44649.07</v>
      </c>
      <c r="O547" t="s">
        <v>24</v>
      </c>
    </row>
    <row r="548" spans="1:15">
      <c r="A548" s="1">
        <v>46082</v>
      </c>
      <c r="B548" t="s">
        <v>19</v>
      </c>
      <c r="C548" t="s">
        <v>125</v>
      </c>
      <c r="D548" t="s">
        <v>126</v>
      </c>
      <c r="E548" t="s">
        <v>109</v>
      </c>
      <c r="F548" t="s">
        <v>110</v>
      </c>
      <c r="G548">
        <v>168</v>
      </c>
      <c r="H548">
        <v>547</v>
      </c>
      <c r="I548">
        <v>107</v>
      </c>
      <c r="J548">
        <v>608</v>
      </c>
      <c r="K548">
        <v>215</v>
      </c>
      <c r="L548" t="b">
        <v>0</v>
      </c>
      <c r="M548">
        <v>130.49</v>
      </c>
      <c r="N548">
        <v>79340.320000000007</v>
      </c>
      <c r="O548" t="s">
        <v>47</v>
      </c>
    </row>
    <row r="549" spans="1:15">
      <c r="A549" s="1">
        <v>46082</v>
      </c>
      <c r="B549" t="s">
        <v>19</v>
      </c>
      <c r="C549" t="s">
        <v>127</v>
      </c>
      <c r="D549" t="s">
        <v>128</v>
      </c>
      <c r="E549" t="s">
        <v>109</v>
      </c>
      <c r="F549" t="s">
        <v>110</v>
      </c>
      <c r="G549">
        <v>86</v>
      </c>
      <c r="H549">
        <v>208</v>
      </c>
      <c r="I549">
        <v>83</v>
      </c>
      <c r="J549">
        <v>211</v>
      </c>
      <c r="K549">
        <v>120</v>
      </c>
      <c r="L549" t="b">
        <v>0</v>
      </c>
      <c r="M549">
        <v>628.20000000000005</v>
      </c>
      <c r="N549">
        <v>132549.38</v>
      </c>
      <c r="O549" t="s">
        <v>44</v>
      </c>
    </row>
    <row r="550" spans="1:15">
      <c r="A550" s="1">
        <v>46082</v>
      </c>
      <c r="B550" t="s">
        <v>19</v>
      </c>
      <c r="C550" t="s">
        <v>129</v>
      </c>
      <c r="D550" t="s">
        <v>130</v>
      </c>
      <c r="E550" t="s">
        <v>109</v>
      </c>
      <c r="F550" t="s">
        <v>110</v>
      </c>
      <c r="G550">
        <v>190</v>
      </c>
      <c r="H550">
        <v>641</v>
      </c>
      <c r="I550">
        <v>237</v>
      </c>
      <c r="J550">
        <v>594</v>
      </c>
      <c r="K550">
        <v>274</v>
      </c>
      <c r="L550" t="b">
        <v>0</v>
      </c>
      <c r="M550">
        <v>415.2</v>
      </c>
      <c r="N550">
        <v>246628.31</v>
      </c>
      <c r="O550" t="s">
        <v>32</v>
      </c>
    </row>
    <row r="551" spans="1:15">
      <c r="A551" s="1">
        <v>46082</v>
      </c>
      <c r="B551" t="s">
        <v>19</v>
      </c>
      <c r="C551" t="s">
        <v>131</v>
      </c>
      <c r="D551" t="s">
        <v>132</v>
      </c>
      <c r="E551" t="s">
        <v>109</v>
      </c>
      <c r="F551" t="s">
        <v>110</v>
      </c>
      <c r="G551">
        <v>75</v>
      </c>
      <c r="H551">
        <v>0</v>
      </c>
      <c r="I551">
        <v>59</v>
      </c>
      <c r="J551">
        <v>16</v>
      </c>
      <c r="K551">
        <v>56</v>
      </c>
      <c r="L551" t="b">
        <v>1</v>
      </c>
      <c r="M551">
        <v>1984.72</v>
      </c>
      <c r="N551">
        <v>31755.52</v>
      </c>
      <c r="O551" t="s">
        <v>24</v>
      </c>
    </row>
    <row r="552" spans="1:15">
      <c r="A552" s="1">
        <v>46082</v>
      </c>
      <c r="B552" t="s">
        <v>19</v>
      </c>
      <c r="C552" t="s">
        <v>133</v>
      </c>
      <c r="D552" t="s">
        <v>134</v>
      </c>
      <c r="E552" t="s">
        <v>109</v>
      </c>
      <c r="F552" t="s">
        <v>110</v>
      </c>
      <c r="G552">
        <v>82</v>
      </c>
      <c r="H552">
        <v>488</v>
      </c>
      <c r="I552">
        <v>180</v>
      </c>
      <c r="J552">
        <v>390</v>
      </c>
      <c r="K552">
        <v>160</v>
      </c>
      <c r="L552" t="b">
        <v>0</v>
      </c>
      <c r="M552">
        <v>23.9</v>
      </c>
      <c r="N552">
        <v>9321.59</v>
      </c>
      <c r="O552" t="s">
        <v>98</v>
      </c>
    </row>
    <row r="553" spans="1:15">
      <c r="A553" s="1">
        <v>46082</v>
      </c>
      <c r="B553" t="s">
        <v>19</v>
      </c>
      <c r="C553" t="s">
        <v>135</v>
      </c>
      <c r="D553" t="s">
        <v>136</v>
      </c>
      <c r="E553" t="s">
        <v>109</v>
      </c>
      <c r="F553" t="s">
        <v>110</v>
      </c>
      <c r="G553">
        <v>315</v>
      </c>
      <c r="H553">
        <v>0</v>
      </c>
      <c r="I553">
        <v>96</v>
      </c>
      <c r="J553">
        <v>219</v>
      </c>
      <c r="K553">
        <v>135</v>
      </c>
      <c r="L553" t="b">
        <v>0</v>
      </c>
      <c r="M553">
        <v>111.15</v>
      </c>
      <c r="N553">
        <v>24342.240000000002</v>
      </c>
      <c r="O553" t="s">
        <v>32</v>
      </c>
    </row>
    <row r="554" spans="1:15">
      <c r="A554" s="1">
        <v>46082</v>
      </c>
      <c r="B554" t="s">
        <v>19</v>
      </c>
      <c r="C554" t="s">
        <v>137</v>
      </c>
      <c r="D554" t="s">
        <v>138</v>
      </c>
      <c r="E554" t="s">
        <v>109</v>
      </c>
      <c r="F554" t="s">
        <v>110</v>
      </c>
      <c r="G554">
        <v>65</v>
      </c>
      <c r="H554">
        <v>340</v>
      </c>
      <c r="I554">
        <v>134</v>
      </c>
      <c r="J554">
        <v>271</v>
      </c>
      <c r="K554">
        <v>135</v>
      </c>
      <c r="L554" t="b">
        <v>0</v>
      </c>
      <c r="M554">
        <v>60.62</v>
      </c>
      <c r="N554">
        <v>16426.900000000001</v>
      </c>
      <c r="O554" t="s">
        <v>27</v>
      </c>
    </row>
    <row r="555" spans="1:15">
      <c r="A555" s="1">
        <v>46082</v>
      </c>
      <c r="B555" t="s">
        <v>19</v>
      </c>
      <c r="C555" t="s">
        <v>139</v>
      </c>
      <c r="D555" t="s">
        <v>140</v>
      </c>
      <c r="E555" t="s">
        <v>109</v>
      </c>
      <c r="F555" t="s">
        <v>110</v>
      </c>
      <c r="G555">
        <v>218</v>
      </c>
      <c r="H555">
        <v>0</v>
      </c>
      <c r="I555">
        <v>174</v>
      </c>
      <c r="J555">
        <v>44</v>
      </c>
      <c r="K555">
        <v>110</v>
      </c>
      <c r="L555" t="b">
        <v>1</v>
      </c>
      <c r="M555">
        <v>300.82</v>
      </c>
      <c r="N555">
        <v>13235.87</v>
      </c>
      <c r="O555" t="s">
        <v>32</v>
      </c>
    </row>
    <row r="556" spans="1:15">
      <c r="A556" s="1">
        <v>46082</v>
      </c>
      <c r="B556" t="s">
        <v>19</v>
      </c>
      <c r="C556" t="s">
        <v>141</v>
      </c>
      <c r="D556" t="s">
        <v>142</v>
      </c>
      <c r="E556" t="s">
        <v>109</v>
      </c>
      <c r="F556" t="s">
        <v>110</v>
      </c>
      <c r="G556">
        <v>204</v>
      </c>
      <c r="H556">
        <v>0</v>
      </c>
      <c r="I556">
        <v>48</v>
      </c>
      <c r="J556">
        <v>156</v>
      </c>
      <c r="K556">
        <v>96</v>
      </c>
      <c r="L556" t="b">
        <v>0</v>
      </c>
      <c r="M556">
        <v>90.61</v>
      </c>
      <c r="N556">
        <v>14135.09</v>
      </c>
      <c r="O556" t="s">
        <v>37</v>
      </c>
    </row>
    <row r="557" spans="1:15">
      <c r="A557" s="1">
        <v>46082</v>
      </c>
      <c r="B557" t="s">
        <v>19</v>
      </c>
      <c r="C557" t="s">
        <v>143</v>
      </c>
      <c r="D557" t="s">
        <v>144</v>
      </c>
      <c r="E557" t="s">
        <v>109</v>
      </c>
      <c r="F557" t="s">
        <v>110</v>
      </c>
      <c r="G557">
        <v>120</v>
      </c>
      <c r="H557">
        <v>368</v>
      </c>
      <c r="I557">
        <v>107</v>
      </c>
      <c r="J557">
        <v>381</v>
      </c>
      <c r="K557">
        <v>187</v>
      </c>
      <c r="L557" t="b">
        <v>0</v>
      </c>
      <c r="M557">
        <v>445.81</v>
      </c>
      <c r="N557">
        <v>169853.78</v>
      </c>
      <c r="O557" t="s">
        <v>24</v>
      </c>
    </row>
    <row r="558" spans="1:15">
      <c r="A558" s="1">
        <v>46082</v>
      </c>
      <c r="B558" t="s">
        <v>19</v>
      </c>
      <c r="C558" t="s">
        <v>145</v>
      </c>
      <c r="D558" t="s">
        <v>146</v>
      </c>
      <c r="E558" t="s">
        <v>109</v>
      </c>
      <c r="F558" t="s">
        <v>110</v>
      </c>
      <c r="G558">
        <v>165</v>
      </c>
      <c r="H558">
        <v>667</v>
      </c>
      <c r="I558">
        <v>148</v>
      </c>
      <c r="J558">
        <v>684</v>
      </c>
      <c r="K558">
        <v>209</v>
      </c>
      <c r="L558" t="b">
        <v>0</v>
      </c>
      <c r="M558">
        <v>63.67</v>
      </c>
      <c r="N558">
        <v>43552.58</v>
      </c>
      <c r="O558" t="s">
        <v>37</v>
      </c>
    </row>
    <row r="559" spans="1:15">
      <c r="A559" s="1">
        <v>46082</v>
      </c>
      <c r="B559" t="s">
        <v>19</v>
      </c>
      <c r="C559" t="s">
        <v>147</v>
      </c>
      <c r="D559" t="s">
        <v>148</v>
      </c>
      <c r="E559" t="s">
        <v>109</v>
      </c>
      <c r="F559" t="s">
        <v>110</v>
      </c>
      <c r="G559">
        <v>942</v>
      </c>
      <c r="H559">
        <v>459</v>
      </c>
      <c r="I559">
        <v>100</v>
      </c>
      <c r="J559">
        <v>1301</v>
      </c>
      <c r="K559">
        <v>235</v>
      </c>
      <c r="L559" t="b">
        <v>0</v>
      </c>
      <c r="M559">
        <v>321.67</v>
      </c>
      <c r="N559">
        <v>418487.03999999998</v>
      </c>
      <c r="O559" t="s">
        <v>98</v>
      </c>
    </row>
    <row r="560" spans="1:15">
      <c r="A560" s="1">
        <v>46082</v>
      </c>
      <c r="B560" t="s">
        <v>19</v>
      </c>
      <c r="C560" t="s">
        <v>149</v>
      </c>
      <c r="D560" t="s">
        <v>150</v>
      </c>
      <c r="E560" t="s">
        <v>151</v>
      </c>
      <c r="F560" t="s">
        <v>23</v>
      </c>
      <c r="G560">
        <v>40</v>
      </c>
      <c r="H560">
        <v>150</v>
      </c>
      <c r="I560">
        <v>87</v>
      </c>
      <c r="J560">
        <v>103</v>
      </c>
      <c r="K560">
        <v>96</v>
      </c>
      <c r="L560" t="b">
        <v>0</v>
      </c>
      <c r="M560">
        <v>285.81</v>
      </c>
      <c r="N560">
        <v>29437.99</v>
      </c>
      <c r="O560" t="s">
        <v>32</v>
      </c>
    </row>
    <row r="561" spans="1:15">
      <c r="A561" s="1">
        <v>46082</v>
      </c>
      <c r="B561" t="s">
        <v>19</v>
      </c>
      <c r="C561" t="s">
        <v>152</v>
      </c>
      <c r="D561" t="s">
        <v>153</v>
      </c>
      <c r="E561" t="s">
        <v>151</v>
      </c>
      <c r="F561" t="s">
        <v>23</v>
      </c>
      <c r="G561">
        <v>357</v>
      </c>
      <c r="H561">
        <v>0</v>
      </c>
      <c r="I561">
        <v>93</v>
      </c>
      <c r="J561">
        <v>264</v>
      </c>
      <c r="K561">
        <v>163</v>
      </c>
      <c r="L561" t="b">
        <v>0</v>
      </c>
      <c r="M561">
        <v>1156.8699999999999</v>
      </c>
      <c r="N561">
        <v>305413.18</v>
      </c>
      <c r="O561" t="s">
        <v>98</v>
      </c>
    </row>
    <row r="562" spans="1:15">
      <c r="A562" s="1">
        <v>46082</v>
      </c>
      <c r="B562" t="s">
        <v>19</v>
      </c>
      <c r="C562" t="s">
        <v>154</v>
      </c>
      <c r="D562" t="s">
        <v>155</v>
      </c>
      <c r="E562" t="s">
        <v>151</v>
      </c>
      <c r="F562" t="s">
        <v>23</v>
      </c>
      <c r="G562">
        <v>134</v>
      </c>
      <c r="H562">
        <v>287</v>
      </c>
      <c r="I562">
        <v>133</v>
      </c>
      <c r="J562">
        <v>288</v>
      </c>
      <c r="K562">
        <v>202</v>
      </c>
      <c r="L562" t="b">
        <v>0</v>
      </c>
      <c r="M562">
        <v>299.39999999999998</v>
      </c>
      <c r="N562">
        <v>86227.66</v>
      </c>
      <c r="O562" t="s">
        <v>60</v>
      </c>
    </row>
    <row r="563" spans="1:15">
      <c r="A563" s="1">
        <v>46082</v>
      </c>
      <c r="B563" t="s">
        <v>19</v>
      </c>
      <c r="C563" t="s">
        <v>156</v>
      </c>
      <c r="D563" t="s">
        <v>157</v>
      </c>
      <c r="E563" t="s">
        <v>151</v>
      </c>
      <c r="F563" t="s">
        <v>23</v>
      </c>
      <c r="G563">
        <v>153</v>
      </c>
      <c r="H563">
        <v>417</v>
      </c>
      <c r="I563">
        <v>143</v>
      </c>
      <c r="J563">
        <v>427</v>
      </c>
      <c r="K563">
        <v>130</v>
      </c>
      <c r="L563" t="b">
        <v>0</v>
      </c>
      <c r="M563">
        <v>1493.55</v>
      </c>
      <c r="N563">
        <v>637746.92000000004</v>
      </c>
      <c r="O563" t="s">
        <v>32</v>
      </c>
    </row>
    <row r="564" spans="1:15">
      <c r="A564" s="1">
        <v>46082</v>
      </c>
      <c r="B564" t="s">
        <v>19</v>
      </c>
      <c r="C564" t="s">
        <v>158</v>
      </c>
      <c r="D564" t="s">
        <v>159</v>
      </c>
      <c r="E564" t="s">
        <v>151</v>
      </c>
      <c r="F564" t="s">
        <v>23</v>
      </c>
      <c r="G564">
        <v>422</v>
      </c>
      <c r="H564">
        <v>0</v>
      </c>
      <c r="I564">
        <v>100</v>
      </c>
      <c r="J564">
        <v>322</v>
      </c>
      <c r="K564">
        <v>111</v>
      </c>
      <c r="L564" t="b">
        <v>0</v>
      </c>
      <c r="M564">
        <v>47.29</v>
      </c>
      <c r="N564">
        <v>15228.87</v>
      </c>
      <c r="O564" t="s">
        <v>37</v>
      </c>
    </row>
    <row r="565" spans="1:15">
      <c r="A565" s="1">
        <v>46082</v>
      </c>
      <c r="B565" t="s">
        <v>19</v>
      </c>
      <c r="C565" t="s">
        <v>160</v>
      </c>
      <c r="D565" t="s">
        <v>161</v>
      </c>
      <c r="E565" t="s">
        <v>151</v>
      </c>
      <c r="F565" t="s">
        <v>23</v>
      </c>
      <c r="G565">
        <v>219</v>
      </c>
      <c r="H565">
        <v>0</v>
      </c>
      <c r="I565">
        <v>177</v>
      </c>
      <c r="J565">
        <v>42</v>
      </c>
      <c r="K565">
        <v>127</v>
      </c>
      <c r="L565" t="b">
        <v>1</v>
      </c>
      <c r="M565">
        <v>189.28</v>
      </c>
      <c r="N565">
        <v>7949.77</v>
      </c>
      <c r="O565" t="s">
        <v>24</v>
      </c>
    </row>
    <row r="566" spans="1:15">
      <c r="A566" s="1">
        <v>46082</v>
      </c>
      <c r="B566" t="s">
        <v>19</v>
      </c>
      <c r="C566" t="s">
        <v>162</v>
      </c>
      <c r="D566" t="s">
        <v>163</v>
      </c>
      <c r="E566" t="s">
        <v>151</v>
      </c>
      <c r="F566" t="s">
        <v>23</v>
      </c>
      <c r="G566">
        <v>351</v>
      </c>
      <c r="H566">
        <v>0</v>
      </c>
      <c r="I566">
        <v>191</v>
      </c>
      <c r="J566">
        <v>160</v>
      </c>
      <c r="K566">
        <v>216</v>
      </c>
      <c r="L566" t="b">
        <v>1</v>
      </c>
      <c r="M566">
        <v>205.42</v>
      </c>
      <c r="N566">
        <v>32867.9</v>
      </c>
      <c r="O566" t="s">
        <v>37</v>
      </c>
    </row>
    <row r="567" spans="1:15">
      <c r="A567" s="1">
        <v>46082</v>
      </c>
      <c r="B567" t="s">
        <v>19</v>
      </c>
      <c r="C567" t="s">
        <v>164</v>
      </c>
      <c r="D567" t="s">
        <v>165</v>
      </c>
      <c r="E567" t="s">
        <v>151</v>
      </c>
      <c r="F567" t="s">
        <v>23</v>
      </c>
      <c r="G567">
        <v>555</v>
      </c>
      <c r="H567">
        <v>0</v>
      </c>
      <c r="I567">
        <v>125</v>
      </c>
      <c r="J567">
        <v>430</v>
      </c>
      <c r="K567">
        <v>207</v>
      </c>
      <c r="L567" t="b">
        <v>0</v>
      </c>
      <c r="M567">
        <v>974.59</v>
      </c>
      <c r="N567">
        <v>419075.26</v>
      </c>
      <c r="O567" t="s">
        <v>98</v>
      </c>
    </row>
    <row r="568" spans="1:15">
      <c r="A568" s="1">
        <v>46082</v>
      </c>
      <c r="B568" t="s">
        <v>19</v>
      </c>
      <c r="C568" t="s">
        <v>166</v>
      </c>
      <c r="D568" t="s">
        <v>167</v>
      </c>
      <c r="E568" t="s">
        <v>151</v>
      </c>
      <c r="F568" t="s">
        <v>23</v>
      </c>
      <c r="G568">
        <v>104</v>
      </c>
      <c r="H568">
        <v>0</v>
      </c>
      <c r="I568">
        <v>8</v>
      </c>
      <c r="J568">
        <v>96</v>
      </c>
      <c r="K568">
        <v>26</v>
      </c>
      <c r="L568" t="b">
        <v>0</v>
      </c>
      <c r="M568">
        <v>150.78</v>
      </c>
      <c r="N568">
        <v>14474.76</v>
      </c>
      <c r="O568" t="s">
        <v>44</v>
      </c>
    </row>
    <row r="569" spans="1:15">
      <c r="A569" s="1">
        <v>46082</v>
      </c>
      <c r="B569" t="s">
        <v>19</v>
      </c>
      <c r="C569" t="s">
        <v>168</v>
      </c>
      <c r="D569" t="s">
        <v>169</v>
      </c>
      <c r="E569" t="s">
        <v>151</v>
      </c>
      <c r="F569" t="s">
        <v>23</v>
      </c>
      <c r="G569">
        <v>155</v>
      </c>
      <c r="H569">
        <v>439</v>
      </c>
      <c r="I569">
        <v>237</v>
      </c>
      <c r="J569">
        <v>357</v>
      </c>
      <c r="K569">
        <v>215</v>
      </c>
      <c r="L569" t="b">
        <v>0</v>
      </c>
      <c r="M569">
        <v>646.84</v>
      </c>
      <c r="N569">
        <v>230920.65</v>
      </c>
      <c r="O569" t="s">
        <v>27</v>
      </c>
    </row>
    <row r="570" spans="1:15">
      <c r="A570" s="1">
        <v>46082</v>
      </c>
      <c r="B570" t="s">
        <v>19</v>
      </c>
      <c r="C570" t="s">
        <v>170</v>
      </c>
      <c r="D570" t="s">
        <v>171</v>
      </c>
      <c r="E570" t="s">
        <v>151</v>
      </c>
      <c r="F570" t="s">
        <v>23</v>
      </c>
      <c r="G570">
        <v>234</v>
      </c>
      <c r="H570">
        <v>0</v>
      </c>
      <c r="I570">
        <v>128</v>
      </c>
      <c r="J570">
        <v>106</v>
      </c>
      <c r="K570">
        <v>177</v>
      </c>
      <c r="L570" t="b">
        <v>1</v>
      </c>
      <c r="M570">
        <v>2793.93</v>
      </c>
      <c r="N570">
        <v>296156.69</v>
      </c>
      <c r="O570" t="s">
        <v>47</v>
      </c>
    </row>
    <row r="571" spans="1:15">
      <c r="A571" s="1">
        <v>46082</v>
      </c>
      <c r="B571" t="s">
        <v>19</v>
      </c>
      <c r="C571" t="s">
        <v>172</v>
      </c>
      <c r="D571" t="s">
        <v>173</v>
      </c>
      <c r="E571" t="s">
        <v>151</v>
      </c>
      <c r="F571" t="s">
        <v>23</v>
      </c>
      <c r="G571">
        <v>385</v>
      </c>
      <c r="H571">
        <v>0</v>
      </c>
      <c r="I571">
        <v>84</v>
      </c>
      <c r="J571">
        <v>301</v>
      </c>
      <c r="K571">
        <v>164</v>
      </c>
      <c r="L571" t="b">
        <v>0</v>
      </c>
      <c r="M571">
        <v>498.95</v>
      </c>
      <c r="N571">
        <v>150182.87</v>
      </c>
      <c r="O571" t="s">
        <v>24</v>
      </c>
    </row>
    <row r="572" spans="1:15">
      <c r="A572" s="1">
        <v>46082</v>
      </c>
      <c r="B572" t="s">
        <v>19</v>
      </c>
      <c r="C572" t="s">
        <v>174</v>
      </c>
      <c r="D572" t="s">
        <v>175</v>
      </c>
      <c r="E572" t="s">
        <v>151</v>
      </c>
      <c r="F572" t="s">
        <v>23</v>
      </c>
      <c r="G572">
        <v>243</v>
      </c>
      <c r="H572">
        <v>373</v>
      </c>
      <c r="I572">
        <v>83</v>
      </c>
      <c r="J572">
        <v>533</v>
      </c>
      <c r="K572">
        <v>206</v>
      </c>
      <c r="L572" t="b">
        <v>0</v>
      </c>
      <c r="M572">
        <v>2371.1</v>
      </c>
      <c r="N572">
        <v>1263795.8799999999</v>
      </c>
      <c r="O572" t="s">
        <v>27</v>
      </c>
    </row>
    <row r="573" spans="1:15">
      <c r="A573" s="1">
        <v>46082</v>
      </c>
      <c r="B573" t="s">
        <v>19</v>
      </c>
      <c r="C573" t="s">
        <v>176</v>
      </c>
      <c r="D573" t="s">
        <v>177</v>
      </c>
      <c r="E573" t="s">
        <v>151</v>
      </c>
      <c r="F573" t="s">
        <v>23</v>
      </c>
      <c r="G573">
        <v>164</v>
      </c>
      <c r="H573">
        <v>0</v>
      </c>
      <c r="I573">
        <v>82</v>
      </c>
      <c r="J573">
        <v>82</v>
      </c>
      <c r="K573">
        <v>94</v>
      </c>
      <c r="L573" t="b">
        <v>1</v>
      </c>
      <c r="M573">
        <v>74.040000000000006</v>
      </c>
      <c r="N573">
        <v>6071.56</v>
      </c>
      <c r="O573" t="s">
        <v>27</v>
      </c>
    </row>
    <row r="574" spans="1:15">
      <c r="A574" s="1">
        <v>46082</v>
      </c>
      <c r="B574" t="s">
        <v>19</v>
      </c>
      <c r="C574" t="s">
        <v>178</v>
      </c>
      <c r="D574" t="s">
        <v>179</v>
      </c>
      <c r="E574" t="s">
        <v>151</v>
      </c>
      <c r="F574" t="s">
        <v>23</v>
      </c>
      <c r="G574">
        <v>149</v>
      </c>
      <c r="H574">
        <v>475</v>
      </c>
      <c r="I574">
        <v>282</v>
      </c>
      <c r="J574">
        <v>342</v>
      </c>
      <c r="K574">
        <v>159</v>
      </c>
      <c r="L574" t="b">
        <v>0</v>
      </c>
      <c r="M574">
        <v>331.27</v>
      </c>
      <c r="N574">
        <v>113294.38</v>
      </c>
      <c r="O574" t="s">
        <v>32</v>
      </c>
    </row>
    <row r="575" spans="1:15">
      <c r="A575" s="1">
        <v>46082</v>
      </c>
      <c r="B575" t="s">
        <v>19</v>
      </c>
      <c r="C575" t="s">
        <v>180</v>
      </c>
      <c r="D575" t="s">
        <v>181</v>
      </c>
      <c r="E575" t="s">
        <v>151</v>
      </c>
      <c r="F575" t="s">
        <v>23</v>
      </c>
      <c r="G575">
        <v>334</v>
      </c>
      <c r="H575">
        <v>512</v>
      </c>
      <c r="I575">
        <v>203</v>
      </c>
      <c r="J575">
        <v>643</v>
      </c>
      <c r="K575">
        <v>305</v>
      </c>
      <c r="L575" t="b">
        <v>0</v>
      </c>
      <c r="M575">
        <v>54.45</v>
      </c>
      <c r="N575">
        <v>35008.959999999999</v>
      </c>
      <c r="O575" t="s">
        <v>44</v>
      </c>
    </row>
    <row r="576" spans="1:15">
      <c r="A576" s="1">
        <v>46082</v>
      </c>
      <c r="B576" t="s">
        <v>19</v>
      </c>
      <c r="C576" t="s">
        <v>182</v>
      </c>
      <c r="D576" t="s">
        <v>183</v>
      </c>
      <c r="E576" t="s">
        <v>151</v>
      </c>
      <c r="F576" t="s">
        <v>23</v>
      </c>
      <c r="G576">
        <v>146</v>
      </c>
      <c r="H576">
        <v>119</v>
      </c>
      <c r="I576">
        <v>44</v>
      </c>
      <c r="J576">
        <v>221</v>
      </c>
      <c r="K576">
        <v>43</v>
      </c>
      <c r="L576" t="b">
        <v>0</v>
      </c>
      <c r="M576">
        <v>252.24</v>
      </c>
      <c r="N576">
        <v>55745.49</v>
      </c>
      <c r="O576" t="s">
        <v>32</v>
      </c>
    </row>
    <row r="577" spans="1:15">
      <c r="A577" s="1">
        <v>46082</v>
      </c>
      <c r="B577" t="s">
        <v>19</v>
      </c>
      <c r="C577" t="s">
        <v>184</v>
      </c>
      <c r="D577" t="s">
        <v>185</v>
      </c>
      <c r="E577" t="s">
        <v>151</v>
      </c>
      <c r="F577" t="s">
        <v>23</v>
      </c>
      <c r="G577">
        <v>406</v>
      </c>
      <c r="H577">
        <v>0</v>
      </c>
      <c r="I577">
        <v>142</v>
      </c>
      <c r="J577">
        <v>264</v>
      </c>
      <c r="K577">
        <v>225</v>
      </c>
      <c r="L577" t="b">
        <v>0</v>
      </c>
      <c r="M577">
        <v>418.31</v>
      </c>
      <c r="N577">
        <v>110434.6</v>
      </c>
      <c r="O577" t="s">
        <v>60</v>
      </c>
    </row>
    <row r="578" spans="1:15">
      <c r="A578" s="1">
        <v>46082</v>
      </c>
      <c r="B578" t="s">
        <v>19</v>
      </c>
      <c r="C578" t="s">
        <v>186</v>
      </c>
      <c r="D578" t="s">
        <v>187</v>
      </c>
      <c r="E578" t="s">
        <v>188</v>
      </c>
      <c r="F578" t="s">
        <v>23</v>
      </c>
      <c r="G578">
        <v>10</v>
      </c>
      <c r="H578">
        <v>176</v>
      </c>
      <c r="I578">
        <v>93</v>
      </c>
      <c r="J578">
        <v>93</v>
      </c>
      <c r="K578">
        <v>79</v>
      </c>
      <c r="L578" t="b">
        <v>0</v>
      </c>
      <c r="M578">
        <v>121.26</v>
      </c>
      <c r="N578">
        <v>11277.5</v>
      </c>
      <c r="O578" t="s">
        <v>24</v>
      </c>
    </row>
    <row r="579" spans="1:15">
      <c r="A579" s="1">
        <v>46082</v>
      </c>
      <c r="B579" t="s">
        <v>19</v>
      </c>
      <c r="C579" t="s">
        <v>189</v>
      </c>
      <c r="D579" t="s">
        <v>190</v>
      </c>
      <c r="E579" t="s">
        <v>188</v>
      </c>
      <c r="F579" t="s">
        <v>23</v>
      </c>
      <c r="G579">
        <v>393</v>
      </c>
      <c r="H579">
        <v>0</v>
      </c>
      <c r="I579">
        <v>132</v>
      </c>
      <c r="J579">
        <v>261</v>
      </c>
      <c r="K579">
        <v>177</v>
      </c>
      <c r="L579" t="b">
        <v>0</v>
      </c>
      <c r="M579">
        <v>509.63</v>
      </c>
      <c r="N579">
        <v>133012.4</v>
      </c>
      <c r="O579" t="s">
        <v>98</v>
      </c>
    </row>
    <row r="580" spans="1:15">
      <c r="A580" s="1">
        <v>46082</v>
      </c>
      <c r="B580" t="s">
        <v>19</v>
      </c>
      <c r="C580" t="s">
        <v>191</v>
      </c>
      <c r="D580" t="s">
        <v>192</v>
      </c>
      <c r="E580" t="s">
        <v>188</v>
      </c>
      <c r="F580" t="s">
        <v>23</v>
      </c>
      <c r="G580">
        <v>81</v>
      </c>
      <c r="H580">
        <v>434</v>
      </c>
      <c r="I580">
        <v>189</v>
      </c>
      <c r="J580">
        <v>326</v>
      </c>
      <c r="K580">
        <v>238</v>
      </c>
      <c r="L580" t="b">
        <v>0</v>
      </c>
      <c r="M580">
        <v>103.34</v>
      </c>
      <c r="N580">
        <v>33689.760000000002</v>
      </c>
      <c r="O580" t="s">
        <v>98</v>
      </c>
    </row>
    <row r="581" spans="1:15">
      <c r="A581" s="1">
        <v>46082</v>
      </c>
      <c r="B581" t="s">
        <v>19</v>
      </c>
      <c r="C581" t="s">
        <v>193</v>
      </c>
      <c r="D581" t="s">
        <v>194</v>
      </c>
      <c r="E581" t="s">
        <v>188</v>
      </c>
      <c r="F581" t="s">
        <v>23</v>
      </c>
      <c r="G581">
        <v>22</v>
      </c>
      <c r="H581">
        <v>106</v>
      </c>
      <c r="I581">
        <v>33</v>
      </c>
      <c r="J581">
        <v>95</v>
      </c>
      <c r="K581">
        <v>49</v>
      </c>
      <c r="L581" t="b">
        <v>0</v>
      </c>
      <c r="M581">
        <v>419.35</v>
      </c>
      <c r="N581">
        <v>39837.919999999998</v>
      </c>
      <c r="O581" t="s">
        <v>27</v>
      </c>
    </row>
    <row r="582" spans="1:15">
      <c r="A582" s="1">
        <v>46082</v>
      </c>
      <c r="B582" t="s">
        <v>19</v>
      </c>
      <c r="C582" t="s">
        <v>195</v>
      </c>
      <c r="D582" t="s">
        <v>196</v>
      </c>
      <c r="E582" t="s">
        <v>188</v>
      </c>
      <c r="F582" t="s">
        <v>23</v>
      </c>
      <c r="G582">
        <v>38</v>
      </c>
      <c r="H582">
        <v>0</v>
      </c>
      <c r="I582">
        <v>17</v>
      </c>
      <c r="J582">
        <v>21</v>
      </c>
      <c r="K582">
        <v>23</v>
      </c>
      <c r="L582" t="b">
        <v>1</v>
      </c>
      <c r="M582">
        <v>72.61</v>
      </c>
      <c r="N582">
        <v>1524.77</v>
      </c>
      <c r="O582" t="s">
        <v>47</v>
      </c>
    </row>
    <row r="583" spans="1:15">
      <c r="A583" s="1">
        <v>46082</v>
      </c>
      <c r="B583" t="s">
        <v>19</v>
      </c>
      <c r="C583" t="s">
        <v>197</v>
      </c>
      <c r="D583" t="s">
        <v>198</v>
      </c>
      <c r="E583" t="s">
        <v>188</v>
      </c>
      <c r="F583" t="s">
        <v>23</v>
      </c>
      <c r="G583">
        <v>181</v>
      </c>
      <c r="H583">
        <v>0</v>
      </c>
      <c r="I583">
        <v>21</v>
      </c>
      <c r="J583">
        <v>160</v>
      </c>
      <c r="K583">
        <v>52</v>
      </c>
      <c r="L583" t="b">
        <v>0</v>
      </c>
      <c r="M583">
        <v>113.25</v>
      </c>
      <c r="N583">
        <v>18119.41</v>
      </c>
      <c r="O583" t="s">
        <v>98</v>
      </c>
    </row>
    <row r="584" spans="1:15">
      <c r="A584" s="1">
        <v>46082</v>
      </c>
      <c r="B584" t="s">
        <v>19</v>
      </c>
      <c r="C584" t="s">
        <v>199</v>
      </c>
      <c r="D584" t="s">
        <v>200</v>
      </c>
      <c r="E584" t="s">
        <v>188</v>
      </c>
      <c r="F584" t="s">
        <v>23</v>
      </c>
      <c r="G584">
        <v>581</v>
      </c>
      <c r="H584">
        <v>0</v>
      </c>
      <c r="I584">
        <v>159</v>
      </c>
      <c r="J584">
        <v>422</v>
      </c>
      <c r="K584">
        <v>160</v>
      </c>
      <c r="L584" t="b">
        <v>0</v>
      </c>
      <c r="M584">
        <v>545.13</v>
      </c>
      <c r="N584">
        <v>230044.7</v>
      </c>
      <c r="O584" t="s">
        <v>98</v>
      </c>
    </row>
    <row r="585" spans="1:15">
      <c r="A585" s="1">
        <v>46082</v>
      </c>
      <c r="B585" t="s">
        <v>19</v>
      </c>
      <c r="C585" t="s">
        <v>201</v>
      </c>
      <c r="D585" t="s">
        <v>202</v>
      </c>
      <c r="E585" t="s">
        <v>188</v>
      </c>
      <c r="F585" t="s">
        <v>23</v>
      </c>
      <c r="G585">
        <v>39</v>
      </c>
      <c r="H585">
        <v>126</v>
      </c>
      <c r="I585">
        <v>42</v>
      </c>
      <c r="J585">
        <v>123</v>
      </c>
      <c r="K585">
        <v>59</v>
      </c>
      <c r="L585" t="b">
        <v>0</v>
      </c>
      <c r="M585">
        <v>902.86</v>
      </c>
      <c r="N585">
        <v>111052.34</v>
      </c>
      <c r="O585" t="s">
        <v>47</v>
      </c>
    </row>
    <row r="586" spans="1:15">
      <c r="A586" s="1">
        <v>46082</v>
      </c>
      <c r="B586" t="s">
        <v>19</v>
      </c>
      <c r="C586" t="s">
        <v>203</v>
      </c>
      <c r="D586" t="s">
        <v>204</v>
      </c>
      <c r="E586" t="s">
        <v>188</v>
      </c>
      <c r="F586" t="s">
        <v>23</v>
      </c>
      <c r="G586">
        <v>250</v>
      </c>
      <c r="H586">
        <v>0</v>
      </c>
      <c r="I586">
        <v>112</v>
      </c>
      <c r="J586">
        <v>138</v>
      </c>
      <c r="K586">
        <v>159</v>
      </c>
      <c r="L586" t="b">
        <v>1</v>
      </c>
      <c r="M586">
        <v>4236.42</v>
      </c>
      <c r="N586">
        <v>584626.01</v>
      </c>
      <c r="O586" t="s">
        <v>47</v>
      </c>
    </row>
    <row r="587" spans="1:15">
      <c r="A587" s="1">
        <v>46082</v>
      </c>
      <c r="B587" t="s">
        <v>19</v>
      </c>
      <c r="C587" t="s">
        <v>205</v>
      </c>
      <c r="D587" t="s">
        <v>206</v>
      </c>
      <c r="E587" t="s">
        <v>188</v>
      </c>
      <c r="F587" t="s">
        <v>23</v>
      </c>
      <c r="G587">
        <v>115</v>
      </c>
      <c r="H587">
        <v>491</v>
      </c>
      <c r="I587">
        <v>186</v>
      </c>
      <c r="J587">
        <v>420</v>
      </c>
      <c r="K587">
        <v>271</v>
      </c>
      <c r="L587" t="b">
        <v>0</v>
      </c>
      <c r="M587">
        <v>86.25</v>
      </c>
      <c r="N587">
        <v>36226.629999999997</v>
      </c>
      <c r="O587" t="s">
        <v>98</v>
      </c>
    </row>
    <row r="588" spans="1:15">
      <c r="A588" s="1">
        <v>46082</v>
      </c>
      <c r="B588" t="s">
        <v>19</v>
      </c>
      <c r="C588" t="s">
        <v>207</v>
      </c>
      <c r="D588" t="s">
        <v>208</v>
      </c>
      <c r="E588" t="s">
        <v>188</v>
      </c>
      <c r="F588" t="s">
        <v>23</v>
      </c>
      <c r="G588">
        <v>520</v>
      </c>
      <c r="H588">
        <v>436</v>
      </c>
      <c r="I588">
        <v>162</v>
      </c>
      <c r="J588">
        <v>794</v>
      </c>
      <c r="K588">
        <v>205</v>
      </c>
      <c r="L588" t="b">
        <v>0</v>
      </c>
      <c r="M588">
        <v>76.64</v>
      </c>
      <c r="N588">
        <v>60848.46</v>
      </c>
      <c r="O588" t="s">
        <v>47</v>
      </c>
    </row>
    <row r="589" spans="1:15">
      <c r="A589" s="1">
        <v>46082</v>
      </c>
      <c r="B589" t="s">
        <v>19</v>
      </c>
      <c r="C589" t="s">
        <v>209</v>
      </c>
      <c r="D589" t="s">
        <v>210</v>
      </c>
      <c r="E589" t="s">
        <v>188</v>
      </c>
      <c r="F589" t="s">
        <v>23</v>
      </c>
      <c r="G589">
        <v>404</v>
      </c>
      <c r="H589">
        <v>0</v>
      </c>
      <c r="I589">
        <v>129</v>
      </c>
      <c r="J589">
        <v>275</v>
      </c>
      <c r="K589">
        <v>167</v>
      </c>
      <c r="L589" t="b">
        <v>0</v>
      </c>
      <c r="M589">
        <v>366.36</v>
      </c>
      <c r="N589">
        <v>100748.56</v>
      </c>
      <c r="O589" t="s">
        <v>37</v>
      </c>
    </row>
    <row r="590" spans="1:15">
      <c r="A590" s="1">
        <v>46082</v>
      </c>
      <c r="B590" t="s">
        <v>19</v>
      </c>
      <c r="C590" t="s">
        <v>211</v>
      </c>
      <c r="D590" t="s">
        <v>212</v>
      </c>
      <c r="E590" t="s">
        <v>188</v>
      </c>
      <c r="F590" t="s">
        <v>23</v>
      </c>
      <c r="G590">
        <v>162</v>
      </c>
      <c r="H590">
        <v>327</v>
      </c>
      <c r="I590">
        <v>163</v>
      </c>
      <c r="J590">
        <v>326</v>
      </c>
      <c r="K590">
        <v>145</v>
      </c>
      <c r="L590" t="b">
        <v>0</v>
      </c>
      <c r="M590">
        <v>466.58</v>
      </c>
      <c r="N590">
        <v>152103.70000000001</v>
      </c>
      <c r="O590" t="s">
        <v>60</v>
      </c>
    </row>
    <row r="591" spans="1:15">
      <c r="A591" s="1">
        <v>46082</v>
      </c>
      <c r="B591" t="s">
        <v>19</v>
      </c>
      <c r="C591" t="s">
        <v>213</v>
      </c>
      <c r="D591" t="s">
        <v>214</v>
      </c>
      <c r="E591" t="s">
        <v>188</v>
      </c>
      <c r="F591" t="s">
        <v>23</v>
      </c>
      <c r="G591">
        <v>237</v>
      </c>
      <c r="H591">
        <v>379</v>
      </c>
      <c r="I591">
        <v>190</v>
      </c>
      <c r="J591">
        <v>426</v>
      </c>
      <c r="K591">
        <v>200</v>
      </c>
      <c r="L591" t="b">
        <v>0</v>
      </c>
      <c r="M591">
        <v>363.76</v>
      </c>
      <c r="N591">
        <v>154961.63</v>
      </c>
      <c r="O591" t="s">
        <v>44</v>
      </c>
    </row>
    <row r="592" spans="1:15">
      <c r="A592" s="1">
        <v>46082</v>
      </c>
      <c r="B592" t="s">
        <v>19</v>
      </c>
      <c r="C592" t="s">
        <v>215</v>
      </c>
      <c r="D592" t="s">
        <v>216</v>
      </c>
      <c r="E592" t="s">
        <v>188</v>
      </c>
      <c r="F592" t="s">
        <v>23</v>
      </c>
      <c r="G592">
        <v>175</v>
      </c>
      <c r="H592">
        <v>502</v>
      </c>
      <c r="I592">
        <v>81</v>
      </c>
      <c r="J592">
        <v>596</v>
      </c>
      <c r="K592">
        <v>205</v>
      </c>
      <c r="L592" t="b">
        <v>0</v>
      </c>
      <c r="M592">
        <v>1520.18</v>
      </c>
      <c r="N592">
        <v>906027.71</v>
      </c>
      <c r="O592" t="s">
        <v>27</v>
      </c>
    </row>
    <row r="593" spans="1:15">
      <c r="A593" s="1">
        <v>46082</v>
      </c>
      <c r="B593" t="s">
        <v>19</v>
      </c>
      <c r="C593" t="s">
        <v>217</v>
      </c>
      <c r="D593" t="s">
        <v>218</v>
      </c>
      <c r="E593" t="s">
        <v>219</v>
      </c>
      <c r="F593" t="s">
        <v>23</v>
      </c>
      <c r="G593">
        <v>442</v>
      </c>
      <c r="H593">
        <v>0</v>
      </c>
      <c r="I593">
        <v>115</v>
      </c>
      <c r="J593">
        <v>327</v>
      </c>
      <c r="K593">
        <v>127</v>
      </c>
      <c r="L593" t="b">
        <v>0</v>
      </c>
      <c r="M593">
        <v>16.57</v>
      </c>
      <c r="N593">
        <v>5419.44</v>
      </c>
      <c r="O593" t="s">
        <v>37</v>
      </c>
    </row>
    <row r="594" spans="1:15">
      <c r="A594" s="1">
        <v>46082</v>
      </c>
      <c r="B594" t="s">
        <v>19</v>
      </c>
      <c r="C594" t="s">
        <v>220</v>
      </c>
      <c r="D594" t="s">
        <v>221</v>
      </c>
      <c r="E594" t="s">
        <v>219</v>
      </c>
      <c r="F594" t="s">
        <v>23</v>
      </c>
      <c r="G594">
        <v>231</v>
      </c>
      <c r="H594">
        <v>238</v>
      </c>
      <c r="I594">
        <v>94</v>
      </c>
      <c r="J594">
        <v>375</v>
      </c>
      <c r="K594">
        <v>99</v>
      </c>
      <c r="L594" t="b">
        <v>0</v>
      </c>
      <c r="M594">
        <v>76.760000000000005</v>
      </c>
      <c r="N594">
        <v>28786.76</v>
      </c>
      <c r="O594" t="s">
        <v>60</v>
      </c>
    </row>
    <row r="595" spans="1:15">
      <c r="A595" s="1">
        <v>46082</v>
      </c>
      <c r="B595" t="s">
        <v>19</v>
      </c>
      <c r="C595" t="s">
        <v>222</v>
      </c>
      <c r="D595" t="s">
        <v>223</v>
      </c>
      <c r="E595" t="s">
        <v>219</v>
      </c>
      <c r="F595" t="s">
        <v>23</v>
      </c>
      <c r="G595">
        <v>112</v>
      </c>
      <c r="H595">
        <v>409</v>
      </c>
      <c r="I595">
        <v>140</v>
      </c>
      <c r="J595">
        <v>381</v>
      </c>
      <c r="K595">
        <v>185</v>
      </c>
      <c r="L595" t="b">
        <v>0</v>
      </c>
      <c r="M595">
        <v>45.55</v>
      </c>
      <c r="N595">
        <v>17353.86</v>
      </c>
      <c r="O595" t="s">
        <v>37</v>
      </c>
    </row>
    <row r="596" spans="1:15">
      <c r="A596" s="1">
        <v>46082</v>
      </c>
      <c r="B596" t="s">
        <v>19</v>
      </c>
      <c r="C596" t="s">
        <v>224</v>
      </c>
      <c r="D596" t="s">
        <v>225</v>
      </c>
      <c r="E596" t="s">
        <v>219</v>
      </c>
      <c r="F596" t="s">
        <v>23</v>
      </c>
      <c r="G596">
        <v>263</v>
      </c>
      <c r="H596">
        <v>0</v>
      </c>
      <c r="I596">
        <v>242</v>
      </c>
      <c r="J596">
        <v>21</v>
      </c>
      <c r="K596">
        <v>181</v>
      </c>
      <c r="L596" t="b">
        <v>1</v>
      </c>
      <c r="M596">
        <v>193.96</v>
      </c>
      <c r="N596">
        <v>4073.07</v>
      </c>
      <c r="O596" t="s">
        <v>44</v>
      </c>
    </row>
    <row r="597" spans="1:15">
      <c r="A597" s="1">
        <v>46082</v>
      </c>
      <c r="B597" t="s">
        <v>19</v>
      </c>
      <c r="C597" t="s">
        <v>226</v>
      </c>
      <c r="D597" t="s">
        <v>227</v>
      </c>
      <c r="E597" t="s">
        <v>219</v>
      </c>
      <c r="F597" t="s">
        <v>23</v>
      </c>
      <c r="G597">
        <v>159</v>
      </c>
      <c r="H597">
        <v>569</v>
      </c>
      <c r="I597">
        <v>233</v>
      </c>
      <c r="J597">
        <v>495</v>
      </c>
      <c r="K597">
        <v>238</v>
      </c>
      <c r="L597" t="b">
        <v>0</v>
      </c>
      <c r="M597">
        <v>354.1</v>
      </c>
      <c r="N597">
        <v>175278.72</v>
      </c>
      <c r="O597" t="s">
        <v>60</v>
      </c>
    </row>
    <row r="598" spans="1:15">
      <c r="A598" s="1">
        <v>46082</v>
      </c>
      <c r="B598" t="s">
        <v>19</v>
      </c>
      <c r="C598" t="s">
        <v>228</v>
      </c>
      <c r="D598" t="s">
        <v>229</v>
      </c>
      <c r="E598" t="s">
        <v>219</v>
      </c>
      <c r="F598" t="s">
        <v>23</v>
      </c>
      <c r="G598">
        <v>400</v>
      </c>
      <c r="H598">
        <v>0</v>
      </c>
      <c r="I598">
        <v>270</v>
      </c>
      <c r="J598">
        <v>130</v>
      </c>
      <c r="K598">
        <v>190</v>
      </c>
      <c r="L598" t="b">
        <v>1</v>
      </c>
      <c r="M598">
        <v>48.56</v>
      </c>
      <c r="N598">
        <v>6312.34</v>
      </c>
      <c r="O598" t="s">
        <v>44</v>
      </c>
    </row>
    <row r="599" spans="1:15">
      <c r="A599" s="1">
        <v>46082</v>
      </c>
      <c r="B599" t="s">
        <v>19</v>
      </c>
      <c r="C599" t="s">
        <v>230</v>
      </c>
      <c r="D599" t="s">
        <v>231</v>
      </c>
      <c r="E599" t="s">
        <v>219</v>
      </c>
      <c r="F599" t="s">
        <v>23</v>
      </c>
      <c r="G599">
        <v>354</v>
      </c>
      <c r="H599">
        <v>0</v>
      </c>
      <c r="I599">
        <v>172</v>
      </c>
      <c r="J599">
        <v>182</v>
      </c>
      <c r="K599">
        <v>242</v>
      </c>
      <c r="L599" t="b">
        <v>1</v>
      </c>
      <c r="M599">
        <v>222.02</v>
      </c>
      <c r="N599">
        <v>40406.75</v>
      </c>
      <c r="O599" t="s">
        <v>32</v>
      </c>
    </row>
    <row r="600" spans="1:15">
      <c r="A600" s="1">
        <v>46082</v>
      </c>
      <c r="B600" t="s">
        <v>19</v>
      </c>
      <c r="C600" t="s">
        <v>232</v>
      </c>
      <c r="D600" t="s">
        <v>233</v>
      </c>
      <c r="E600" t="s">
        <v>219</v>
      </c>
      <c r="F600" t="s">
        <v>23</v>
      </c>
      <c r="G600">
        <v>260</v>
      </c>
      <c r="H600">
        <v>0</v>
      </c>
      <c r="I600">
        <v>81</v>
      </c>
      <c r="J600">
        <v>179</v>
      </c>
      <c r="K600">
        <v>121</v>
      </c>
      <c r="L600" t="b">
        <v>0</v>
      </c>
      <c r="M600">
        <v>161.79</v>
      </c>
      <c r="N600">
        <v>28959.88</v>
      </c>
      <c r="O600" t="s">
        <v>32</v>
      </c>
    </row>
    <row r="601" spans="1:15">
      <c r="A601" s="1">
        <v>46082</v>
      </c>
      <c r="B601" t="s">
        <v>19</v>
      </c>
      <c r="C601" t="s">
        <v>234</v>
      </c>
      <c r="D601" t="s">
        <v>235</v>
      </c>
      <c r="E601" t="s">
        <v>219</v>
      </c>
      <c r="F601" t="s">
        <v>23</v>
      </c>
      <c r="G601">
        <v>134</v>
      </c>
      <c r="H601">
        <v>318</v>
      </c>
      <c r="I601">
        <v>86</v>
      </c>
      <c r="J601">
        <v>366</v>
      </c>
      <c r="K601">
        <v>137</v>
      </c>
      <c r="L601" t="b">
        <v>0</v>
      </c>
      <c r="M601">
        <v>2458.6</v>
      </c>
      <c r="N601">
        <v>899847.75</v>
      </c>
      <c r="O601" t="s">
        <v>47</v>
      </c>
    </row>
    <row r="602" spans="1:15">
      <c r="A602" s="1">
        <v>46082</v>
      </c>
      <c r="B602" t="s">
        <v>19</v>
      </c>
      <c r="C602" t="s">
        <v>236</v>
      </c>
      <c r="D602" t="s">
        <v>237</v>
      </c>
      <c r="E602" t="s">
        <v>219</v>
      </c>
      <c r="F602" t="s">
        <v>23</v>
      </c>
      <c r="G602">
        <v>489</v>
      </c>
      <c r="H602">
        <v>0</v>
      </c>
      <c r="I602">
        <v>148</v>
      </c>
      <c r="J602">
        <v>341</v>
      </c>
      <c r="K602">
        <v>267</v>
      </c>
      <c r="L602" t="b">
        <v>0</v>
      </c>
      <c r="M602">
        <v>964.21</v>
      </c>
      <c r="N602">
        <v>328796.53000000003</v>
      </c>
      <c r="O602" t="s">
        <v>98</v>
      </c>
    </row>
    <row r="603" spans="1:15">
      <c r="A603" s="1">
        <v>46082</v>
      </c>
      <c r="B603" t="s">
        <v>19</v>
      </c>
      <c r="C603" t="s">
        <v>238</v>
      </c>
      <c r="D603" t="s">
        <v>239</v>
      </c>
      <c r="E603" t="s">
        <v>219</v>
      </c>
      <c r="F603" t="s">
        <v>23</v>
      </c>
      <c r="G603">
        <v>17</v>
      </c>
      <c r="H603">
        <v>46</v>
      </c>
      <c r="I603">
        <v>19</v>
      </c>
      <c r="J603">
        <v>44</v>
      </c>
      <c r="K603">
        <v>28</v>
      </c>
      <c r="L603" t="b">
        <v>0</v>
      </c>
      <c r="M603">
        <v>176.46</v>
      </c>
      <c r="N603">
        <v>7764.37</v>
      </c>
      <c r="O603" t="s">
        <v>32</v>
      </c>
    </row>
    <row r="604" spans="1:15">
      <c r="A604" s="1">
        <v>46082</v>
      </c>
      <c r="B604" t="s">
        <v>19</v>
      </c>
      <c r="C604" t="s">
        <v>240</v>
      </c>
      <c r="D604" t="s">
        <v>241</v>
      </c>
      <c r="E604" t="s">
        <v>219</v>
      </c>
      <c r="F604" t="s">
        <v>23</v>
      </c>
      <c r="G604">
        <v>81</v>
      </c>
      <c r="H604">
        <v>0</v>
      </c>
      <c r="I604">
        <v>61</v>
      </c>
      <c r="J604">
        <v>20</v>
      </c>
      <c r="K604">
        <v>50</v>
      </c>
      <c r="L604" t="b">
        <v>1</v>
      </c>
      <c r="M604">
        <v>65.12</v>
      </c>
      <c r="N604">
        <v>1302.4100000000001</v>
      </c>
      <c r="O604" t="s">
        <v>27</v>
      </c>
    </row>
    <row r="605" spans="1:15">
      <c r="A605" s="1">
        <v>46082</v>
      </c>
      <c r="B605" t="s">
        <v>19</v>
      </c>
      <c r="C605" t="s">
        <v>242</v>
      </c>
      <c r="D605" t="s">
        <v>243</v>
      </c>
      <c r="E605" t="s">
        <v>219</v>
      </c>
      <c r="F605" t="s">
        <v>23</v>
      </c>
      <c r="G605">
        <v>253</v>
      </c>
      <c r="H605">
        <v>0</v>
      </c>
      <c r="I605">
        <v>86</v>
      </c>
      <c r="J605">
        <v>167</v>
      </c>
      <c r="K605">
        <v>83</v>
      </c>
      <c r="L605" t="b">
        <v>0</v>
      </c>
      <c r="M605">
        <v>303.94</v>
      </c>
      <c r="N605">
        <v>50758.44</v>
      </c>
      <c r="O605" t="s">
        <v>60</v>
      </c>
    </row>
    <row r="606" spans="1:15">
      <c r="A606" s="1">
        <v>46082</v>
      </c>
      <c r="B606" t="s">
        <v>244</v>
      </c>
      <c r="C606" t="s">
        <v>20</v>
      </c>
      <c r="D606" t="s">
        <v>21</v>
      </c>
      <c r="E606" t="s">
        <v>22</v>
      </c>
      <c r="F606" t="s">
        <v>23</v>
      </c>
      <c r="G606">
        <v>162</v>
      </c>
      <c r="H606">
        <v>0</v>
      </c>
      <c r="I606">
        <v>102</v>
      </c>
      <c r="J606">
        <v>60</v>
      </c>
      <c r="K606">
        <v>88</v>
      </c>
      <c r="L606" t="b">
        <v>1</v>
      </c>
      <c r="M606">
        <v>282.98</v>
      </c>
      <c r="N606">
        <v>16978.990000000002</v>
      </c>
      <c r="O606" t="s">
        <v>24</v>
      </c>
    </row>
    <row r="607" spans="1:15">
      <c r="A607" s="1">
        <v>46082</v>
      </c>
      <c r="B607" t="s">
        <v>244</v>
      </c>
      <c r="C607" t="s">
        <v>25</v>
      </c>
      <c r="D607" t="s">
        <v>26</v>
      </c>
      <c r="E607" t="s">
        <v>22</v>
      </c>
      <c r="F607" t="s">
        <v>23</v>
      </c>
      <c r="G607">
        <v>58</v>
      </c>
      <c r="H607">
        <v>135</v>
      </c>
      <c r="I607">
        <v>55</v>
      </c>
      <c r="J607">
        <v>138</v>
      </c>
      <c r="K607">
        <v>47</v>
      </c>
      <c r="L607" t="b">
        <v>0</v>
      </c>
      <c r="M607">
        <v>1259.5</v>
      </c>
      <c r="N607">
        <v>173810.85</v>
      </c>
      <c r="O607" t="s">
        <v>27</v>
      </c>
    </row>
    <row r="608" spans="1:15">
      <c r="A608" s="1">
        <v>46082</v>
      </c>
      <c r="B608" t="s">
        <v>244</v>
      </c>
      <c r="C608" t="s">
        <v>28</v>
      </c>
      <c r="D608" t="s">
        <v>29</v>
      </c>
      <c r="E608" t="s">
        <v>22</v>
      </c>
      <c r="F608" t="s">
        <v>23</v>
      </c>
      <c r="G608">
        <v>292</v>
      </c>
      <c r="H608">
        <v>0</v>
      </c>
      <c r="I608">
        <v>193</v>
      </c>
      <c r="J608">
        <v>99</v>
      </c>
      <c r="K608">
        <v>228</v>
      </c>
      <c r="L608" t="b">
        <v>1</v>
      </c>
      <c r="M608">
        <v>84.38</v>
      </c>
      <c r="N608">
        <v>8353.33</v>
      </c>
      <c r="O608" t="s">
        <v>24</v>
      </c>
    </row>
    <row r="609" spans="1:15">
      <c r="A609" s="1">
        <v>46082</v>
      </c>
      <c r="B609" t="s">
        <v>244</v>
      </c>
      <c r="C609" t="s">
        <v>30</v>
      </c>
      <c r="D609" t="s">
        <v>31</v>
      </c>
      <c r="E609" t="s">
        <v>22</v>
      </c>
      <c r="F609" t="s">
        <v>23</v>
      </c>
      <c r="G609">
        <v>110</v>
      </c>
      <c r="H609">
        <v>292</v>
      </c>
      <c r="I609">
        <v>107</v>
      </c>
      <c r="J609">
        <v>295</v>
      </c>
      <c r="K609">
        <v>86</v>
      </c>
      <c r="L609" t="b">
        <v>0</v>
      </c>
      <c r="M609">
        <v>409.79</v>
      </c>
      <c r="N609">
        <v>120889.26</v>
      </c>
      <c r="O609" t="s">
        <v>32</v>
      </c>
    </row>
    <row r="610" spans="1:15">
      <c r="A610" s="1">
        <v>46082</v>
      </c>
      <c r="B610" t="s">
        <v>244</v>
      </c>
      <c r="C610" t="s">
        <v>33</v>
      </c>
      <c r="D610" t="s">
        <v>34</v>
      </c>
      <c r="E610" t="s">
        <v>22</v>
      </c>
      <c r="F610" t="s">
        <v>23</v>
      </c>
      <c r="G610">
        <v>75</v>
      </c>
      <c r="H610">
        <v>734</v>
      </c>
      <c r="I610">
        <v>197</v>
      </c>
      <c r="J610">
        <v>612</v>
      </c>
      <c r="K610">
        <v>172</v>
      </c>
      <c r="L610" t="b">
        <v>0</v>
      </c>
      <c r="M610">
        <v>119.99</v>
      </c>
      <c r="N610">
        <v>73434.02</v>
      </c>
      <c r="O610" t="s">
        <v>24</v>
      </c>
    </row>
    <row r="611" spans="1:15">
      <c r="A611" s="1">
        <v>46082</v>
      </c>
      <c r="B611" t="s">
        <v>244</v>
      </c>
      <c r="C611" t="s">
        <v>35</v>
      </c>
      <c r="D611" t="s">
        <v>36</v>
      </c>
      <c r="E611" t="s">
        <v>22</v>
      </c>
      <c r="F611" t="s">
        <v>23</v>
      </c>
      <c r="G611">
        <v>624</v>
      </c>
      <c r="H611">
        <v>0</v>
      </c>
      <c r="I611">
        <v>196</v>
      </c>
      <c r="J611">
        <v>428</v>
      </c>
      <c r="K611">
        <v>293</v>
      </c>
      <c r="L611" t="b">
        <v>0</v>
      </c>
      <c r="M611">
        <v>576.37</v>
      </c>
      <c r="N611">
        <v>246685.36</v>
      </c>
      <c r="O611" t="s">
        <v>37</v>
      </c>
    </row>
    <row r="612" spans="1:15">
      <c r="A612" s="1">
        <v>46082</v>
      </c>
      <c r="B612" t="s">
        <v>244</v>
      </c>
      <c r="C612" t="s">
        <v>42</v>
      </c>
      <c r="D612" t="s">
        <v>43</v>
      </c>
      <c r="E612" t="s">
        <v>22</v>
      </c>
      <c r="F612" t="s">
        <v>23</v>
      </c>
      <c r="G612">
        <v>314</v>
      </c>
      <c r="H612">
        <v>297</v>
      </c>
      <c r="I612">
        <v>182</v>
      </c>
      <c r="J612">
        <v>429</v>
      </c>
      <c r="K612">
        <v>187</v>
      </c>
      <c r="L612" t="b">
        <v>0</v>
      </c>
      <c r="M612">
        <v>157.66999999999999</v>
      </c>
      <c r="N612">
        <v>67638.84</v>
      </c>
      <c r="O612" t="s">
        <v>44</v>
      </c>
    </row>
    <row r="613" spans="1:15">
      <c r="A613" s="1">
        <v>46082</v>
      </c>
      <c r="B613" t="s">
        <v>244</v>
      </c>
      <c r="C613" t="s">
        <v>45</v>
      </c>
      <c r="D613" t="s">
        <v>46</v>
      </c>
      <c r="E613" t="s">
        <v>22</v>
      </c>
      <c r="F613" t="s">
        <v>23</v>
      </c>
      <c r="G613">
        <v>94</v>
      </c>
      <c r="H613">
        <v>0</v>
      </c>
      <c r="I613">
        <v>51</v>
      </c>
      <c r="J613">
        <v>43</v>
      </c>
      <c r="K613">
        <v>47</v>
      </c>
      <c r="L613" t="b">
        <v>1</v>
      </c>
      <c r="M613">
        <v>733.63</v>
      </c>
      <c r="N613">
        <v>31545.95</v>
      </c>
      <c r="O613" t="s">
        <v>47</v>
      </c>
    </row>
    <row r="614" spans="1:15">
      <c r="A614" s="1">
        <v>46082</v>
      </c>
      <c r="B614" t="s">
        <v>244</v>
      </c>
      <c r="C614" t="s">
        <v>48</v>
      </c>
      <c r="D614" t="s">
        <v>49</v>
      </c>
      <c r="E614" t="s">
        <v>22</v>
      </c>
      <c r="F614" t="s">
        <v>23</v>
      </c>
      <c r="G614">
        <v>526</v>
      </c>
      <c r="H614">
        <v>0</v>
      </c>
      <c r="I614">
        <v>137</v>
      </c>
      <c r="J614">
        <v>389</v>
      </c>
      <c r="K614">
        <v>188</v>
      </c>
      <c r="L614" t="b">
        <v>0</v>
      </c>
      <c r="M614">
        <v>54.26</v>
      </c>
      <c r="N614">
        <v>21105.87</v>
      </c>
      <c r="O614" t="s">
        <v>44</v>
      </c>
    </row>
    <row r="615" spans="1:15">
      <c r="A615" s="1">
        <v>46082</v>
      </c>
      <c r="B615" t="s">
        <v>244</v>
      </c>
      <c r="C615" t="s">
        <v>50</v>
      </c>
      <c r="D615" t="s">
        <v>51</v>
      </c>
      <c r="E615" t="s">
        <v>22</v>
      </c>
      <c r="F615" t="s">
        <v>23</v>
      </c>
      <c r="G615">
        <v>0</v>
      </c>
      <c r="H615">
        <v>590</v>
      </c>
      <c r="I615">
        <v>137</v>
      </c>
      <c r="J615">
        <v>453</v>
      </c>
      <c r="K615">
        <v>171</v>
      </c>
      <c r="L615" t="b">
        <v>0</v>
      </c>
      <c r="M615">
        <v>280.24</v>
      </c>
      <c r="N615">
        <v>126948.98</v>
      </c>
      <c r="O615" t="s">
        <v>24</v>
      </c>
    </row>
    <row r="616" spans="1:15">
      <c r="A616" s="1">
        <v>46082</v>
      </c>
      <c r="B616" t="s">
        <v>244</v>
      </c>
      <c r="C616" t="s">
        <v>52</v>
      </c>
      <c r="D616" t="s">
        <v>53</v>
      </c>
      <c r="E616" t="s">
        <v>22</v>
      </c>
      <c r="F616" t="s">
        <v>23</v>
      </c>
      <c r="G616">
        <v>79</v>
      </c>
      <c r="H616">
        <v>0</v>
      </c>
      <c r="I616">
        <v>25</v>
      </c>
      <c r="J616">
        <v>54</v>
      </c>
      <c r="K616">
        <v>38</v>
      </c>
      <c r="L616" t="b">
        <v>0</v>
      </c>
      <c r="M616">
        <v>52.4</v>
      </c>
      <c r="N616">
        <v>2829.66</v>
      </c>
      <c r="O616" t="s">
        <v>47</v>
      </c>
    </row>
    <row r="617" spans="1:15">
      <c r="A617" s="1">
        <v>46082</v>
      </c>
      <c r="B617" t="s">
        <v>244</v>
      </c>
      <c r="C617" t="s">
        <v>54</v>
      </c>
      <c r="D617" t="s">
        <v>55</v>
      </c>
      <c r="E617" t="s">
        <v>22</v>
      </c>
      <c r="F617" t="s">
        <v>23</v>
      </c>
      <c r="G617">
        <v>163</v>
      </c>
      <c r="H617">
        <v>440</v>
      </c>
      <c r="I617">
        <v>265</v>
      </c>
      <c r="J617">
        <v>338</v>
      </c>
      <c r="K617">
        <v>199</v>
      </c>
      <c r="L617" t="b">
        <v>0</v>
      </c>
      <c r="M617">
        <v>273.33999999999997</v>
      </c>
      <c r="N617">
        <v>92388.49</v>
      </c>
      <c r="O617" t="s">
        <v>44</v>
      </c>
    </row>
    <row r="618" spans="1:15">
      <c r="A618" s="1">
        <v>46082</v>
      </c>
      <c r="B618" t="s">
        <v>244</v>
      </c>
      <c r="C618" t="s">
        <v>58</v>
      </c>
      <c r="D618" t="s">
        <v>59</v>
      </c>
      <c r="E618" t="s">
        <v>22</v>
      </c>
      <c r="F618" t="s">
        <v>23</v>
      </c>
      <c r="G618">
        <v>43</v>
      </c>
      <c r="H618">
        <v>0</v>
      </c>
      <c r="I618">
        <v>14</v>
      </c>
      <c r="J618">
        <v>29</v>
      </c>
      <c r="K618">
        <v>21</v>
      </c>
      <c r="L618" t="b">
        <v>0</v>
      </c>
      <c r="M618">
        <v>1936.29</v>
      </c>
      <c r="N618">
        <v>56152.33</v>
      </c>
      <c r="O618" t="s">
        <v>60</v>
      </c>
    </row>
    <row r="619" spans="1:15">
      <c r="A619" s="1">
        <v>46082</v>
      </c>
      <c r="B619" t="s">
        <v>244</v>
      </c>
      <c r="C619" t="s">
        <v>61</v>
      </c>
      <c r="D619" t="s">
        <v>62</v>
      </c>
      <c r="E619" t="s">
        <v>22</v>
      </c>
      <c r="F619" t="s">
        <v>23</v>
      </c>
      <c r="G619">
        <v>102</v>
      </c>
      <c r="H619">
        <v>0</v>
      </c>
      <c r="I619">
        <v>97</v>
      </c>
      <c r="J619">
        <v>5</v>
      </c>
      <c r="K619">
        <v>61</v>
      </c>
      <c r="L619" t="b">
        <v>1</v>
      </c>
      <c r="M619">
        <v>22.89</v>
      </c>
      <c r="N619">
        <v>114.45</v>
      </c>
      <c r="O619" t="s">
        <v>44</v>
      </c>
    </row>
    <row r="620" spans="1:15">
      <c r="A620" s="1">
        <v>46082</v>
      </c>
      <c r="B620" t="s">
        <v>244</v>
      </c>
      <c r="C620" t="s">
        <v>63</v>
      </c>
      <c r="D620" t="s">
        <v>64</v>
      </c>
      <c r="E620" t="s">
        <v>22</v>
      </c>
      <c r="F620" t="s">
        <v>23</v>
      </c>
      <c r="G620">
        <v>50</v>
      </c>
      <c r="H620">
        <v>0</v>
      </c>
      <c r="I620">
        <v>17</v>
      </c>
      <c r="J620">
        <v>33</v>
      </c>
      <c r="K620">
        <v>24</v>
      </c>
      <c r="L620" t="b">
        <v>0</v>
      </c>
      <c r="M620">
        <v>111.08</v>
      </c>
      <c r="N620">
        <v>3665.68</v>
      </c>
      <c r="O620" t="s">
        <v>47</v>
      </c>
    </row>
    <row r="621" spans="1:15">
      <c r="A621" s="1">
        <v>46082</v>
      </c>
      <c r="B621" t="s">
        <v>244</v>
      </c>
      <c r="C621" t="s">
        <v>65</v>
      </c>
      <c r="D621" t="s">
        <v>66</v>
      </c>
      <c r="E621" t="s">
        <v>22</v>
      </c>
      <c r="F621" t="s">
        <v>23</v>
      </c>
      <c r="G621">
        <v>79</v>
      </c>
      <c r="H621">
        <v>149</v>
      </c>
      <c r="I621">
        <v>60</v>
      </c>
      <c r="J621">
        <v>168</v>
      </c>
      <c r="K621">
        <v>42</v>
      </c>
      <c r="L621" t="b">
        <v>0</v>
      </c>
      <c r="M621">
        <v>80.55</v>
      </c>
      <c r="N621">
        <v>13532.24</v>
      </c>
      <c r="O621" t="s">
        <v>44</v>
      </c>
    </row>
    <row r="622" spans="1:15">
      <c r="A622" s="1">
        <v>46082</v>
      </c>
      <c r="B622" t="s">
        <v>244</v>
      </c>
      <c r="C622" t="s">
        <v>67</v>
      </c>
      <c r="D622" t="s">
        <v>68</v>
      </c>
      <c r="E622" t="s">
        <v>22</v>
      </c>
      <c r="F622" t="s">
        <v>23</v>
      </c>
      <c r="G622">
        <v>191</v>
      </c>
      <c r="H622">
        <v>382</v>
      </c>
      <c r="I622">
        <v>250</v>
      </c>
      <c r="J622">
        <v>323</v>
      </c>
      <c r="K622">
        <v>190</v>
      </c>
      <c r="L622" t="b">
        <v>0</v>
      </c>
      <c r="M622">
        <v>373.23</v>
      </c>
      <c r="N622">
        <v>120552.59</v>
      </c>
      <c r="O622" t="s">
        <v>27</v>
      </c>
    </row>
    <row r="623" spans="1:15">
      <c r="A623" s="1">
        <v>46082</v>
      </c>
      <c r="B623" t="s">
        <v>244</v>
      </c>
      <c r="C623" t="s">
        <v>69</v>
      </c>
      <c r="D623" t="s">
        <v>70</v>
      </c>
      <c r="E623" t="s">
        <v>71</v>
      </c>
      <c r="F623" t="s">
        <v>23</v>
      </c>
      <c r="G623">
        <v>75</v>
      </c>
      <c r="H623">
        <v>0</v>
      </c>
      <c r="I623">
        <v>39</v>
      </c>
      <c r="J623">
        <v>36</v>
      </c>
      <c r="K623">
        <v>43</v>
      </c>
      <c r="L623" t="b">
        <v>1</v>
      </c>
      <c r="M623">
        <v>86.5</v>
      </c>
      <c r="N623">
        <v>3114.16</v>
      </c>
      <c r="O623" t="s">
        <v>27</v>
      </c>
    </row>
    <row r="624" spans="1:15">
      <c r="A624" s="1">
        <v>46082</v>
      </c>
      <c r="B624" t="s">
        <v>244</v>
      </c>
      <c r="C624" t="s">
        <v>72</v>
      </c>
      <c r="D624" t="s">
        <v>73</v>
      </c>
      <c r="E624" t="s">
        <v>71</v>
      </c>
      <c r="F624" t="s">
        <v>23</v>
      </c>
      <c r="G624">
        <v>218</v>
      </c>
      <c r="H624">
        <v>524</v>
      </c>
      <c r="I624">
        <v>133</v>
      </c>
      <c r="J624">
        <v>609</v>
      </c>
      <c r="K624">
        <v>246</v>
      </c>
      <c r="L624" t="b">
        <v>0</v>
      </c>
      <c r="M624">
        <v>437.43</v>
      </c>
      <c r="N624">
        <v>266391.99</v>
      </c>
      <c r="O624" t="s">
        <v>60</v>
      </c>
    </row>
    <row r="625" spans="1:15">
      <c r="A625" s="1">
        <v>46082</v>
      </c>
      <c r="B625" t="s">
        <v>244</v>
      </c>
      <c r="C625" t="s">
        <v>76</v>
      </c>
      <c r="D625" t="s">
        <v>77</v>
      </c>
      <c r="E625" t="s">
        <v>71</v>
      </c>
      <c r="F625" t="s">
        <v>23</v>
      </c>
      <c r="G625">
        <v>318</v>
      </c>
      <c r="H625">
        <v>0</v>
      </c>
      <c r="I625">
        <v>199</v>
      </c>
      <c r="J625">
        <v>119</v>
      </c>
      <c r="K625">
        <v>179</v>
      </c>
      <c r="L625" t="b">
        <v>1</v>
      </c>
      <c r="M625">
        <v>1089.93</v>
      </c>
      <c r="N625">
        <v>129701.19</v>
      </c>
      <c r="O625" t="s">
        <v>37</v>
      </c>
    </row>
    <row r="626" spans="1:15">
      <c r="A626" s="1">
        <v>46082</v>
      </c>
      <c r="B626" t="s">
        <v>244</v>
      </c>
      <c r="C626" t="s">
        <v>78</v>
      </c>
      <c r="D626" t="s">
        <v>79</v>
      </c>
      <c r="E626" t="s">
        <v>71</v>
      </c>
      <c r="F626" t="s">
        <v>23</v>
      </c>
      <c r="G626">
        <v>304</v>
      </c>
      <c r="H626">
        <v>0</v>
      </c>
      <c r="I626">
        <v>131</v>
      </c>
      <c r="J626">
        <v>173</v>
      </c>
      <c r="K626">
        <v>177</v>
      </c>
      <c r="L626" t="b">
        <v>1</v>
      </c>
      <c r="M626">
        <v>348.12</v>
      </c>
      <c r="N626">
        <v>60224.15</v>
      </c>
      <c r="O626" t="s">
        <v>47</v>
      </c>
    </row>
    <row r="627" spans="1:15">
      <c r="A627" s="1">
        <v>46082</v>
      </c>
      <c r="B627" t="s">
        <v>244</v>
      </c>
      <c r="C627" t="s">
        <v>80</v>
      </c>
      <c r="D627" t="s">
        <v>81</v>
      </c>
      <c r="E627" t="s">
        <v>71</v>
      </c>
      <c r="F627" t="s">
        <v>23</v>
      </c>
      <c r="G627">
        <v>90</v>
      </c>
      <c r="H627">
        <v>0</v>
      </c>
      <c r="I627">
        <v>41</v>
      </c>
      <c r="J627">
        <v>49</v>
      </c>
      <c r="K627">
        <v>38</v>
      </c>
      <c r="L627" t="b">
        <v>0</v>
      </c>
      <c r="M627">
        <v>1688.35</v>
      </c>
      <c r="N627">
        <v>82729.240000000005</v>
      </c>
      <c r="O627" t="s">
        <v>32</v>
      </c>
    </row>
    <row r="628" spans="1:15">
      <c r="A628" s="1">
        <v>46082</v>
      </c>
      <c r="B628" t="s">
        <v>244</v>
      </c>
      <c r="C628" t="s">
        <v>84</v>
      </c>
      <c r="D628" t="s">
        <v>85</v>
      </c>
      <c r="E628" t="s">
        <v>71</v>
      </c>
      <c r="F628" t="s">
        <v>23</v>
      </c>
      <c r="G628">
        <v>184</v>
      </c>
      <c r="H628">
        <v>470</v>
      </c>
      <c r="I628">
        <v>195</v>
      </c>
      <c r="J628">
        <v>459</v>
      </c>
      <c r="K628">
        <v>171</v>
      </c>
      <c r="L628" t="b">
        <v>0</v>
      </c>
      <c r="M628">
        <v>9460.17</v>
      </c>
      <c r="N628">
        <v>4342218.76</v>
      </c>
      <c r="O628" t="s">
        <v>47</v>
      </c>
    </row>
    <row r="629" spans="1:15">
      <c r="A629" s="1">
        <v>46082</v>
      </c>
      <c r="B629" t="s">
        <v>244</v>
      </c>
      <c r="C629" t="s">
        <v>86</v>
      </c>
      <c r="D629" t="s">
        <v>87</v>
      </c>
      <c r="E629" t="s">
        <v>71</v>
      </c>
      <c r="F629" t="s">
        <v>23</v>
      </c>
      <c r="G629">
        <v>446</v>
      </c>
      <c r="H629">
        <v>0</v>
      </c>
      <c r="I629">
        <v>169</v>
      </c>
      <c r="J629">
        <v>277</v>
      </c>
      <c r="K629">
        <v>138</v>
      </c>
      <c r="L629" t="b">
        <v>0</v>
      </c>
      <c r="M629">
        <v>41.85</v>
      </c>
      <c r="N629">
        <v>11592.48</v>
      </c>
      <c r="O629" t="s">
        <v>60</v>
      </c>
    </row>
    <row r="630" spans="1:15">
      <c r="A630" s="1">
        <v>46082</v>
      </c>
      <c r="B630" t="s">
        <v>244</v>
      </c>
      <c r="C630" t="s">
        <v>88</v>
      </c>
      <c r="D630" t="s">
        <v>89</v>
      </c>
      <c r="E630" t="s">
        <v>71</v>
      </c>
      <c r="F630" t="s">
        <v>23</v>
      </c>
      <c r="G630">
        <v>197</v>
      </c>
      <c r="H630">
        <v>453</v>
      </c>
      <c r="I630">
        <v>188</v>
      </c>
      <c r="J630">
        <v>462</v>
      </c>
      <c r="K630">
        <v>221</v>
      </c>
      <c r="L630" t="b">
        <v>0</v>
      </c>
      <c r="M630">
        <v>220.59</v>
      </c>
      <c r="N630">
        <v>101911.17</v>
      </c>
      <c r="O630" t="s">
        <v>32</v>
      </c>
    </row>
    <row r="631" spans="1:15">
      <c r="A631" s="1">
        <v>46082</v>
      </c>
      <c r="B631" t="s">
        <v>244</v>
      </c>
      <c r="C631" t="s">
        <v>90</v>
      </c>
      <c r="D631" t="s">
        <v>91</v>
      </c>
      <c r="E631" t="s">
        <v>71</v>
      </c>
      <c r="F631" t="s">
        <v>23</v>
      </c>
      <c r="G631">
        <v>602</v>
      </c>
      <c r="H631">
        <v>0</v>
      </c>
      <c r="I631">
        <v>111</v>
      </c>
      <c r="J631">
        <v>491</v>
      </c>
      <c r="K631">
        <v>154</v>
      </c>
      <c r="L631" t="b">
        <v>0</v>
      </c>
      <c r="M631">
        <v>1564.86</v>
      </c>
      <c r="N631">
        <v>768345.92</v>
      </c>
      <c r="O631" t="s">
        <v>32</v>
      </c>
    </row>
    <row r="632" spans="1:15">
      <c r="A632" s="1">
        <v>46082</v>
      </c>
      <c r="B632" t="s">
        <v>244</v>
      </c>
      <c r="C632" t="s">
        <v>245</v>
      </c>
      <c r="D632" t="s">
        <v>246</v>
      </c>
      <c r="E632" t="s">
        <v>71</v>
      </c>
      <c r="F632" t="s">
        <v>23</v>
      </c>
      <c r="G632">
        <v>48</v>
      </c>
      <c r="H632">
        <v>215</v>
      </c>
      <c r="I632">
        <v>78</v>
      </c>
      <c r="J632">
        <v>185</v>
      </c>
      <c r="K632">
        <v>94</v>
      </c>
      <c r="L632" t="b">
        <v>0</v>
      </c>
      <c r="M632">
        <v>6982.77</v>
      </c>
      <c r="N632">
        <v>1291811.8999999999</v>
      </c>
      <c r="O632" t="s">
        <v>27</v>
      </c>
    </row>
    <row r="633" spans="1:15">
      <c r="A633" s="1">
        <v>46082</v>
      </c>
      <c r="B633" t="s">
        <v>244</v>
      </c>
      <c r="C633" t="s">
        <v>92</v>
      </c>
      <c r="D633" t="s">
        <v>93</v>
      </c>
      <c r="E633" t="s">
        <v>71</v>
      </c>
      <c r="F633" t="s">
        <v>23</v>
      </c>
      <c r="G633">
        <v>31</v>
      </c>
      <c r="H633">
        <v>237</v>
      </c>
      <c r="I633">
        <v>96</v>
      </c>
      <c r="J633">
        <v>172</v>
      </c>
      <c r="K633">
        <v>129</v>
      </c>
      <c r="L633" t="b">
        <v>0</v>
      </c>
      <c r="M633">
        <v>243.79</v>
      </c>
      <c r="N633">
        <v>41932.339999999997</v>
      </c>
      <c r="O633" t="s">
        <v>24</v>
      </c>
    </row>
    <row r="634" spans="1:15">
      <c r="A634" s="1">
        <v>46082</v>
      </c>
      <c r="B634" t="s">
        <v>244</v>
      </c>
      <c r="C634" t="s">
        <v>94</v>
      </c>
      <c r="D634" t="s">
        <v>95</v>
      </c>
      <c r="E634" t="s">
        <v>71</v>
      </c>
      <c r="F634" t="s">
        <v>23</v>
      </c>
      <c r="G634">
        <v>377</v>
      </c>
      <c r="H634">
        <v>0</v>
      </c>
      <c r="I634">
        <v>284</v>
      </c>
      <c r="J634">
        <v>93</v>
      </c>
      <c r="K634">
        <v>172</v>
      </c>
      <c r="L634" t="b">
        <v>1</v>
      </c>
      <c r="M634">
        <v>1101.99</v>
      </c>
      <c r="N634">
        <v>102485.13</v>
      </c>
      <c r="O634" t="s">
        <v>32</v>
      </c>
    </row>
    <row r="635" spans="1:15">
      <c r="A635" s="1">
        <v>46082</v>
      </c>
      <c r="B635" t="s">
        <v>244</v>
      </c>
      <c r="C635" t="s">
        <v>96</v>
      </c>
      <c r="D635" t="s">
        <v>97</v>
      </c>
      <c r="E635" t="s">
        <v>71</v>
      </c>
      <c r="F635" t="s">
        <v>23</v>
      </c>
      <c r="G635">
        <v>136</v>
      </c>
      <c r="H635">
        <v>0</v>
      </c>
      <c r="I635">
        <v>42</v>
      </c>
      <c r="J635">
        <v>94</v>
      </c>
      <c r="K635">
        <v>45</v>
      </c>
      <c r="L635" t="b">
        <v>0</v>
      </c>
      <c r="M635">
        <v>708.81</v>
      </c>
      <c r="N635">
        <v>66628.100000000006</v>
      </c>
      <c r="O635" t="s">
        <v>98</v>
      </c>
    </row>
    <row r="636" spans="1:15">
      <c r="A636" s="1">
        <v>46082</v>
      </c>
      <c r="B636" t="s">
        <v>244</v>
      </c>
      <c r="C636" t="s">
        <v>99</v>
      </c>
      <c r="D636" t="s">
        <v>100</v>
      </c>
      <c r="E636" t="s">
        <v>71</v>
      </c>
      <c r="F636" t="s">
        <v>23</v>
      </c>
      <c r="G636">
        <v>447</v>
      </c>
      <c r="H636">
        <v>0</v>
      </c>
      <c r="I636">
        <v>99</v>
      </c>
      <c r="J636">
        <v>348</v>
      </c>
      <c r="K636">
        <v>161</v>
      </c>
      <c r="L636" t="b">
        <v>0</v>
      </c>
      <c r="M636">
        <v>3008.31</v>
      </c>
      <c r="N636">
        <v>1046893.16</v>
      </c>
      <c r="O636" t="s">
        <v>47</v>
      </c>
    </row>
    <row r="637" spans="1:15">
      <c r="A637" s="1">
        <v>46082</v>
      </c>
      <c r="B637" t="s">
        <v>244</v>
      </c>
      <c r="C637" t="s">
        <v>101</v>
      </c>
      <c r="D637" t="s">
        <v>102</v>
      </c>
      <c r="E637" t="s">
        <v>71</v>
      </c>
      <c r="F637" t="s">
        <v>23</v>
      </c>
      <c r="G637">
        <v>188</v>
      </c>
      <c r="H637">
        <v>0</v>
      </c>
      <c r="I637">
        <v>112</v>
      </c>
      <c r="J637">
        <v>76</v>
      </c>
      <c r="K637">
        <v>110</v>
      </c>
      <c r="L637" t="b">
        <v>1</v>
      </c>
      <c r="M637">
        <v>64.709999999999994</v>
      </c>
      <c r="N637">
        <v>4917.95</v>
      </c>
      <c r="O637" t="s">
        <v>32</v>
      </c>
    </row>
    <row r="638" spans="1:15">
      <c r="A638" s="1">
        <v>46082</v>
      </c>
      <c r="B638" t="s">
        <v>244</v>
      </c>
      <c r="C638" t="s">
        <v>247</v>
      </c>
      <c r="D638" t="s">
        <v>248</v>
      </c>
      <c r="E638" t="s">
        <v>71</v>
      </c>
      <c r="F638" t="s">
        <v>23</v>
      </c>
      <c r="G638">
        <v>158</v>
      </c>
      <c r="H638">
        <v>342</v>
      </c>
      <c r="I638">
        <v>130</v>
      </c>
      <c r="J638">
        <v>370</v>
      </c>
      <c r="K638">
        <v>240</v>
      </c>
      <c r="L638" t="b">
        <v>0</v>
      </c>
      <c r="M638">
        <v>270.58999999999997</v>
      </c>
      <c r="N638">
        <v>100117.45</v>
      </c>
      <c r="O638" t="s">
        <v>32</v>
      </c>
    </row>
    <row r="639" spans="1:15">
      <c r="A639" s="1">
        <v>46082</v>
      </c>
      <c r="B639" t="s">
        <v>244</v>
      </c>
      <c r="C639" t="s">
        <v>103</v>
      </c>
      <c r="D639" t="s">
        <v>104</v>
      </c>
      <c r="E639" t="s">
        <v>71</v>
      </c>
      <c r="F639" t="s">
        <v>23</v>
      </c>
      <c r="G639">
        <v>152</v>
      </c>
      <c r="H639">
        <v>412</v>
      </c>
      <c r="I639">
        <v>209</v>
      </c>
      <c r="J639">
        <v>355</v>
      </c>
      <c r="K639">
        <v>126</v>
      </c>
      <c r="L639" t="b">
        <v>0</v>
      </c>
      <c r="M639">
        <v>495.37</v>
      </c>
      <c r="N639">
        <v>175857.37</v>
      </c>
      <c r="O639" t="s">
        <v>98</v>
      </c>
    </row>
    <row r="640" spans="1:15">
      <c r="A640" s="1">
        <v>46082</v>
      </c>
      <c r="B640" t="s">
        <v>244</v>
      </c>
      <c r="C640" t="s">
        <v>107</v>
      </c>
      <c r="D640" t="s">
        <v>108</v>
      </c>
      <c r="E640" t="s">
        <v>109</v>
      </c>
      <c r="F640" t="s">
        <v>110</v>
      </c>
      <c r="G640">
        <v>11</v>
      </c>
      <c r="H640">
        <v>84</v>
      </c>
      <c r="I640">
        <v>30</v>
      </c>
      <c r="J640">
        <v>65</v>
      </c>
      <c r="K640">
        <v>51</v>
      </c>
      <c r="L640" t="b">
        <v>0</v>
      </c>
      <c r="M640">
        <v>100.34</v>
      </c>
      <c r="N640">
        <v>6522.32</v>
      </c>
      <c r="O640" t="s">
        <v>24</v>
      </c>
    </row>
    <row r="641" spans="1:15">
      <c r="A641" s="1">
        <v>46082</v>
      </c>
      <c r="B641" t="s">
        <v>244</v>
      </c>
      <c r="C641" t="s">
        <v>111</v>
      </c>
      <c r="D641" t="s">
        <v>112</v>
      </c>
      <c r="E641" t="s">
        <v>109</v>
      </c>
      <c r="F641" t="s">
        <v>110</v>
      </c>
      <c r="G641">
        <v>195</v>
      </c>
      <c r="H641">
        <v>300</v>
      </c>
      <c r="I641">
        <v>128</v>
      </c>
      <c r="J641">
        <v>367</v>
      </c>
      <c r="K641">
        <v>181</v>
      </c>
      <c r="L641" t="b">
        <v>0</v>
      </c>
      <c r="M641">
        <v>483.94</v>
      </c>
      <c r="N641">
        <v>177605.81</v>
      </c>
      <c r="O641" t="s">
        <v>98</v>
      </c>
    </row>
    <row r="642" spans="1:15">
      <c r="A642" s="1">
        <v>46082</v>
      </c>
      <c r="B642" t="s">
        <v>244</v>
      </c>
      <c r="C642" t="s">
        <v>113</v>
      </c>
      <c r="D642" t="s">
        <v>114</v>
      </c>
      <c r="E642" t="s">
        <v>109</v>
      </c>
      <c r="F642" t="s">
        <v>110</v>
      </c>
      <c r="G642">
        <v>699</v>
      </c>
      <c r="H642">
        <v>0</v>
      </c>
      <c r="I642">
        <v>234</v>
      </c>
      <c r="J642">
        <v>465</v>
      </c>
      <c r="K642">
        <v>224</v>
      </c>
      <c r="L642" t="b">
        <v>0</v>
      </c>
      <c r="M642">
        <v>127.57</v>
      </c>
      <c r="N642">
        <v>59318.69</v>
      </c>
      <c r="O642" t="s">
        <v>27</v>
      </c>
    </row>
    <row r="643" spans="1:15">
      <c r="A643" s="1">
        <v>46082</v>
      </c>
      <c r="B643" t="s">
        <v>244</v>
      </c>
      <c r="C643" t="s">
        <v>117</v>
      </c>
      <c r="D643" t="s">
        <v>118</v>
      </c>
      <c r="E643" t="s">
        <v>109</v>
      </c>
      <c r="F643" t="s">
        <v>110</v>
      </c>
      <c r="G643">
        <v>738</v>
      </c>
      <c r="H643">
        <v>0</v>
      </c>
      <c r="I643">
        <v>250</v>
      </c>
      <c r="J643">
        <v>488</v>
      </c>
      <c r="K643">
        <v>283</v>
      </c>
      <c r="L643" t="b">
        <v>0</v>
      </c>
      <c r="M643">
        <v>41.23</v>
      </c>
      <c r="N643">
        <v>20122.04</v>
      </c>
      <c r="O643" t="s">
        <v>32</v>
      </c>
    </row>
    <row r="644" spans="1:15">
      <c r="A644" s="1">
        <v>46082</v>
      </c>
      <c r="B644" t="s">
        <v>244</v>
      </c>
      <c r="C644" t="s">
        <v>119</v>
      </c>
      <c r="D644" t="s">
        <v>120</v>
      </c>
      <c r="E644" t="s">
        <v>109</v>
      </c>
      <c r="F644" t="s">
        <v>110</v>
      </c>
      <c r="G644">
        <v>143</v>
      </c>
      <c r="H644">
        <v>528</v>
      </c>
      <c r="I644">
        <v>171</v>
      </c>
      <c r="J644">
        <v>500</v>
      </c>
      <c r="K644">
        <v>161</v>
      </c>
      <c r="L644" t="b">
        <v>0</v>
      </c>
      <c r="M644">
        <v>182.48</v>
      </c>
      <c r="N644">
        <v>91237.5</v>
      </c>
      <c r="O644" t="s">
        <v>32</v>
      </c>
    </row>
    <row r="645" spans="1:15">
      <c r="A645" s="1">
        <v>46082</v>
      </c>
      <c r="B645" t="s">
        <v>244</v>
      </c>
      <c r="C645" t="s">
        <v>125</v>
      </c>
      <c r="D645" t="s">
        <v>126</v>
      </c>
      <c r="E645" t="s">
        <v>109</v>
      </c>
      <c r="F645" t="s">
        <v>110</v>
      </c>
      <c r="G645">
        <v>192</v>
      </c>
      <c r="H645">
        <v>484</v>
      </c>
      <c r="I645">
        <v>219</v>
      </c>
      <c r="J645">
        <v>457</v>
      </c>
      <c r="K645">
        <v>231</v>
      </c>
      <c r="L645" t="b">
        <v>0</v>
      </c>
      <c r="M645">
        <v>125.58</v>
      </c>
      <c r="N645">
        <v>57389.5</v>
      </c>
      <c r="O645" t="s">
        <v>47</v>
      </c>
    </row>
    <row r="646" spans="1:15">
      <c r="A646" s="1">
        <v>46082</v>
      </c>
      <c r="B646" t="s">
        <v>244</v>
      </c>
      <c r="C646" t="s">
        <v>127</v>
      </c>
      <c r="D646" t="s">
        <v>128</v>
      </c>
      <c r="E646" t="s">
        <v>109</v>
      </c>
      <c r="F646" t="s">
        <v>110</v>
      </c>
      <c r="G646">
        <v>206</v>
      </c>
      <c r="H646">
        <v>0</v>
      </c>
      <c r="I646">
        <v>113</v>
      </c>
      <c r="J646">
        <v>93</v>
      </c>
      <c r="K646">
        <v>118</v>
      </c>
      <c r="L646" t="b">
        <v>1</v>
      </c>
      <c r="M646">
        <v>587.05999999999995</v>
      </c>
      <c r="N646">
        <v>54596.95</v>
      </c>
      <c r="O646" t="s">
        <v>44</v>
      </c>
    </row>
    <row r="647" spans="1:15">
      <c r="A647" s="1">
        <v>46082</v>
      </c>
      <c r="B647" t="s">
        <v>244</v>
      </c>
      <c r="C647" t="s">
        <v>129</v>
      </c>
      <c r="D647" t="s">
        <v>130</v>
      </c>
      <c r="E647" t="s">
        <v>109</v>
      </c>
      <c r="F647" t="s">
        <v>110</v>
      </c>
      <c r="G647">
        <v>65</v>
      </c>
      <c r="H647">
        <v>352</v>
      </c>
      <c r="I647">
        <v>109</v>
      </c>
      <c r="J647">
        <v>308</v>
      </c>
      <c r="K647">
        <v>104</v>
      </c>
      <c r="L647" t="b">
        <v>0</v>
      </c>
      <c r="M647">
        <v>442.28</v>
      </c>
      <c r="N647">
        <v>136223.37</v>
      </c>
      <c r="O647" t="s">
        <v>32</v>
      </c>
    </row>
    <row r="648" spans="1:15">
      <c r="A648" s="1">
        <v>46082</v>
      </c>
      <c r="B648" t="s">
        <v>244</v>
      </c>
      <c r="C648" t="s">
        <v>131</v>
      </c>
      <c r="D648" t="s">
        <v>132</v>
      </c>
      <c r="E648" t="s">
        <v>109</v>
      </c>
      <c r="F648" t="s">
        <v>110</v>
      </c>
      <c r="G648">
        <v>571</v>
      </c>
      <c r="H648">
        <v>0</v>
      </c>
      <c r="I648">
        <v>178</v>
      </c>
      <c r="J648">
        <v>393</v>
      </c>
      <c r="K648">
        <v>208</v>
      </c>
      <c r="L648" t="b">
        <v>0</v>
      </c>
      <c r="M648">
        <v>1765.07</v>
      </c>
      <c r="N648">
        <v>693672.85</v>
      </c>
      <c r="O648" t="s">
        <v>24</v>
      </c>
    </row>
    <row r="649" spans="1:15">
      <c r="A649" s="1">
        <v>46082</v>
      </c>
      <c r="B649" t="s">
        <v>244</v>
      </c>
      <c r="C649" t="s">
        <v>133</v>
      </c>
      <c r="D649" t="s">
        <v>134</v>
      </c>
      <c r="E649" t="s">
        <v>109</v>
      </c>
      <c r="F649" t="s">
        <v>110</v>
      </c>
      <c r="G649">
        <v>72</v>
      </c>
      <c r="H649">
        <v>0</v>
      </c>
      <c r="I649">
        <v>34</v>
      </c>
      <c r="J649">
        <v>38</v>
      </c>
      <c r="K649">
        <v>58</v>
      </c>
      <c r="L649" t="b">
        <v>1</v>
      </c>
      <c r="M649">
        <v>21.01</v>
      </c>
      <c r="N649">
        <v>798.37</v>
      </c>
      <c r="O649" t="s">
        <v>98</v>
      </c>
    </row>
    <row r="650" spans="1:15">
      <c r="A650" s="1">
        <v>46082</v>
      </c>
      <c r="B650" t="s">
        <v>244</v>
      </c>
      <c r="C650" t="s">
        <v>135</v>
      </c>
      <c r="D650" t="s">
        <v>136</v>
      </c>
      <c r="E650" t="s">
        <v>109</v>
      </c>
      <c r="F650" t="s">
        <v>110</v>
      </c>
      <c r="G650">
        <v>121</v>
      </c>
      <c r="H650">
        <v>349</v>
      </c>
      <c r="I650">
        <v>159</v>
      </c>
      <c r="J650">
        <v>311</v>
      </c>
      <c r="K650">
        <v>171</v>
      </c>
      <c r="L650" t="b">
        <v>0</v>
      </c>
      <c r="M650">
        <v>97.03</v>
      </c>
      <c r="N650">
        <v>30175.46</v>
      </c>
      <c r="O650" t="s">
        <v>32</v>
      </c>
    </row>
    <row r="651" spans="1:15">
      <c r="A651" s="1">
        <v>46082</v>
      </c>
      <c r="B651" t="s">
        <v>244</v>
      </c>
      <c r="C651" t="s">
        <v>137</v>
      </c>
      <c r="D651" t="s">
        <v>138</v>
      </c>
      <c r="E651" t="s">
        <v>109</v>
      </c>
      <c r="F651" t="s">
        <v>110</v>
      </c>
      <c r="G651">
        <v>166</v>
      </c>
      <c r="H651">
        <v>584</v>
      </c>
      <c r="I651">
        <v>73</v>
      </c>
      <c r="J651">
        <v>677</v>
      </c>
      <c r="K651">
        <v>149</v>
      </c>
      <c r="L651" t="b">
        <v>0</v>
      </c>
      <c r="M651">
        <v>57.6</v>
      </c>
      <c r="N651">
        <v>38996.449999999997</v>
      </c>
      <c r="O651" t="s">
        <v>27</v>
      </c>
    </row>
    <row r="652" spans="1:15">
      <c r="A652" s="1">
        <v>46082</v>
      </c>
      <c r="B652" t="s">
        <v>244</v>
      </c>
      <c r="C652" t="s">
        <v>141</v>
      </c>
      <c r="D652" t="s">
        <v>142</v>
      </c>
      <c r="E652" t="s">
        <v>109</v>
      </c>
      <c r="F652" t="s">
        <v>110</v>
      </c>
      <c r="G652">
        <v>226</v>
      </c>
      <c r="H652">
        <v>0</v>
      </c>
      <c r="I652">
        <v>137</v>
      </c>
      <c r="J652">
        <v>89</v>
      </c>
      <c r="K652">
        <v>175</v>
      </c>
      <c r="L652" t="b">
        <v>1</v>
      </c>
      <c r="M652">
        <v>81.84</v>
      </c>
      <c r="N652">
        <v>7284.01</v>
      </c>
      <c r="O652" t="s">
        <v>37</v>
      </c>
    </row>
    <row r="653" spans="1:15">
      <c r="A653" s="1">
        <v>46082</v>
      </c>
      <c r="B653" t="s">
        <v>244</v>
      </c>
      <c r="C653" t="s">
        <v>143</v>
      </c>
      <c r="D653" t="s">
        <v>144</v>
      </c>
      <c r="E653" t="s">
        <v>109</v>
      </c>
      <c r="F653" t="s">
        <v>110</v>
      </c>
      <c r="G653">
        <v>227</v>
      </c>
      <c r="H653">
        <v>0</v>
      </c>
      <c r="I653">
        <v>28</v>
      </c>
      <c r="J653">
        <v>199</v>
      </c>
      <c r="K653">
        <v>117</v>
      </c>
      <c r="L653" t="b">
        <v>0</v>
      </c>
      <c r="M653">
        <v>398.95</v>
      </c>
      <c r="N653">
        <v>79390.98</v>
      </c>
      <c r="O653" t="s">
        <v>24</v>
      </c>
    </row>
    <row r="654" spans="1:15">
      <c r="A654" s="1">
        <v>46082</v>
      </c>
      <c r="B654" t="s">
        <v>244</v>
      </c>
      <c r="C654" t="s">
        <v>145</v>
      </c>
      <c r="D654" t="s">
        <v>146</v>
      </c>
      <c r="E654" t="s">
        <v>109</v>
      </c>
      <c r="F654" t="s">
        <v>110</v>
      </c>
      <c r="G654">
        <v>225</v>
      </c>
      <c r="H654">
        <v>0</v>
      </c>
      <c r="I654">
        <v>55</v>
      </c>
      <c r="J654">
        <v>170</v>
      </c>
      <c r="K654">
        <v>52</v>
      </c>
      <c r="L654" t="b">
        <v>0</v>
      </c>
      <c r="M654">
        <v>63.13</v>
      </c>
      <c r="N654">
        <v>10732.78</v>
      </c>
      <c r="O654" t="s">
        <v>37</v>
      </c>
    </row>
    <row r="655" spans="1:15">
      <c r="A655" s="1">
        <v>46082</v>
      </c>
      <c r="B655" t="s">
        <v>244</v>
      </c>
      <c r="C655" t="s">
        <v>147</v>
      </c>
      <c r="D655" t="s">
        <v>148</v>
      </c>
      <c r="E655" t="s">
        <v>109</v>
      </c>
      <c r="F655" t="s">
        <v>110</v>
      </c>
      <c r="G655">
        <v>51</v>
      </c>
      <c r="H655">
        <v>53</v>
      </c>
      <c r="I655">
        <v>19</v>
      </c>
      <c r="J655">
        <v>85</v>
      </c>
      <c r="K655">
        <v>21</v>
      </c>
      <c r="L655" t="b">
        <v>0</v>
      </c>
      <c r="M655">
        <v>292.16000000000003</v>
      </c>
      <c r="N655">
        <v>24833.22</v>
      </c>
      <c r="O655" t="s">
        <v>98</v>
      </c>
    </row>
    <row r="656" spans="1:15">
      <c r="A656" s="1">
        <v>46082</v>
      </c>
      <c r="B656" t="s">
        <v>244</v>
      </c>
      <c r="C656" t="s">
        <v>149</v>
      </c>
      <c r="D656" t="s">
        <v>150</v>
      </c>
      <c r="E656" t="s">
        <v>151</v>
      </c>
      <c r="F656" t="s">
        <v>23</v>
      </c>
      <c r="G656">
        <v>232</v>
      </c>
      <c r="H656">
        <v>0</v>
      </c>
      <c r="I656">
        <v>111</v>
      </c>
      <c r="J656">
        <v>121</v>
      </c>
      <c r="K656">
        <v>183</v>
      </c>
      <c r="L656" t="b">
        <v>1</v>
      </c>
      <c r="M656">
        <v>277.14999999999998</v>
      </c>
      <c r="N656">
        <v>33534.61</v>
      </c>
      <c r="O656" t="s">
        <v>32</v>
      </c>
    </row>
    <row r="657" spans="1:15">
      <c r="A657" s="1">
        <v>46082</v>
      </c>
      <c r="B657" t="s">
        <v>244</v>
      </c>
      <c r="C657" t="s">
        <v>152</v>
      </c>
      <c r="D657" t="s">
        <v>153</v>
      </c>
      <c r="E657" t="s">
        <v>151</v>
      </c>
      <c r="F657" t="s">
        <v>23</v>
      </c>
      <c r="G657">
        <v>68</v>
      </c>
      <c r="H657">
        <v>0</v>
      </c>
      <c r="I657">
        <v>26</v>
      </c>
      <c r="J657">
        <v>42</v>
      </c>
      <c r="K657">
        <v>41</v>
      </c>
      <c r="L657" t="b">
        <v>0</v>
      </c>
      <c r="M657">
        <v>1084.3</v>
      </c>
      <c r="N657">
        <v>45540.52</v>
      </c>
      <c r="O657" t="s">
        <v>98</v>
      </c>
    </row>
    <row r="658" spans="1:15">
      <c r="A658" s="1">
        <v>46082</v>
      </c>
      <c r="B658" t="s">
        <v>244</v>
      </c>
      <c r="C658" t="s">
        <v>154</v>
      </c>
      <c r="D658" t="s">
        <v>155</v>
      </c>
      <c r="E658" t="s">
        <v>151</v>
      </c>
      <c r="F658" t="s">
        <v>23</v>
      </c>
      <c r="G658">
        <v>229</v>
      </c>
      <c r="H658">
        <v>516</v>
      </c>
      <c r="I658">
        <v>235</v>
      </c>
      <c r="J658">
        <v>510</v>
      </c>
      <c r="K658">
        <v>286</v>
      </c>
      <c r="L658" t="b">
        <v>0</v>
      </c>
      <c r="M658">
        <v>324.94</v>
      </c>
      <c r="N658">
        <v>165718.25</v>
      </c>
      <c r="O658" t="s">
        <v>60</v>
      </c>
    </row>
    <row r="659" spans="1:15">
      <c r="A659" s="1">
        <v>46082</v>
      </c>
      <c r="B659" t="s">
        <v>244</v>
      </c>
      <c r="C659" t="s">
        <v>156</v>
      </c>
      <c r="D659" t="s">
        <v>157</v>
      </c>
      <c r="E659" t="s">
        <v>151</v>
      </c>
      <c r="F659" t="s">
        <v>23</v>
      </c>
      <c r="G659">
        <v>507</v>
      </c>
      <c r="H659">
        <v>0</v>
      </c>
      <c r="I659">
        <v>189</v>
      </c>
      <c r="J659">
        <v>318</v>
      </c>
      <c r="K659">
        <v>175</v>
      </c>
      <c r="L659" t="b">
        <v>0</v>
      </c>
      <c r="M659">
        <v>1341.6</v>
      </c>
      <c r="N659">
        <v>426628.96</v>
      </c>
      <c r="O659" t="s">
        <v>32</v>
      </c>
    </row>
    <row r="660" spans="1:15">
      <c r="A660" s="1">
        <v>46082</v>
      </c>
      <c r="B660" t="s">
        <v>244</v>
      </c>
      <c r="C660" t="s">
        <v>158</v>
      </c>
      <c r="D660" t="s">
        <v>159</v>
      </c>
      <c r="E660" t="s">
        <v>151</v>
      </c>
      <c r="F660" t="s">
        <v>23</v>
      </c>
      <c r="G660">
        <v>358</v>
      </c>
      <c r="H660">
        <v>212</v>
      </c>
      <c r="I660">
        <v>110</v>
      </c>
      <c r="J660">
        <v>460</v>
      </c>
      <c r="K660">
        <v>111</v>
      </c>
      <c r="L660" t="b">
        <v>0</v>
      </c>
      <c r="M660">
        <v>48.33</v>
      </c>
      <c r="N660">
        <v>22230.799999999999</v>
      </c>
      <c r="O660" t="s">
        <v>37</v>
      </c>
    </row>
    <row r="661" spans="1:15">
      <c r="A661" s="1">
        <v>46082</v>
      </c>
      <c r="B661" t="s">
        <v>244</v>
      </c>
      <c r="C661" t="s">
        <v>160</v>
      </c>
      <c r="D661" t="s">
        <v>161</v>
      </c>
      <c r="E661" t="s">
        <v>151</v>
      </c>
      <c r="F661" t="s">
        <v>23</v>
      </c>
      <c r="G661">
        <v>379</v>
      </c>
      <c r="H661">
        <v>0</v>
      </c>
      <c r="I661">
        <v>162</v>
      </c>
      <c r="J661">
        <v>217</v>
      </c>
      <c r="K661">
        <v>175</v>
      </c>
      <c r="L661" t="b">
        <v>0</v>
      </c>
      <c r="M661">
        <v>198.35</v>
      </c>
      <c r="N661">
        <v>43042.95</v>
      </c>
      <c r="O661" t="s">
        <v>24</v>
      </c>
    </row>
    <row r="662" spans="1:15">
      <c r="A662" s="1">
        <v>46082</v>
      </c>
      <c r="B662" t="s">
        <v>244</v>
      </c>
      <c r="C662" t="s">
        <v>162</v>
      </c>
      <c r="D662" t="s">
        <v>163</v>
      </c>
      <c r="E662" t="s">
        <v>151</v>
      </c>
      <c r="F662" t="s">
        <v>23</v>
      </c>
      <c r="G662">
        <v>144</v>
      </c>
      <c r="H662">
        <v>439</v>
      </c>
      <c r="I662">
        <v>119</v>
      </c>
      <c r="J662">
        <v>464</v>
      </c>
      <c r="K662">
        <v>158</v>
      </c>
      <c r="L662" t="b">
        <v>0</v>
      </c>
      <c r="M662">
        <v>204.13</v>
      </c>
      <c r="N662">
        <v>94717.81</v>
      </c>
      <c r="O662" t="s">
        <v>37</v>
      </c>
    </row>
    <row r="663" spans="1:15">
      <c r="A663" s="1">
        <v>46082</v>
      </c>
      <c r="B663" t="s">
        <v>244</v>
      </c>
      <c r="C663" t="s">
        <v>164</v>
      </c>
      <c r="D663" t="s">
        <v>165</v>
      </c>
      <c r="E663" t="s">
        <v>151</v>
      </c>
      <c r="F663" t="s">
        <v>23</v>
      </c>
      <c r="G663">
        <v>16</v>
      </c>
      <c r="H663">
        <v>244</v>
      </c>
      <c r="I663">
        <v>58</v>
      </c>
      <c r="J663">
        <v>202</v>
      </c>
      <c r="K663">
        <v>87</v>
      </c>
      <c r="L663" t="b">
        <v>0</v>
      </c>
      <c r="M663">
        <v>978.27</v>
      </c>
      <c r="N663">
        <v>197609.92</v>
      </c>
      <c r="O663" t="s">
        <v>98</v>
      </c>
    </row>
    <row r="664" spans="1:15">
      <c r="A664" s="1">
        <v>46082</v>
      </c>
      <c r="B664" t="s">
        <v>244</v>
      </c>
      <c r="C664" t="s">
        <v>166</v>
      </c>
      <c r="D664" t="s">
        <v>167</v>
      </c>
      <c r="E664" t="s">
        <v>151</v>
      </c>
      <c r="F664" t="s">
        <v>23</v>
      </c>
      <c r="G664">
        <v>51</v>
      </c>
      <c r="H664">
        <v>118</v>
      </c>
      <c r="I664">
        <v>34</v>
      </c>
      <c r="J664">
        <v>135</v>
      </c>
      <c r="K664">
        <v>44</v>
      </c>
      <c r="L664" t="b">
        <v>0</v>
      </c>
      <c r="M664">
        <v>136.94999999999999</v>
      </c>
      <c r="N664">
        <v>18487.759999999998</v>
      </c>
      <c r="O664" t="s">
        <v>44</v>
      </c>
    </row>
    <row r="665" spans="1:15">
      <c r="A665" s="1">
        <v>46082</v>
      </c>
      <c r="B665" t="s">
        <v>244</v>
      </c>
      <c r="C665" t="s">
        <v>249</v>
      </c>
      <c r="D665" t="s">
        <v>250</v>
      </c>
      <c r="E665" t="s">
        <v>151</v>
      </c>
      <c r="F665" t="s">
        <v>23</v>
      </c>
      <c r="G665">
        <v>225</v>
      </c>
      <c r="H665">
        <v>517</v>
      </c>
      <c r="I665">
        <v>156</v>
      </c>
      <c r="J665">
        <v>586</v>
      </c>
      <c r="K665">
        <v>225</v>
      </c>
      <c r="L665" t="b">
        <v>0</v>
      </c>
      <c r="M665">
        <v>616.62</v>
      </c>
      <c r="N665">
        <v>361341.14</v>
      </c>
      <c r="O665" t="s">
        <v>32</v>
      </c>
    </row>
    <row r="666" spans="1:15">
      <c r="A666" s="1">
        <v>46082</v>
      </c>
      <c r="B666" t="s">
        <v>244</v>
      </c>
      <c r="C666" t="s">
        <v>168</v>
      </c>
      <c r="D666" t="s">
        <v>169</v>
      </c>
      <c r="E666" t="s">
        <v>151</v>
      </c>
      <c r="F666" t="s">
        <v>23</v>
      </c>
      <c r="G666">
        <v>61</v>
      </c>
      <c r="H666">
        <v>0</v>
      </c>
      <c r="I666">
        <v>25</v>
      </c>
      <c r="J666">
        <v>36</v>
      </c>
      <c r="K666">
        <v>42</v>
      </c>
      <c r="L666" t="b">
        <v>1</v>
      </c>
      <c r="M666">
        <v>684.82</v>
      </c>
      <c r="N666">
        <v>24653.34</v>
      </c>
      <c r="O666" t="s">
        <v>27</v>
      </c>
    </row>
    <row r="667" spans="1:15">
      <c r="A667" s="1">
        <v>46082</v>
      </c>
      <c r="B667" t="s">
        <v>244</v>
      </c>
      <c r="C667" t="s">
        <v>170</v>
      </c>
      <c r="D667" t="s">
        <v>171</v>
      </c>
      <c r="E667" t="s">
        <v>151</v>
      </c>
      <c r="F667" t="s">
        <v>23</v>
      </c>
      <c r="G667">
        <v>278</v>
      </c>
      <c r="H667">
        <v>0</v>
      </c>
      <c r="I667">
        <v>187</v>
      </c>
      <c r="J667">
        <v>91</v>
      </c>
      <c r="K667">
        <v>138</v>
      </c>
      <c r="L667" t="b">
        <v>1</v>
      </c>
      <c r="M667">
        <v>2992.68</v>
      </c>
      <c r="N667">
        <v>272333.65999999997</v>
      </c>
      <c r="O667" t="s">
        <v>47</v>
      </c>
    </row>
    <row r="668" spans="1:15">
      <c r="A668" s="1">
        <v>46082</v>
      </c>
      <c r="B668" t="s">
        <v>244</v>
      </c>
      <c r="C668" t="s">
        <v>172</v>
      </c>
      <c r="D668" t="s">
        <v>173</v>
      </c>
      <c r="E668" t="s">
        <v>151</v>
      </c>
      <c r="F668" t="s">
        <v>23</v>
      </c>
      <c r="G668">
        <v>76</v>
      </c>
      <c r="H668">
        <v>492</v>
      </c>
      <c r="I668">
        <v>242</v>
      </c>
      <c r="J668">
        <v>326</v>
      </c>
      <c r="K668">
        <v>225</v>
      </c>
      <c r="L668" t="b">
        <v>0</v>
      </c>
      <c r="M668">
        <v>521.51</v>
      </c>
      <c r="N668">
        <v>170011.38</v>
      </c>
      <c r="O668" t="s">
        <v>24</v>
      </c>
    </row>
    <row r="669" spans="1:15">
      <c r="A669" s="1">
        <v>46082</v>
      </c>
      <c r="B669" t="s">
        <v>244</v>
      </c>
      <c r="C669" t="s">
        <v>174</v>
      </c>
      <c r="D669" t="s">
        <v>175</v>
      </c>
      <c r="E669" t="s">
        <v>151</v>
      </c>
      <c r="F669" t="s">
        <v>23</v>
      </c>
      <c r="G669">
        <v>173</v>
      </c>
      <c r="H669">
        <v>321</v>
      </c>
      <c r="I669">
        <v>134</v>
      </c>
      <c r="J669">
        <v>360</v>
      </c>
      <c r="K669">
        <v>162</v>
      </c>
      <c r="L669" t="b">
        <v>0</v>
      </c>
      <c r="M669">
        <v>2396.94</v>
      </c>
      <c r="N669">
        <v>862900.01</v>
      </c>
      <c r="O669" t="s">
        <v>27</v>
      </c>
    </row>
    <row r="670" spans="1:15">
      <c r="A670" s="1">
        <v>46082</v>
      </c>
      <c r="B670" t="s">
        <v>244</v>
      </c>
      <c r="C670" t="s">
        <v>176</v>
      </c>
      <c r="D670" t="s">
        <v>177</v>
      </c>
      <c r="E670" t="s">
        <v>151</v>
      </c>
      <c r="F670" t="s">
        <v>23</v>
      </c>
      <c r="G670">
        <v>0</v>
      </c>
      <c r="H670">
        <v>403</v>
      </c>
      <c r="I670">
        <v>168</v>
      </c>
      <c r="J670">
        <v>235</v>
      </c>
      <c r="K670">
        <v>130</v>
      </c>
      <c r="L670" t="b">
        <v>0</v>
      </c>
      <c r="M670">
        <v>69.88</v>
      </c>
      <c r="N670">
        <v>16422.61</v>
      </c>
      <c r="O670" t="s">
        <v>27</v>
      </c>
    </row>
    <row r="671" spans="1:15">
      <c r="A671" s="1">
        <v>46082</v>
      </c>
      <c r="B671" t="s">
        <v>244</v>
      </c>
      <c r="C671" t="s">
        <v>178</v>
      </c>
      <c r="D671" t="s">
        <v>179</v>
      </c>
      <c r="E671" t="s">
        <v>151</v>
      </c>
      <c r="F671" t="s">
        <v>23</v>
      </c>
      <c r="G671">
        <v>192</v>
      </c>
      <c r="H671">
        <v>238</v>
      </c>
      <c r="I671">
        <v>95</v>
      </c>
      <c r="J671">
        <v>335</v>
      </c>
      <c r="K671">
        <v>76</v>
      </c>
      <c r="L671" t="b">
        <v>0</v>
      </c>
      <c r="M671">
        <v>326</v>
      </c>
      <c r="N671">
        <v>109209</v>
      </c>
      <c r="O671" t="s">
        <v>32</v>
      </c>
    </row>
    <row r="672" spans="1:15">
      <c r="A672" s="1">
        <v>46082</v>
      </c>
      <c r="B672" t="s">
        <v>244</v>
      </c>
      <c r="C672" t="s">
        <v>182</v>
      </c>
      <c r="D672" t="s">
        <v>183</v>
      </c>
      <c r="E672" t="s">
        <v>151</v>
      </c>
      <c r="F672" t="s">
        <v>23</v>
      </c>
      <c r="G672">
        <v>256</v>
      </c>
      <c r="H672">
        <v>0</v>
      </c>
      <c r="I672">
        <v>59</v>
      </c>
      <c r="J672">
        <v>197</v>
      </c>
      <c r="K672">
        <v>87</v>
      </c>
      <c r="L672" t="b">
        <v>0</v>
      </c>
      <c r="M672">
        <v>271.07</v>
      </c>
      <c r="N672">
        <v>53400.84</v>
      </c>
      <c r="O672" t="s">
        <v>32</v>
      </c>
    </row>
    <row r="673" spans="1:15">
      <c r="A673" s="1">
        <v>46082</v>
      </c>
      <c r="B673" t="s">
        <v>244</v>
      </c>
      <c r="C673" t="s">
        <v>251</v>
      </c>
      <c r="D673" t="s">
        <v>252</v>
      </c>
      <c r="E673" t="s">
        <v>151</v>
      </c>
      <c r="F673" t="s">
        <v>23</v>
      </c>
      <c r="G673">
        <v>50</v>
      </c>
      <c r="H673">
        <v>74</v>
      </c>
      <c r="I673">
        <v>25</v>
      </c>
      <c r="J673">
        <v>99</v>
      </c>
      <c r="K673">
        <v>43</v>
      </c>
      <c r="L673" t="b">
        <v>0</v>
      </c>
      <c r="M673">
        <v>87.24</v>
      </c>
      <c r="N673">
        <v>8637.09</v>
      </c>
      <c r="O673" t="s">
        <v>44</v>
      </c>
    </row>
    <row r="674" spans="1:15">
      <c r="A674" s="1">
        <v>46082</v>
      </c>
      <c r="B674" t="s">
        <v>244</v>
      </c>
      <c r="C674" t="s">
        <v>184</v>
      </c>
      <c r="D674" t="s">
        <v>185</v>
      </c>
      <c r="E674" t="s">
        <v>151</v>
      </c>
      <c r="F674" t="s">
        <v>23</v>
      </c>
      <c r="G674">
        <v>95</v>
      </c>
      <c r="H674">
        <v>261</v>
      </c>
      <c r="I674">
        <v>152</v>
      </c>
      <c r="J674">
        <v>204</v>
      </c>
      <c r="K674">
        <v>133</v>
      </c>
      <c r="L674" t="b">
        <v>0</v>
      </c>
      <c r="M674">
        <v>416.91</v>
      </c>
      <c r="N674">
        <v>85050.49</v>
      </c>
      <c r="O674" t="s">
        <v>60</v>
      </c>
    </row>
    <row r="675" spans="1:15">
      <c r="A675" s="1">
        <v>46082</v>
      </c>
      <c r="B675" t="s">
        <v>244</v>
      </c>
      <c r="C675" t="s">
        <v>186</v>
      </c>
      <c r="D675" t="s">
        <v>187</v>
      </c>
      <c r="E675" t="s">
        <v>188</v>
      </c>
      <c r="F675" t="s">
        <v>23</v>
      </c>
      <c r="G675">
        <v>384</v>
      </c>
      <c r="H675">
        <v>0</v>
      </c>
      <c r="I675">
        <v>230</v>
      </c>
      <c r="J675">
        <v>154</v>
      </c>
      <c r="K675">
        <v>221</v>
      </c>
      <c r="L675" t="b">
        <v>1</v>
      </c>
      <c r="M675">
        <v>124.27</v>
      </c>
      <c r="N675">
        <v>19137.07</v>
      </c>
      <c r="O675" t="s">
        <v>24</v>
      </c>
    </row>
    <row r="676" spans="1:15">
      <c r="A676" s="1">
        <v>46082</v>
      </c>
      <c r="B676" t="s">
        <v>244</v>
      </c>
      <c r="C676" t="s">
        <v>189</v>
      </c>
      <c r="D676" t="s">
        <v>190</v>
      </c>
      <c r="E676" t="s">
        <v>188</v>
      </c>
      <c r="F676" t="s">
        <v>23</v>
      </c>
      <c r="G676">
        <v>221</v>
      </c>
      <c r="H676">
        <v>0</v>
      </c>
      <c r="I676">
        <v>82</v>
      </c>
      <c r="J676">
        <v>139</v>
      </c>
      <c r="K676">
        <v>91</v>
      </c>
      <c r="L676" t="b">
        <v>0</v>
      </c>
      <c r="M676">
        <v>508.21</v>
      </c>
      <c r="N676">
        <v>70641.77</v>
      </c>
      <c r="O676" t="s">
        <v>98</v>
      </c>
    </row>
    <row r="677" spans="1:15">
      <c r="A677" s="1">
        <v>46082</v>
      </c>
      <c r="B677" t="s">
        <v>244</v>
      </c>
      <c r="C677" t="s">
        <v>191</v>
      </c>
      <c r="D677" t="s">
        <v>192</v>
      </c>
      <c r="E677" t="s">
        <v>188</v>
      </c>
      <c r="F677" t="s">
        <v>23</v>
      </c>
      <c r="G677">
        <v>139</v>
      </c>
      <c r="H677">
        <v>0</v>
      </c>
      <c r="I677">
        <v>31</v>
      </c>
      <c r="J677">
        <v>108</v>
      </c>
      <c r="K677">
        <v>51</v>
      </c>
      <c r="L677" t="b">
        <v>0</v>
      </c>
      <c r="M677">
        <v>100.17</v>
      </c>
      <c r="N677">
        <v>10818.53</v>
      </c>
      <c r="O677" t="s">
        <v>98</v>
      </c>
    </row>
    <row r="678" spans="1:15">
      <c r="A678" s="1">
        <v>46082</v>
      </c>
      <c r="B678" t="s">
        <v>244</v>
      </c>
      <c r="C678" t="s">
        <v>253</v>
      </c>
      <c r="D678" t="s">
        <v>254</v>
      </c>
      <c r="E678" t="s">
        <v>188</v>
      </c>
      <c r="F678" t="s">
        <v>23</v>
      </c>
      <c r="G678">
        <v>39</v>
      </c>
      <c r="H678">
        <v>352</v>
      </c>
      <c r="I678">
        <v>132</v>
      </c>
      <c r="J678">
        <v>259</v>
      </c>
      <c r="K678">
        <v>109</v>
      </c>
      <c r="L678" t="b">
        <v>0</v>
      </c>
      <c r="M678">
        <v>320.04000000000002</v>
      </c>
      <c r="N678">
        <v>82889.210000000006</v>
      </c>
      <c r="O678" t="s">
        <v>60</v>
      </c>
    </row>
    <row r="679" spans="1:15">
      <c r="A679" s="1">
        <v>46082</v>
      </c>
      <c r="B679" t="s">
        <v>244</v>
      </c>
      <c r="C679" t="s">
        <v>197</v>
      </c>
      <c r="D679" t="s">
        <v>198</v>
      </c>
      <c r="E679" t="s">
        <v>188</v>
      </c>
      <c r="F679" t="s">
        <v>23</v>
      </c>
      <c r="G679">
        <v>285</v>
      </c>
      <c r="H679">
        <v>0</v>
      </c>
      <c r="I679">
        <v>139</v>
      </c>
      <c r="J679">
        <v>146</v>
      </c>
      <c r="K679">
        <v>122</v>
      </c>
      <c r="L679" t="b">
        <v>0</v>
      </c>
      <c r="M679">
        <v>107.73</v>
      </c>
      <c r="N679">
        <v>15728.77</v>
      </c>
      <c r="O679" t="s">
        <v>98</v>
      </c>
    </row>
    <row r="680" spans="1:15">
      <c r="A680" s="1">
        <v>46082</v>
      </c>
      <c r="B680" t="s">
        <v>244</v>
      </c>
      <c r="C680" t="s">
        <v>199</v>
      </c>
      <c r="D680" t="s">
        <v>200</v>
      </c>
      <c r="E680" t="s">
        <v>188</v>
      </c>
      <c r="F680" t="s">
        <v>23</v>
      </c>
      <c r="G680">
        <v>74</v>
      </c>
      <c r="H680">
        <v>231</v>
      </c>
      <c r="I680">
        <v>54</v>
      </c>
      <c r="J680">
        <v>251</v>
      </c>
      <c r="K680">
        <v>79</v>
      </c>
      <c r="L680" t="b">
        <v>0</v>
      </c>
      <c r="M680">
        <v>516.14</v>
      </c>
      <c r="N680">
        <v>129550.64</v>
      </c>
      <c r="O680" t="s">
        <v>98</v>
      </c>
    </row>
    <row r="681" spans="1:15">
      <c r="A681" s="1">
        <v>46082</v>
      </c>
      <c r="B681" t="s">
        <v>244</v>
      </c>
      <c r="C681" t="s">
        <v>201</v>
      </c>
      <c r="D681" t="s">
        <v>202</v>
      </c>
      <c r="E681" t="s">
        <v>188</v>
      </c>
      <c r="F681" t="s">
        <v>23</v>
      </c>
      <c r="G681">
        <v>444</v>
      </c>
      <c r="H681">
        <v>0</v>
      </c>
      <c r="I681">
        <v>266</v>
      </c>
      <c r="J681">
        <v>178</v>
      </c>
      <c r="K681">
        <v>221</v>
      </c>
      <c r="L681" t="b">
        <v>1</v>
      </c>
      <c r="M681">
        <v>874.46</v>
      </c>
      <c r="N681">
        <v>155654.42000000001</v>
      </c>
      <c r="O681" t="s">
        <v>47</v>
      </c>
    </row>
    <row r="682" spans="1:15">
      <c r="A682" s="1">
        <v>46082</v>
      </c>
      <c r="B682" t="s">
        <v>244</v>
      </c>
      <c r="C682" t="s">
        <v>203</v>
      </c>
      <c r="D682" t="s">
        <v>204</v>
      </c>
      <c r="E682" t="s">
        <v>188</v>
      </c>
      <c r="F682" t="s">
        <v>23</v>
      </c>
      <c r="G682">
        <v>227</v>
      </c>
      <c r="H682">
        <v>0</v>
      </c>
      <c r="I682">
        <v>131</v>
      </c>
      <c r="J682">
        <v>96</v>
      </c>
      <c r="K682">
        <v>153</v>
      </c>
      <c r="L682" t="b">
        <v>1</v>
      </c>
      <c r="M682">
        <v>4554.95</v>
      </c>
      <c r="N682">
        <v>437274.91</v>
      </c>
      <c r="O682" t="s">
        <v>47</v>
      </c>
    </row>
    <row r="683" spans="1:15">
      <c r="A683" s="1">
        <v>46082</v>
      </c>
      <c r="B683" t="s">
        <v>244</v>
      </c>
      <c r="C683" t="s">
        <v>205</v>
      </c>
      <c r="D683" t="s">
        <v>206</v>
      </c>
      <c r="E683" t="s">
        <v>188</v>
      </c>
      <c r="F683" t="s">
        <v>23</v>
      </c>
      <c r="G683">
        <v>648</v>
      </c>
      <c r="H683">
        <v>0</v>
      </c>
      <c r="I683">
        <v>261</v>
      </c>
      <c r="J683">
        <v>387</v>
      </c>
      <c r="K683">
        <v>283</v>
      </c>
      <c r="L683" t="b">
        <v>0</v>
      </c>
      <c r="M683">
        <v>86.65</v>
      </c>
      <c r="N683">
        <v>33534.68</v>
      </c>
      <c r="O683" t="s">
        <v>98</v>
      </c>
    </row>
    <row r="684" spans="1:15">
      <c r="A684" s="1">
        <v>46082</v>
      </c>
      <c r="B684" t="s">
        <v>244</v>
      </c>
      <c r="C684" t="s">
        <v>255</v>
      </c>
      <c r="D684" t="s">
        <v>256</v>
      </c>
      <c r="E684" t="s">
        <v>188</v>
      </c>
      <c r="F684" t="s">
        <v>23</v>
      </c>
      <c r="G684">
        <v>65</v>
      </c>
      <c r="H684">
        <v>0</v>
      </c>
      <c r="I684">
        <v>55</v>
      </c>
      <c r="J684">
        <v>10</v>
      </c>
      <c r="K684">
        <v>45</v>
      </c>
      <c r="L684" t="b">
        <v>1</v>
      </c>
      <c r="M684">
        <v>406.62</v>
      </c>
      <c r="N684">
        <v>4066.2</v>
      </c>
      <c r="O684" t="s">
        <v>37</v>
      </c>
    </row>
    <row r="685" spans="1:15">
      <c r="A685" s="1">
        <v>46082</v>
      </c>
      <c r="B685" t="s">
        <v>244</v>
      </c>
      <c r="C685" t="s">
        <v>207</v>
      </c>
      <c r="D685" t="s">
        <v>208</v>
      </c>
      <c r="E685" t="s">
        <v>188</v>
      </c>
      <c r="F685" t="s">
        <v>23</v>
      </c>
      <c r="G685">
        <v>203</v>
      </c>
      <c r="H685">
        <v>307</v>
      </c>
      <c r="I685">
        <v>93</v>
      </c>
      <c r="J685">
        <v>417</v>
      </c>
      <c r="K685">
        <v>115</v>
      </c>
      <c r="L685" t="b">
        <v>0</v>
      </c>
      <c r="M685">
        <v>72.41</v>
      </c>
      <c r="N685">
        <v>30193.34</v>
      </c>
      <c r="O685" t="s">
        <v>47</v>
      </c>
    </row>
    <row r="686" spans="1:15">
      <c r="A686" s="1">
        <v>46082</v>
      </c>
      <c r="B686" t="s">
        <v>244</v>
      </c>
      <c r="C686" t="s">
        <v>209</v>
      </c>
      <c r="D686" t="s">
        <v>210</v>
      </c>
      <c r="E686" t="s">
        <v>188</v>
      </c>
      <c r="F686" t="s">
        <v>23</v>
      </c>
      <c r="G686">
        <v>186</v>
      </c>
      <c r="H686">
        <v>0</v>
      </c>
      <c r="I686">
        <v>94</v>
      </c>
      <c r="J686">
        <v>92</v>
      </c>
      <c r="K686">
        <v>124</v>
      </c>
      <c r="L686" t="b">
        <v>1</v>
      </c>
      <c r="M686">
        <v>357.16</v>
      </c>
      <c r="N686">
        <v>32858.58</v>
      </c>
      <c r="O686" t="s">
        <v>37</v>
      </c>
    </row>
    <row r="687" spans="1:15">
      <c r="A687" s="1">
        <v>46082</v>
      </c>
      <c r="B687" t="s">
        <v>244</v>
      </c>
      <c r="C687" t="s">
        <v>211</v>
      </c>
      <c r="D687" t="s">
        <v>212</v>
      </c>
      <c r="E687" t="s">
        <v>188</v>
      </c>
      <c r="F687" t="s">
        <v>23</v>
      </c>
      <c r="G687">
        <v>250</v>
      </c>
      <c r="H687">
        <v>385</v>
      </c>
      <c r="I687">
        <v>94</v>
      </c>
      <c r="J687">
        <v>541</v>
      </c>
      <c r="K687">
        <v>243</v>
      </c>
      <c r="L687" t="b">
        <v>0</v>
      </c>
      <c r="M687">
        <v>458.54</v>
      </c>
      <c r="N687">
        <v>248071.32</v>
      </c>
      <c r="O687" t="s">
        <v>60</v>
      </c>
    </row>
    <row r="688" spans="1:15">
      <c r="A688" s="1">
        <v>46082</v>
      </c>
      <c r="B688" t="s">
        <v>244</v>
      </c>
      <c r="C688" t="s">
        <v>213</v>
      </c>
      <c r="D688" t="s">
        <v>214</v>
      </c>
      <c r="E688" t="s">
        <v>188</v>
      </c>
      <c r="F688" t="s">
        <v>23</v>
      </c>
      <c r="G688">
        <v>172</v>
      </c>
      <c r="H688">
        <v>499</v>
      </c>
      <c r="I688">
        <v>193</v>
      </c>
      <c r="J688">
        <v>478</v>
      </c>
      <c r="K688">
        <v>161</v>
      </c>
      <c r="L688" t="b">
        <v>0</v>
      </c>
      <c r="M688">
        <v>331.73</v>
      </c>
      <c r="N688">
        <v>158564.87</v>
      </c>
      <c r="O688" t="s">
        <v>44</v>
      </c>
    </row>
    <row r="689" spans="1:15">
      <c r="A689" s="1">
        <v>46082</v>
      </c>
      <c r="B689" t="s">
        <v>244</v>
      </c>
      <c r="C689" t="s">
        <v>220</v>
      </c>
      <c r="D689" t="s">
        <v>221</v>
      </c>
      <c r="E689" t="s">
        <v>219</v>
      </c>
      <c r="F689" t="s">
        <v>23</v>
      </c>
      <c r="G689">
        <v>90</v>
      </c>
      <c r="H689">
        <v>0</v>
      </c>
      <c r="I689">
        <v>34</v>
      </c>
      <c r="J689">
        <v>56</v>
      </c>
      <c r="K689">
        <v>49</v>
      </c>
      <c r="L689" t="b">
        <v>0</v>
      </c>
      <c r="M689">
        <v>83.21</v>
      </c>
      <c r="N689">
        <v>4659.8900000000003</v>
      </c>
      <c r="O689" t="s">
        <v>60</v>
      </c>
    </row>
    <row r="690" spans="1:15">
      <c r="A690" s="1">
        <v>46082</v>
      </c>
      <c r="B690" t="s">
        <v>244</v>
      </c>
      <c r="C690" t="s">
        <v>222</v>
      </c>
      <c r="D690" t="s">
        <v>223</v>
      </c>
      <c r="E690" t="s">
        <v>219</v>
      </c>
      <c r="F690" t="s">
        <v>23</v>
      </c>
      <c r="G690">
        <v>2</v>
      </c>
      <c r="H690">
        <v>164</v>
      </c>
      <c r="I690">
        <v>71</v>
      </c>
      <c r="J690">
        <v>95</v>
      </c>
      <c r="K690">
        <v>55</v>
      </c>
      <c r="L690" t="b">
        <v>0</v>
      </c>
      <c r="M690">
        <v>45.29</v>
      </c>
      <c r="N690">
        <v>4302.7700000000004</v>
      </c>
      <c r="O690" t="s">
        <v>37</v>
      </c>
    </row>
    <row r="691" spans="1:15">
      <c r="A691" s="1">
        <v>46082</v>
      </c>
      <c r="B691" t="s">
        <v>244</v>
      </c>
      <c r="C691" t="s">
        <v>228</v>
      </c>
      <c r="D691" t="s">
        <v>229</v>
      </c>
      <c r="E691" t="s">
        <v>219</v>
      </c>
      <c r="F691" t="s">
        <v>23</v>
      </c>
      <c r="G691">
        <v>44</v>
      </c>
      <c r="H691">
        <v>82</v>
      </c>
      <c r="I691">
        <v>36</v>
      </c>
      <c r="J691">
        <v>90</v>
      </c>
      <c r="K691">
        <v>47</v>
      </c>
      <c r="L691" t="b">
        <v>0</v>
      </c>
      <c r="M691">
        <v>48.96</v>
      </c>
      <c r="N691">
        <v>4406.16</v>
      </c>
      <c r="O691" t="s">
        <v>44</v>
      </c>
    </row>
    <row r="692" spans="1:15">
      <c r="A692" s="1">
        <v>46082</v>
      </c>
      <c r="B692" t="s">
        <v>244</v>
      </c>
      <c r="C692" t="s">
        <v>230</v>
      </c>
      <c r="D692" t="s">
        <v>231</v>
      </c>
      <c r="E692" t="s">
        <v>219</v>
      </c>
      <c r="F692" t="s">
        <v>23</v>
      </c>
      <c r="G692">
        <v>38</v>
      </c>
      <c r="H692">
        <v>0</v>
      </c>
      <c r="I692">
        <v>13</v>
      </c>
      <c r="J692">
        <v>25</v>
      </c>
      <c r="K692">
        <v>23</v>
      </c>
      <c r="L692" t="b">
        <v>0</v>
      </c>
      <c r="M692">
        <v>192.44</v>
      </c>
      <c r="N692">
        <v>4811.03</v>
      </c>
      <c r="O692" t="s">
        <v>32</v>
      </c>
    </row>
    <row r="693" spans="1:15">
      <c r="A693" s="1">
        <v>46082</v>
      </c>
      <c r="B693" t="s">
        <v>244</v>
      </c>
      <c r="C693" t="s">
        <v>257</v>
      </c>
      <c r="D693" t="s">
        <v>258</v>
      </c>
      <c r="E693" t="s">
        <v>219</v>
      </c>
      <c r="F693" t="s">
        <v>23</v>
      </c>
      <c r="G693">
        <v>155</v>
      </c>
      <c r="H693">
        <v>0</v>
      </c>
      <c r="I693">
        <v>96</v>
      </c>
      <c r="J693">
        <v>59</v>
      </c>
      <c r="K693">
        <v>84</v>
      </c>
      <c r="L693" t="b">
        <v>1</v>
      </c>
      <c r="M693">
        <v>777.17</v>
      </c>
      <c r="N693">
        <v>45852.95</v>
      </c>
      <c r="O693" t="s">
        <v>47</v>
      </c>
    </row>
    <row r="694" spans="1:15">
      <c r="A694" s="1">
        <v>46082</v>
      </c>
      <c r="B694" t="s">
        <v>244</v>
      </c>
      <c r="C694" t="s">
        <v>259</v>
      </c>
      <c r="D694" t="s">
        <v>260</v>
      </c>
      <c r="E694" t="s">
        <v>219</v>
      </c>
      <c r="F694" t="s">
        <v>23</v>
      </c>
      <c r="G694">
        <v>151</v>
      </c>
      <c r="H694">
        <v>519</v>
      </c>
      <c r="I694">
        <v>173</v>
      </c>
      <c r="J694">
        <v>497</v>
      </c>
      <c r="K694">
        <v>165</v>
      </c>
      <c r="L694" t="b">
        <v>0</v>
      </c>
      <c r="M694">
        <v>511.91</v>
      </c>
      <c r="N694">
        <v>254419.62</v>
      </c>
      <c r="O694" t="s">
        <v>60</v>
      </c>
    </row>
    <row r="695" spans="1:15">
      <c r="A695" s="1">
        <v>46082</v>
      </c>
      <c r="B695" t="s">
        <v>244</v>
      </c>
      <c r="C695" t="s">
        <v>234</v>
      </c>
      <c r="D695" t="s">
        <v>235</v>
      </c>
      <c r="E695" t="s">
        <v>219</v>
      </c>
      <c r="F695" t="s">
        <v>23</v>
      </c>
      <c r="G695">
        <v>143</v>
      </c>
      <c r="H695">
        <v>372</v>
      </c>
      <c r="I695">
        <v>143</v>
      </c>
      <c r="J695">
        <v>372</v>
      </c>
      <c r="K695">
        <v>148</v>
      </c>
      <c r="L695" t="b">
        <v>0</v>
      </c>
      <c r="M695">
        <v>2312.1</v>
      </c>
      <c r="N695">
        <v>860101.46</v>
      </c>
      <c r="O695" t="s">
        <v>47</v>
      </c>
    </row>
    <row r="696" spans="1:15">
      <c r="A696" s="1">
        <v>46082</v>
      </c>
      <c r="B696" t="s">
        <v>244</v>
      </c>
      <c r="C696" t="s">
        <v>261</v>
      </c>
      <c r="D696" t="s">
        <v>262</v>
      </c>
      <c r="E696" t="s">
        <v>219</v>
      </c>
      <c r="F696" t="s">
        <v>23</v>
      </c>
      <c r="G696">
        <v>271</v>
      </c>
      <c r="H696">
        <v>0</v>
      </c>
      <c r="I696">
        <v>226</v>
      </c>
      <c r="J696">
        <v>45</v>
      </c>
      <c r="K696">
        <v>187</v>
      </c>
      <c r="L696" t="b">
        <v>1</v>
      </c>
      <c r="M696">
        <v>291.01</v>
      </c>
      <c r="N696">
        <v>13095.36</v>
      </c>
      <c r="O696" t="s">
        <v>60</v>
      </c>
    </row>
    <row r="697" spans="1:15">
      <c r="A697" s="1">
        <v>46082</v>
      </c>
      <c r="B697" t="s">
        <v>244</v>
      </c>
      <c r="C697" t="s">
        <v>236</v>
      </c>
      <c r="D697" t="s">
        <v>237</v>
      </c>
      <c r="E697" t="s">
        <v>219</v>
      </c>
      <c r="F697" t="s">
        <v>23</v>
      </c>
      <c r="G697">
        <v>274</v>
      </c>
      <c r="H697">
        <v>0</v>
      </c>
      <c r="I697">
        <v>202</v>
      </c>
      <c r="J697">
        <v>72</v>
      </c>
      <c r="K697">
        <v>203</v>
      </c>
      <c r="L697" t="b">
        <v>1</v>
      </c>
      <c r="M697">
        <v>994.99</v>
      </c>
      <c r="N697">
        <v>71639.09</v>
      </c>
      <c r="O697" t="s">
        <v>98</v>
      </c>
    </row>
    <row r="698" spans="1:15">
      <c r="A698" s="1">
        <v>46082</v>
      </c>
      <c r="B698" t="s">
        <v>244</v>
      </c>
      <c r="C698" t="s">
        <v>263</v>
      </c>
      <c r="D698" t="s">
        <v>264</v>
      </c>
      <c r="E698" t="s">
        <v>219</v>
      </c>
      <c r="F698" t="s">
        <v>23</v>
      </c>
      <c r="G698">
        <v>211</v>
      </c>
      <c r="H698">
        <v>685</v>
      </c>
      <c r="I698">
        <v>153</v>
      </c>
      <c r="J698">
        <v>743</v>
      </c>
      <c r="K698">
        <v>311</v>
      </c>
      <c r="L698" t="b">
        <v>0</v>
      </c>
      <c r="M698">
        <v>33.479999999999997</v>
      </c>
      <c r="N698">
        <v>24879.119999999999</v>
      </c>
      <c r="O698" t="s">
        <v>27</v>
      </c>
    </row>
    <row r="699" spans="1:15">
      <c r="A699" s="1">
        <v>46082</v>
      </c>
      <c r="B699" t="s">
        <v>244</v>
      </c>
      <c r="C699" t="s">
        <v>238</v>
      </c>
      <c r="D699" t="s">
        <v>239</v>
      </c>
      <c r="E699" t="s">
        <v>219</v>
      </c>
      <c r="F699" t="s">
        <v>23</v>
      </c>
      <c r="G699">
        <v>189</v>
      </c>
      <c r="H699">
        <v>0</v>
      </c>
      <c r="I699">
        <v>53</v>
      </c>
      <c r="J699">
        <v>136</v>
      </c>
      <c r="K699">
        <v>109</v>
      </c>
      <c r="L699" t="b">
        <v>0</v>
      </c>
      <c r="M699">
        <v>172.42</v>
      </c>
      <c r="N699">
        <v>23449.71</v>
      </c>
      <c r="O699" t="s">
        <v>32</v>
      </c>
    </row>
    <row r="700" spans="1:15">
      <c r="A700" s="1">
        <v>46082</v>
      </c>
      <c r="B700" t="s">
        <v>244</v>
      </c>
      <c r="C700" t="s">
        <v>242</v>
      </c>
      <c r="D700" t="s">
        <v>243</v>
      </c>
      <c r="E700" t="s">
        <v>219</v>
      </c>
      <c r="F700" t="s">
        <v>23</v>
      </c>
      <c r="G700">
        <v>48</v>
      </c>
      <c r="H700">
        <v>420</v>
      </c>
      <c r="I700">
        <v>89</v>
      </c>
      <c r="J700">
        <v>379</v>
      </c>
      <c r="K700">
        <v>160</v>
      </c>
      <c r="L700" t="b">
        <v>0</v>
      </c>
      <c r="M700">
        <v>284.98</v>
      </c>
      <c r="N700">
        <v>108009.01</v>
      </c>
      <c r="O700" t="s">
        <v>60</v>
      </c>
    </row>
    <row r="701" spans="1:15">
      <c r="A701" s="1">
        <v>46082</v>
      </c>
      <c r="B701" t="s">
        <v>265</v>
      </c>
      <c r="C701" t="s">
        <v>20</v>
      </c>
      <c r="D701" t="s">
        <v>21</v>
      </c>
      <c r="E701" t="s">
        <v>22</v>
      </c>
      <c r="F701" t="s">
        <v>23</v>
      </c>
      <c r="G701">
        <v>523</v>
      </c>
      <c r="H701">
        <v>0</v>
      </c>
      <c r="I701">
        <v>284</v>
      </c>
      <c r="J701">
        <v>239</v>
      </c>
      <c r="K701">
        <v>230</v>
      </c>
      <c r="L701" t="b">
        <v>0</v>
      </c>
      <c r="M701">
        <v>280.97000000000003</v>
      </c>
      <c r="N701">
        <v>67151.899999999994</v>
      </c>
      <c r="O701" t="s">
        <v>24</v>
      </c>
    </row>
    <row r="702" spans="1:15">
      <c r="A702" s="1">
        <v>46082</v>
      </c>
      <c r="B702" t="s">
        <v>265</v>
      </c>
      <c r="C702" t="s">
        <v>25</v>
      </c>
      <c r="D702" t="s">
        <v>26</v>
      </c>
      <c r="E702" t="s">
        <v>22</v>
      </c>
      <c r="F702" t="s">
        <v>23</v>
      </c>
      <c r="G702">
        <v>304</v>
      </c>
      <c r="H702">
        <v>0</v>
      </c>
      <c r="I702">
        <v>211</v>
      </c>
      <c r="J702">
        <v>93</v>
      </c>
      <c r="K702">
        <v>189</v>
      </c>
      <c r="L702" t="b">
        <v>1</v>
      </c>
      <c r="M702">
        <v>1146.95</v>
      </c>
      <c r="N702">
        <v>106666.12</v>
      </c>
      <c r="O702" t="s">
        <v>27</v>
      </c>
    </row>
    <row r="703" spans="1:15">
      <c r="A703" s="1">
        <v>46082</v>
      </c>
      <c r="B703" t="s">
        <v>265</v>
      </c>
      <c r="C703" t="s">
        <v>28</v>
      </c>
      <c r="D703" t="s">
        <v>29</v>
      </c>
      <c r="E703" t="s">
        <v>22</v>
      </c>
      <c r="F703" t="s">
        <v>23</v>
      </c>
      <c r="G703">
        <v>214</v>
      </c>
      <c r="H703">
        <v>679</v>
      </c>
      <c r="I703">
        <v>255</v>
      </c>
      <c r="J703">
        <v>638</v>
      </c>
      <c r="K703">
        <v>181</v>
      </c>
      <c r="L703" t="b">
        <v>0</v>
      </c>
      <c r="M703">
        <v>98.71</v>
      </c>
      <c r="N703">
        <v>62976.12</v>
      </c>
      <c r="O703" t="s">
        <v>24</v>
      </c>
    </row>
    <row r="704" spans="1:15">
      <c r="A704" s="1">
        <v>46082</v>
      </c>
      <c r="B704" t="s">
        <v>265</v>
      </c>
      <c r="C704" t="s">
        <v>33</v>
      </c>
      <c r="D704" t="s">
        <v>34</v>
      </c>
      <c r="E704" t="s">
        <v>22</v>
      </c>
      <c r="F704" t="s">
        <v>23</v>
      </c>
      <c r="G704">
        <v>28</v>
      </c>
      <c r="H704">
        <v>143</v>
      </c>
      <c r="I704">
        <v>47</v>
      </c>
      <c r="J704">
        <v>124</v>
      </c>
      <c r="K704">
        <v>67</v>
      </c>
      <c r="L704" t="b">
        <v>0</v>
      </c>
      <c r="M704">
        <v>109.52</v>
      </c>
      <c r="N704">
        <v>13580.92</v>
      </c>
      <c r="O704" t="s">
        <v>24</v>
      </c>
    </row>
    <row r="705" spans="1:15">
      <c r="A705" s="1">
        <v>46082</v>
      </c>
      <c r="B705" t="s">
        <v>265</v>
      </c>
      <c r="C705" t="s">
        <v>35</v>
      </c>
      <c r="D705" t="s">
        <v>36</v>
      </c>
      <c r="E705" t="s">
        <v>22</v>
      </c>
      <c r="F705" t="s">
        <v>23</v>
      </c>
      <c r="G705">
        <v>20</v>
      </c>
      <c r="H705">
        <v>57</v>
      </c>
      <c r="I705">
        <v>24</v>
      </c>
      <c r="J705">
        <v>53</v>
      </c>
      <c r="K705">
        <v>29</v>
      </c>
      <c r="L705" t="b">
        <v>0</v>
      </c>
      <c r="M705">
        <v>609.58000000000004</v>
      </c>
      <c r="N705">
        <v>32307.55</v>
      </c>
      <c r="O705" t="s">
        <v>37</v>
      </c>
    </row>
    <row r="706" spans="1:15">
      <c r="A706" s="1">
        <v>46082</v>
      </c>
      <c r="B706" t="s">
        <v>265</v>
      </c>
      <c r="C706" t="s">
        <v>38</v>
      </c>
      <c r="D706" t="s">
        <v>39</v>
      </c>
      <c r="E706" t="s">
        <v>22</v>
      </c>
      <c r="F706" t="s">
        <v>23</v>
      </c>
      <c r="G706">
        <v>461</v>
      </c>
      <c r="H706">
        <v>0</v>
      </c>
      <c r="I706">
        <v>79</v>
      </c>
      <c r="J706">
        <v>382</v>
      </c>
      <c r="K706">
        <v>75</v>
      </c>
      <c r="L706" t="b">
        <v>0</v>
      </c>
      <c r="M706">
        <v>80.959999999999994</v>
      </c>
      <c r="N706">
        <v>30928.12</v>
      </c>
      <c r="O706" t="s">
        <v>24</v>
      </c>
    </row>
    <row r="707" spans="1:15">
      <c r="A707" s="1">
        <v>46082</v>
      </c>
      <c r="B707" t="s">
        <v>265</v>
      </c>
      <c r="C707" t="s">
        <v>42</v>
      </c>
      <c r="D707" t="s">
        <v>43</v>
      </c>
      <c r="E707" t="s">
        <v>22</v>
      </c>
      <c r="F707" t="s">
        <v>23</v>
      </c>
      <c r="G707">
        <v>486</v>
      </c>
      <c r="H707">
        <v>0</v>
      </c>
      <c r="I707">
        <v>128</v>
      </c>
      <c r="J707">
        <v>358</v>
      </c>
      <c r="K707">
        <v>200</v>
      </c>
      <c r="L707" t="b">
        <v>0</v>
      </c>
      <c r="M707">
        <v>154.29</v>
      </c>
      <c r="N707">
        <v>55234.080000000002</v>
      </c>
      <c r="O707" t="s">
        <v>44</v>
      </c>
    </row>
    <row r="708" spans="1:15">
      <c r="A708" s="1">
        <v>46082</v>
      </c>
      <c r="B708" t="s">
        <v>265</v>
      </c>
      <c r="C708" t="s">
        <v>45</v>
      </c>
      <c r="D708" t="s">
        <v>46</v>
      </c>
      <c r="E708" t="s">
        <v>22</v>
      </c>
      <c r="F708" t="s">
        <v>23</v>
      </c>
      <c r="G708">
        <v>425</v>
      </c>
      <c r="H708">
        <v>0</v>
      </c>
      <c r="I708">
        <v>255</v>
      </c>
      <c r="J708">
        <v>170</v>
      </c>
      <c r="K708">
        <v>238</v>
      </c>
      <c r="L708" t="b">
        <v>1</v>
      </c>
      <c r="M708">
        <v>769.06</v>
      </c>
      <c r="N708">
        <v>130740.82</v>
      </c>
      <c r="O708" t="s">
        <v>47</v>
      </c>
    </row>
    <row r="709" spans="1:15">
      <c r="A709" s="1">
        <v>46082</v>
      </c>
      <c r="B709" t="s">
        <v>265</v>
      </c>
      <c r="C709" t="s">
        <v>50</v>
      </c>
      <c r="D709" t="s">
        <v>51</v>
      </c>
      <c r="E709" t="s">
        <v>22</v>
      </c>
      <c r="F709" t="s">
        <v>23</v>
      </c>
      <c r="G709">
        <v>0</v>
      </c>
      <c r="H709">
        <v>218</v>
      </c>
      <c r="I709">
        <v>68</v>
      </c>
      <c r="J709">
        <v>150</v>
      </c>
      <c r="K709">
        <v>85</v>
      </c>
      <c r="L709" t="b">
        <v>0</v>
      </c>
      <c r="M709">
        <v>264.55</v>
      </c>
      <c r="N709">
        <v>39682.78</v>
      </c>
      <c r="O709" t="s">
        <v>24</v>
      </c>
    </row>
    <row r="710" spans="1:15">
      <c r="A710" s="1">
        <v>46082</v>
      </c>
      <c r="B710" t="s">
        <v>265</v>
      </c>
      <c r="C710" t="s">
        <v>52</v>
      </c>
      <c r="D710" t="s">
        <v>53</v>
      </c>
      <c r="E710" t="s">
        <v>22</v>
      </c>
      <c r="F710" t="s">
        <v>23</v>
      </c>
      <c r="G710">
        <v>301</v>
      </c>
      <c r="H710">
        <v>0</v>
      </c>
      <c r="I710">
        <v>243</v>
      </c>
      <c r="J710">
        <v>58</v>
      </c>
      <c r="K710">
        <v>220</v>
      </c>
      <c r="L710" t="b">
        <v>1</v>
      </c>
      <c r="M710">
        <v>55.47</v>
      </c>
      <c r="N710">
        <v>3217.42</v>
      </c>
      <c r="O710" t="s">
        <v>47</v>
      </c>
    </row>
    <row r="711" spans="1:15">
      <c r="A711" s="1">
        <v>46082</v>
      </c>
      <c r="B711" t="s">
        <v>265</v>
      </c>
      <c r="C711" t="s">
        <v>56</v>
      </c>
      <c r="D711" t="s">
        <v>57</v>
      </c>
      <c r="E711" t="s">
        <v>22</v>
      </c>
      <c r="F711" t="s">
        <v>23</v>
      </c>
      <c r="G711">
        <v>17</v>
      </c>
      <c r="H711">
        <v>80</v>
      </c>
      <c r="I711">
        <v>54</v>
      </c>
      <c r="J711">
        <v>43</v>
      </c>
      <c r="K711">
        <v>37</v>
      </c>
      <c r="L711" t="b">
        <v>0</v>
      </c>
      <c r="M711">
        <v>412.62</v>
      </c>
      <c r="N711">
        <v>17742.810000000001</v>
      </c>
      <c r="O711" t="s">
        <v>24</v>
      </c>
    </row>
    <row r="712" spans="1:15">
      <c r="A712" s="1">
        <v>46082</v>
      </c>
      <c r="B712" t="s">
        <v>265</v>
      </c>
      <c r="C712" t="s">
        <v>58</v>
      </c>
      <c r="D712" t="s">
        <v>59</v>
      </c>
      <c r="E712" t="s">
        <v>22</v>
      </c>
      <c r="F712" t="s">
        <v>23</v>
      </c>
      <c r="G712">
        <v>102</v>
      </c>
      <c r="H712">
        <v>347</v>
      </c>
      <c r="I712">
        <v>74</v>
      </c>
      <c r="J712">
        <v>375</v>
      </c>
      <c r="K712">
        <v>137</v>
      </c>
      <c r="L712" t="b">
        <v>0</v>
      </c>
      <c r="M712">
        <v>1920.61</v>
      </c>
      <c r="N712">
        <v>720229.61</v>
      </c>
      <c r="O712" t="s">
        <v>60</v>
      </c>
    </row>
    <row r="713" spans="1:15">
      <c r="A713" s="1">
        <v>46082</v>
      </c>
      <c r="B713" t="s">
        <v>265</v>
      </c>
      <c r="C713" t="s">
        <v>61</v>
      </c>
      <c r="D713" t="s">
        <v>62</v>
      </c>
      <c r="E713" t="s">
        <v>22</v>
      </c>
      <c r="F713" t="s">
        <v>23</v>
      </c>
      <c r="G713">
        <v>593</v>
      </c>
      <c r="H713">
        <v>0</v>
      </c>
      <c r="I713">
        <v>154</v>
      </c>
      <c r="J713">
        <v>439</v>
      </c>
      <c r="K713">
        <v>244</v>
      </c>
      <c r="L713" t="b">
        <v>0</v>
      </c>
      <c r="M713">
        <v>25.33</v>
      </c>
      <c r="N713">
        <v>11120.15</v>
      </c>
      <c r="O713" t="s">
        <v>44</v>
      </c>
    </row>
    <row r="714" spans="1:15">
      <c r="A714" s="1">
        <v>46082</v>
      </c>
      <c r="B714" t="s">
        <v>265</v>
      </c>
      <c r="C714" t="s">
        <v>63</v>
      </c>
      <c r="D714" t="s">
        <v>64</v>
      </c>
      <c r="E714" t="s">
        <v>22</v>
      </c>
      <c r="F714" t="s">
        <v>23</v>
      </c>
      <c r="G714">
        <v>69</v>
      </c>
      <c r="H714">
        <v>223</v>
      </c>
      <c r="I714">
        <v>76</v>
      </c>
      <c r="J714">
        <v>216</v>
      </c>
      <c r="K714">
        <v>58</v>
      </c>
      <c r="L714" t="b">
        <v>0</v>
      </c>
      <c r="M714">
        <v>118.06</v>
      </c>
      <c r="N714">
        <v>25501.39</v>
      </c>
      <c r="O714" t="s">
        <v>47</v>
      </c>
    </row>
    <row r="715" spans="1:15">
      <c r="A715" s="1">
        <v>46082</v>
      </c>
      <c r="B715" t="s">
        <v>265</v>
      </c>
      <c r="C715" t="s">
        <v>65</v>
      </c>
      <c r="D715" t="s">
        <v>66</v>
      </c>
      <c r="E715" t="s">
        <v>22</v>
      </c>
      <c r="F715" t="s">
        <v>23</v>
      </c>
      <c r="G715">
        <v>237</v>
      </c>
      <c r="H715">
        <v>0</v>
      </c>
      <c r="I715">
        <v>56</v>
      </c>
      <c r="J715">
        <v>181</v>
      </c>
      <c r="K715">
        <v>70</v>
      </c>
      <c r="L715" t="b">
        <v>0</v>
      </c>
      <c r="M715">
        <v>74.239999999999995</v>
      </c>
      <c r="N715">
        <v>13437.44</v>
      </c>
      <c r="O715" t="s">
        <v>44</v>
      </c>
    </row>
    <row r="716" spans="1:15">
      <c r="A716" s="1">
        <v>46082</v>
      </c>
      <c r="B716" t="s">
        <v>265</v>
      </c>
      <c r="C716" t="s">
        <v>69</v>
      </c>
      <c r="D716" t="s">
        <v>70</v>
      </c>
      <c r="E716" t="s">
        <v>71</v>
      </c>
      <c r="F716" t="s">
        <v>23</v>
      </c>
      <c r="G716">
        <v>199</v>
      </c>
      <c r="H716">
        <v>604</v>
      </c>
      <c r="I716">
        <v>247</v>
      </c>
      <c r="J716">
        <v>556</v>
      </c>
      <c r="K716">
        <v>182</v>
      </c>
      <c r="L716" t="b">
        <v>0</v>
      </c>
      <c r="M716">
        <v>95.95</v>
      </c>
      <c r="N716">
        <v>53348.79</v>
      </c>
      <c r="O716" t="s">
        <v>27</v>
      </c>
    </row>
    <row r="717" spans="1:15">
      <c r="A717" s="1">
        <v>46082</v>
      </c>
      <c r="B717" t="s">
        <v>265</v>
      </c>
      <c r="C717" t="s">
        <v>76</v>
      </c>
      <c r="D717" t="s">
        <v>77</v>
      </c>
      <c r="E717" t="s">
        <v>71</v>
      </c>
      <c r="F717" t="s">
        <v>23</v>
      </c>
      <c r="G717">
        <v>202</v>
      </c>
      <c r="H717">
        <v>665</v>
      </c>
      <c r="I717">
        <v>114</v>
      </c>
      <c r="J717">
        <v>753</v>
      </c>
      <c r="K717">
        <v>258</v>
      </c>
      <c r="L717" t="b">
        <v>0</v>
      </c>
      <c r="M717">
        <v>1101.3399999999999</v>
      </c>
      <c r="N717">
        <v>829309.45</v>
      </c>
      <c r="O717" t="s">
        <v>37</v>
      </c>
    </row>
    <row r="718" spans="1:15">
      <c r="A718" s="1">
        <v>46082</v>
      </c>
      <c r="B718" t="s">
        <v>265</v>
      </c>
      <c r="C718" t="s">
        <v>78</v>
      </c>
      <c r="D718" t="s">
        <v>79</v>
      </c>
      <c r="E718" t="s">
        <v>71</v>
      </c>
      <c r="F718" t="s">
        <v>23</v>
      </c>
      <c r="G718">
        <v>390</v>
      </c>
      <c r="H718">
        <v>507</v>
      </c>
      <c r="I718">
        <v>165</v>
      </c>
      <c r="J718">
        <v>732</v>
      </c>
      <c r="K718">
        <v>216</v>
      </c>
      <c r="L718" t="b">
        <v>0</v>
      </c>
      <c r="M718">
        <v>346.55</v>
      </c>
      <c r="N718">
        <v>253675.94</v>
      </c>
      <c r="O718" t="s">
        <v>47</v>
      </c>
    </row>
    <row r="719" spans="1:15">
      <c r="A719" s="1">
        <v>46082</v>
      </c>
      <c r="B719" t="s">
        <v>265</v>
      </c>
      <c r="C719" t="s">
        <v>80</v>
      </c>
      <c r="D719" t="s">
        <v>81</v>
      </c>
      <c r="E719" t="s">
        <v>71</v>
      </c>
      <c r="F719" t="s">
        <v>23</v>
      </c>
      <c r="G719">
        <v>353</v>
      </c>
      <c r="H719">
        <v>0</v>
      </c>
      <c r="I719">
        <v>172</v>
      </c>
      <c r="J719">
        <v>181</v>
      </c>
      <c r="K719">
        <v>183</v>
      </c>
      <c r="L719" t="b">
        <v>1</v>
      </c>
      <c r="M719">
        <v>1805.75</v>
      </c>
      <c r="N719">
        <v>326840.34999999998</v>
      </c>
      <c r="O719" t="s">
        <v>32</v>
      </c>
    </row>
    <row r="720" spans="1:15">
      <c r="A720" s="1">
        <v>46082</v>
      </c>
      <c r="B720" t="s">
        <v>265</v>
      </c>
      <c r="C720" t="s">
        <v>82</v>
      </c>
      <c r="D720" t="s">
        <v>83</v>
      </c>
      <c r="E720" t="s">
        <v>71</v>
      </c>
      <c r="F720" t="s">
        <v>23</v>
      </c>
      <c r="G720">
        <v>145</v>
      </c>
      <c r="H720">
        <v>491</v>
      </c>
      <c r="I720">
        <v>193</v>
      </c>
      <c r="J720">
        <v>443</v>
      </c>
      <c r="K720">
        <v>227</v>
      </c>
      <c r="L720" t="b">
        <v>0</v>
      </c>
      <c r="M720">
        <v>1694.63</v>
      </c>
      <c r="N720">
        <v>750720.26</v>
      </c>
      <c r="O720" t="s">
        <v>37</v>
      </c>
    </row>
    <row r="721" spans="1:15">
      <c r="A721" s="1">
        <v>46082</v>
      </c>
      <c r="B721" t="s">
        <v>265</v>
      </c>
      <c r="C721" t="s">
        <v>90</v>
      </c>
      <c r="D721" t="s">
        <v>91</v>
      </c>
      <c r="E721" t="s">
        <v>71</v>
      </c>
      <c r="F721" t="s">
        <v>23</v>
      </c>
      <c r="G721">
        <v>534</v>
      </c>
      <c r="H721">
        <v>0</v>
      </c>
      <c r="I721">
        <v>121</v>
      </c>
      <c r="J721">
        <v>413</v>
      </c>
      <c r="K721">
        <v>173</v>
      </c>
      <c r="L721" t="b">
        <v>0</v>
      </c>
      <c r="M721">
        <v>1747.54</v>
      </c>
      <c r="N721">
        <v>721734.21</v>
      </c>
      <c r="O721" t="s">
        <v>32</v>
      </c>
    </row>
    <row r="722" spans="1:15">
      <c r="A722" s="1">
        <v>46082</v>
      </c>
      <c r="B722" t="s">
        <v>265</v>
      </c>
      <c r="C722" t="s">
        <v>245</v>
      </c>
      <c r="D722" t="s">
        <v>246</v>
      </c>
      <c r="E722" t="s">
        <v>71</v>
      </c>
      <c r="F722" t="s">
        <v>23</v>
      </c>
      <c r="G722">
        <v>145</v>
      </c>
      <c r="H722">
        <v>347</v>
      </c>
      <c r="I722">
        <v>131</v>
      </c>
      <c r="J722">
        <v>361</v>
      </c>
      <c r="K722">
        <v>141</v>
      </c>
      <c r="L722" t="b">
        <v>0</v>
      </c>
      <c r="M722">
        <v>8131.36</v>
      </c>
      <c r="N722">
        <v>2935421.74</v>
      </c>
      <c r="O722" t="s">
        <v>27</v>
      </c>
    </row>
    <row r="723" spans="1:15">
      <c r="A723" s="1">
        <v>46082</v>
      </c>
      <c r="B723" t="s">
        <v>265</v>
      </c>
      <c r="C723" t="s">
        <v>92</v>
      </c>
      <c r="D723" t="s">
        <v>93</v>
      </c>
      <c r="E723" t="s">
        <v>71</v>
      </c>
      <c r="F723" t="s">
        <v>23</v>
      </c>
      <c r="G723">
        <v>24</v>
      </c>
      <c r="H723">
        <v>74</v>
      </c>
      <c r="I723">
        <v>22</v>
      </c>
      <c r="J723">
        <v>76</v>
      </c>
      <c r="K723">
        <v>37</v>
      </c>
      <c r="L723" t="b">
        <v>0</v>
      </c>
      <c r="M723">
        <v>249.83</v>
      </c>
      <c r="N723">
        <v>18986.86</v>
      </c>
      <c r="O723" t="s">
        <v>24</v>
      </c>
    </row>
    <row r="724" spans="1:15">
      <c r="A724" s="1">
        <v>46082</v>
      </c>
      <c r="B724" t="s">
        <v>265</v>
      </c>
      <c r="C724" t="s">
        <v>94</v>
      </c>
      <c r="D724" t="s">
        <v>95</v>
      </c>
      <c r="E724" t="s">
        <v>71</v>
      </c>
      <c r="F724" t="s">
        <v>23</v>
      </c>
      <c r="G724">
        <v>74</v>
      </c>
      <c r="H724">
        <v>0</v>
      </c>
      <c r="I724">
        <v>28</v>
      </c>
      <c r="J724">
        <v>46</v>
      </c>
      <c r="K724">
        <v>22</v>
      </c>
      <c r="L724" t="b">
        <v>0</v>
      </c>
      <c r="M724">
        <v>1311.9</v>
      </c>
      <c r="N724">
        <v>60347.56</v>
      </c>
      <c r="O724" t="s">
        <v>32</v>
      </c>
    </row>
    <row r="725" spans="1:15">
      <c r="A725" s="1">
        <v>46082</v>
      </c>
      <c r="B725" t="s">
        <v>265</v>
      </c>
      <c r="C725" t="s">
        <v>96</v>
      </c>
      <c r="D725" t="s">
        <v>97</v>
      </c>
      <c r="E725" t="s">
        <v>71</v>
      </c>
      <c r="F725" t="s">
        <v>23</v>
      </c>
      <c r="G725">
        <v>94</v>
      </c>
      <c r="H725">
        <v>260</v>
      </c>
      <c r="I725">
        <v>110</v>
      </c>
      <c r="J725">
        <v>244</v>
      </c>
      <c r="K725">
        <v>180</v>
      </c>
      <c r="L725" t="b">
        <v>0</v>
      </c>
      <c r="M725">
        <v>670.83</v>
      </c>
      <c r="N725">
        <v>163682.32</v>
      </c>
      <c r="O725" t="s">
        <v>98</v>
      </c>
    </row>
    <row r="726" spans="1:15">
      <c r="A726" s="1">
        <v>46082</v>
      </c>
      <c r="B726" t="s">
        <v>265</v>
      </c>
      <c r="C726" t="s">
        <v>99</v>
      </c>
      <c r="D726" t="s">
        <v>100</v>
      </c>
      <c r="E726" t="s">
        <v>71</v>
      </c>
      <c r="F726" t="s">
        <v>23</v>
      </c>
      <c r="G726">
        <v>75</v>
      </c>
      <c r="H726">
        <v>532</v>
      </c>
      <c r="I726">
        <v>143</v>
      </c>
      <c r="J726">
        <v>464</v>
      </c>
      <c r="K726">
        <v>158</v>
      </c>
      <c r="L726" t="b">
        <v>0</v>
      </c>
      <c r="M726">
        <v>3436.63</v>
      </c>
      <c r="N726">
        <v>1594597.26</v>
      </c>
      <c r="O726" t="s">
        <v>47</v>
      </c>
    </row>
    <row r="727" spans="1:15">
      <c r="A727" s="1">
        <v>46082</v>
      </c>
      <c r="B727" t="s">
        <v>265</v>
      </c>
      <c r="C727" t="s">
        <v>101</v>
      </c>
      <c r="D727" t="s">
        <v>102</v>
      </c>
      <c r="E727" t="s">
        <v>71</v>
      </c>
      <c r="F727" t="s">
        <v>23</v>
      </c>
      <c r="G727">
        <v>124</v>
      </c>
      <c r="H727">
        <v>451</v>
      </c>
      <c r="I727">
        <v>167</v>
      </c>
      <c r="J727">
        <v>408</v>
      </c>
      <c r="K727">
        <v>198</v>
      </c>
      <c r="L727" t="b">
        <v>0</v>
      </c>
      <c r="M727">
        <v>58.48</v>
      </c>
      <c r="N727">
        <v>23861.74</v>
      </c>
      <c r="O727" t="s">
        <v>32</v>
      </c>
    </row>
    <row r="728" spans="1:15">
      <c r="A728" s="1">
        <v>46082</v>
      </c>
      <c r="B728" t="s">
        <v>265</v>
      </c>
      <c r="C728" t="s">
        <v>247</v>
      </c>
      <c r="D728" t="s">
        <v>248</v>
      </c>
      <c r="E728" t="s">
        <v>71</v>
      </c>
      <c r="F728" t="s">
        <v>23</v>
      </c>
      <c r="G728">
        <v>794</v>
      </c>
      <c r="H728">
        <v>0</v>
      </c>
      <c r="I728">
        <v>149</v>
      </c>
      <c r="J728">
        <v>645</v>
      </c>
      <c r="K728">
        <v>260</v>
      </c>
      <c r="L728" t="b">
        <v>0</v>
      </c>
      <c r="M728">
        <v>270.33999999999997</v>
      </c>
      <c r="N728">
        <v>174366.31</v>
      </c>
      <c r="O728" t="s">
        <v>32</v>
      </c>
    </row>
    <row r="729" spans="1:15">
      <c r="A729" s="1">
        <v>46082</v>
      </c>
      <c r="B729" t="s">
        <v>265</v>
      </c>
      <c r="C729" t="s">
        <v>103</v>
      </c>
      <c r="D729" t="s">
        <v>104</v>
      </c>
      <c r="E729" t="s">
        <v>71</v>
      </c>
      <c r="F729" t="s">
        <v>23</v>
      </c>
      <c r="G729">
        <v>299</v>
      </c>
      <c r="H729">
        <v>0</v>
      </c>
      <c r="I729">
        <v>277</v>
      </c>
      <c r="J729">
        <v>22</v>
      </c>
      <c r="K729">
        <v>246</v>
      </c>
      <c r="L729" t="b">
        <v>1</v>
      </c>
      <c r="M729">
        <v>566.4</v>
      </c>
      <c r="N729">
        <v>12460.81</v>
      </c>
      <c r="O729" t="s">
        <v>98</v>
      </c>
    </row>
    <row r="730" spans="1:15">
      <c r="A730" s="1">
        <v>46082</v>
      </c>
      <c r="B730" t="s">
        <v>265</v>
      </c>
      <c r="C730" t="s">
        <v>105</v>
      </c>
      <c r="D730" t="s">
        <v>106</v>
      </c>
      <c r="E730" t="s">
        <v>71</v>
      </c>
      <c r="F730" t="s">
        <v>23</v>
      </c>
      <c r="G730">
        <v>485</v>
      </c>
      <c r="H730">
        <v>0</v>
      </c>
      <c r="I730">
        <v>79</v>
      </c>
      <c r="J730">
        <v>406</v>
      </c>
      <c r="K730">
        <v>165</v>
      </c>
      <c r="L730" t="b">
        <v>0</v>
      </c>
      <c r="M730">
        <v>2211.27</v>
      </c>
      <c r="N730">
        <v>897777.64</v>
      </c>
      <c r="O730" t="s">
        <v>32</v>
      </c>
    </row>
    <row r="731" spans="1:15">
      <c r="A731" s="1">
        <v>46082</v>
      </c>
      <c r="B731" t="s">
        <v>265</v>
      </c>
      <c r="C731" t="s">
        <v>107</v>
      </c>
      <c r="D731" t="s">
        <v>108</v>
      </c>
      <c r="E731" t="s">
        <v>109</v>
      </c>
      <c r="F731" t="s">
        <v>110</v>
      </c>
      <c r="G731">
        <v>181</v>
      </c>
      <c r="H731">
        <v>305</v>
      </c>
      <c r="I731">
        <v>186</v>
      </c>
      <c r="J731">
        <v>300</v>
      </c>
      <c r="K731">
        <v>190</v>
      </c>
      <c r="L731" t="b">
        <v>0</v>
      </c>
      <c r="M731">
        <v>91.89</v>
      </c>
      <c r="N731">
        <v>27566.83</v>
      </c>
      <c r="O731" t="s">
        <v>24</v>
      </c>
    </row>
    <row r="732" spans="1:15">
      <c r="A732" s="1">
        <v>46082</v>
      </c>
      <c r="B732" t="s">
        <v>265</v>
      </c>
      <c r="C732" t="s">
        <v>111</v>
      </c>
      <c r="D732" t="s">
        <v>112</v>
      </c>
      <c r="E732" t="s">
        <v>109</v>
      </c>
      <c r="F732" t="s">
        <v>110</v>
      </c>
      <c r="G732">
        <v>14</v>
      </c>
      <c r="H732">
        <v>64</v>
      </c>
      <c r="I732">
        <v>31</v>
      </c>
      <c r="J732">
        <v>47</v>
      </c>
      <c r="K732">
        <v>39</v>
      </c>
      <c r="L732" t="b">
        <v>0</v>
      </c>
      <c r="M732">
        <v>450.61</v>
      </c>
      <c r="N732">
        <v>21178.47</v>
      </c>
      <c r="O732" t="s">
        <v>98</v>
      </c>
    </row>
    <row r="733" spans="1:15">
      <c r="A733" s="1">
        <v>46082</v>
      </c>
      <c r="B733" t="s">
        <v>265</v>
      </c>
      <c r="C733" t="s">
        <v>113</v>
      </c>
      <c r="D733" t="s">
        <v>114</v>
      </c>
      <c r="E733" t="s">
        <v>109</v>
      </c>
      <c r="F733" t="s">
        <v>110</v>
      </c>
      <c r="G733">
        <v>95</v>
      </c>
      <c r="H733">
        <v>268</v>
      </c>
      <c r="I733">
        <v>97</v>
      </c>
      <c r="J733">
        <v>266</v>
      </c>
      <c r="K733">
        <v>131</v>
      </c>
      <c r="L733" t="b">
        <v>0</v>
      </c>
      <c r="M733">
        <v>128.63</v>
      </c>
      <c r="N733">
        <v>34214.83</v>
      </c>
      <c r="O733" t="s">
        <v>27</v>
      </c>
    </row>
    <row r="734" spans="1:15">
      <c r="A734" s="1">
        <v>46082</v>
      </c>
      <c r="B734" t="s">
        <v>265</v>
      </c>
      <c r="C734" t="s">
        <v>115</v>
      </c>
      <c r="D734" t="s">
        <v>116</v>
      </c>
      <c r="E734" t="s">
        <v>109</v>
      </c>
      <c r="F734" t="s">
        <v>110</v>
      </c>
      <c r="G734">
        <v>1127</v>
      </c>
      <c r="H734">
        <v>0</v>
      </c>
      <c r="I734">
        <v>194</v>
      </c>
      <c r="J734">
        <v>933</v>
      </c>
      <c r="K734">
        <v>202</v>
      </c>
      <c r="L734" t="b">
        <v>0</v>
      </c>
      <c r="M734">
        <v>617.78</v>
      </c>
      <c r="N734">
        <v>576388.06999999995</v>
      </c>
      <c r="O734" t="s">
        <v>44</v>
      </c>
    </row>
    <row r="735" spans="1:15">
      <c r="A735" s="1">
        <v>46082</v>
      </c>
      <c r="B735" t="s">
        <v>265</v>
      </c>
      <c r="C735" t="s">
        <v>117</v>
      </c>
      <c r="D735" t="s">
        <v>118</v>
      </c>
      <c r="E735" t="s">
        <v>109</v>
      </c>
      <c r="F735" t="s">
        <v>110</v>
      </c>
      <c r="G735">
        <v>561</v>
      </c>
      <c r="H735">
        <v>0</v>
      </c>
      <c r="I735">
        <v>195</v>
      </c>
      <c r="J735">
        <v>366</v>
      </c>
      <c r="K735">
        <v>315</v>
      </c>
      <c r="L735" t="b">
        <v>0</v>
      </c>
      <c r="M735">
        <v>45.24</v>
      </c>
      <c r="N735">
        <v>16557.64</v>
      </c>
      <c r="O735" t="s">
        <v>32</v>
      </c>
    </row>
    <row r="736" spans="1:15">
      <c r="A736" s="1">
        <v>46082</v>
      </c>
      <c r="B736" t="s">
        <v>265</v>
      </c>
      <c r="C736" t="s">
        <v>121</v>
      </c>
      <c r="D736" t="s">
        <v>122</v>
      </c>
      <c r="E736" t="s">
        <v>109</v>
      </c>
      <c r="F736" t="s">
        <v>110</v>
      </c>
      <c r="G736">
        <v>112</v>
      </c>
      <c r="H736">
        <v>244</v>
      </c>
      <c r="I736">
        <v>78</v>
      </c>
      <c r="J736">
        <v>278</v>
      </c>
      <c r="K736">
        <v>121</v>
      </c>
      <c r="L736" t="b">
        <v>0</v>
      </c>
      <c r="M736">
        <v>41.64</v>
      </c>
      <c r="N736">
        <v>11577.22</v>
      </c>
      <c r="O736" t="s">
        <v>47</v>
      </c>
    </row>
    <row r="737" spans="1:15">
      <c r="A737" s="1">
        <v>46082</v>
      </c>
      <c r="B737" t="s">
        <v>265</v>
      </c>
      <c r="C737" t="s">
        <v>123</v>
      </c>
      <c r="D737" t="s">
        <v>124</v>
      </c>
      <c r="E737" t="s">
        <v>109</v>
      </c>
      <c r="F737" t="s">
        <v>110</v>
      </c>
      <c r="G737">
        <v>64</v>
      </c>
      <c r="H737">
        <v>115</v>
      </c>
      <c r="I737">
        <v>55</v>
      </c>
      <c r="J737">
        <v>124</v>
      </c>
      <c r="K737">
        <v>54</v>
      </c>
      <c r="L737" t="b">
        <v>0</v>
      </c>
      <c r="M737">
        <v>160.26</v>
      </c>
      <c r="N737">
        <v>19872.41</v>
      </c>
      <c r="O737" t="s">
        <v>24</v>
      </c>
    </row>
    <row r="738" spans="1:15">
      <c r="A738" s="1">
        <v>46082</v>
      </c>
      <c r="B738" t="s">
        <v>265</v>
      </c>
      <c r="C738" t="s">
        <v>125</v>
      </c>
      <c r="D738" t="s">
        <v>126</v>
      </c>
      <c r="E738" t="s">
        <v>109</v>
      </c>
      <c r="F738" t="s">
        <v>110</v>
      </c>
      <c r="G738">
        <v>25</v>
      </c>
      <c r="H738">
        <v>89</v>
      </c>
      <c r="I738">
        <v>24</v>
      </c>
      <c r="J738">
        <v>90</v>
      </c>
      <c r="K738">
        <v>38</v>
      </c>
      <c r="L738" t="b">
        <v>0</v>
      </c>
      <c r="M738">
        <v>133.07</v>
      </c>
      <c r="N738">
        <v>11976.24</v>
      </c>
      <c r="O738" t="s">
        <v>47</v>
      </c>
    </row>
    <row r="739" spans="1:15">
      <c r="A739" s="1">
        <v>46082</v>
      </c>
      <c r="B739" t="s">
        <v>265</v>
      </c>
      <c r="C739" t="s">
        <v>127</v>
      </c>
      <c r="D739" t="s">
        <v>128</v>
      </c>
      <c r="E739" t="s">
        <v>109</v>
      </c>
      <c r="F739" t="s">
        <v>110</v>
      </c>
      <c r="G739">
        <v>131</v>
      </c>
      <c r="H739">
        <v>408</v>
      </c>
      <c r="I739">
        <v>150</v>
      </c>
      <c r="J739">
        <v>389</v>
      </c>
      <c r="K739">
        <v>160</v>
      </c>
      <c r="L739" t="b">
        <v>0</v>
      </c>
      <c r="M739">
        <v>681.87</v>
      </c>
      <c r="N739">
        <v>265246.83</v>
      </c>
      <c r="O739" t="s">
        <v>44</v>
      </c>
    </row>
    <row r="740" spans="1:15">
      <c r="A740" s="1">
        <v>46082</v>
      </c>
      <c r="B740" t="s">
        <v>265</v>
      </c>
      <c r="C740" t="s">
        <v>131</v>
      </c>
      <c r="D740" t="s">
        <v>132</v>
      </c>
      <c r="E740" t="s">
        <v>109</v>
      </c>
      <c r="F740" t="s">
        <v>110</v>
      </c>
      <c r="G740">
        <v>107</v>
      </c>
      <c r="H740">
        <v>254</v>
      </c>
      <c r="I740">
        <v>119</v>
      </c>
      <c r="J740">
        <v>242</v>
      </c>
      <c r="K740">
        <v>121</v>
      </c>
      <c r="L740" t="b">
        <v>0</v>
      </c>
      <c r="M740">
        <v>1949.76</v>
      </c>
      <c r="N740">
        <v>471842.44</v>
      </c>
      <c r="O740" t="s">
        <v>24</v>
      </c>
    </row>
    <row r="741" spans="1:15">
      <c r="A741" s="1">
        <v>46082</v>
      </c>
      <c r="B741" t="s">
        <v>265</v>
      </c>
      <c r="C741" t="s">
        <v>133</v>
      </c>
      <c r="D741" t="s">
        <v>134</v>
      </c>
      <c r="E741" t="s">
        <v>109</v>
      </c>
      <c r="F741" t="s">
        <v>110</v>
      </c>
      <c r="G741">
        <v>353</v>
      </c>
      <c r="H741">
        <v>0</v>
      </c>
      <c r="I741">
        <v>66</v>
      </c>
      <c r="J741">
        <v>287</v>
      </c>
      <c r="K741">
        <v>121</v>
      </c>
      <c r="L741" t="b">
        <v>0</v>
      </c>
      <c r="M741">
        <v>20.34</v>
      </c>
      <c r="N741">
        <v>5837.65</v>
      </c>
      <c r="O741" t="s">
        <v>98</v>
      </c>
    </row>
    <row r="742" spans="1:15">
      <c r="A742" s="1">
        <v>46082</v>
      </c>
      <c r="B742" t="s">
        <v>265</v>
      </c>
      <c r="C742" t="s">
        <v>135</v>
      </c>
      <c r="D742" t="s">
        <v>136</v>
      </c>
      <c r="E742" t="s">
        <v>109</v>
      </c>
      <c r="F742" t="s">
        <v>110</v>
      </c>
      <c r="G742">
        <v>199</v>
      </c>
      <c r="H742">
        <v>342</v>
      </c>
      <c r="I742">
        <v>215</v>
      </c>
      <c r="J742">
        <v>326</v>
      </c>
      <c r="K742">
        <v>190</v>
      </c>
      <c r="L742" t="b">
        <v>0</v>
      </c>
      <c r="M742">
        <v>102.56</v>
      </c>
      <c r="N742">
        <v>33433.42</v>
      </c>
      <c r="O742" t="s">
        <v>32</v>
      </c>
    </row>
    <row r="743" spans="1:15">
      <c r="A743" s="1">
        <v>46082</v>
      </c>
      <c r="B743" t="s">
        <v>265</v>
      </c>
      <c r="C743" t="s">
        <v>137</v>
      </c>
      <c r="D743" t="s">
        <v>138</v>
      </c>
      <c r="E743" t="s">
        <v>109</v>
      </c>
      <c r="F743" t="s">
        <v>110</v>
      </c>
      <c r="G743">
        <v>59</v>
      </c>
      <c r="H743">
        <v>213</v>
      </c>
      <c r="I743">
        <v>68</v>
      </c>
      <c r="J743">
        <v>204</v>
      </c>
      <c r="K743">
        <v>67</v>
      </c>
      <c r="L743" t="b">
        <v>0</v>
      </c>
      <c r="M743">
        <v>66.459999999999994</v>
      </c>
      <c r="N743">
        <v>13557.39</v>
      </c>
      <c r="O743" t="s">
        <v>27</v>
      </c>
    </row>
    <row r="744" spans="1:15">
      <c r="A744" s="1">
        <v>46082</v>
      </c>
      <c r="B744" t="s">
        <v>265</v>
      </c>
      <c r="C744" t="s">
        <v>139</v>
      </c>
      <c r="D744" t="s">
        <v>140</v>
      </c>
      <c r="E744" t="s">
        <v>109</v>
      </c>
      <c r="F744" t="s">
        <v>110</v>
      </c>
      <c r="G744">
        <v>54</v>
      </c>
      <c r="H744">
        <v>204</v>
      </c>
      <c r="I744">
        <v>69</v>
      </c>
      <c r="J744">
        <v>189</v>
      </c>
      <c r="K744">
        <v>106</v>
      </c>
      <c r="L744" t="b">
        <v>0</v>
      </c>
      <c r="M744">
        <v>255.29</v>
      </c>
      <c r="N744">
        <v>48248.88</v>
      </c>
      <c r="O744" t="s">
        <v>32</v>
      </c>
    </row>
    <row r="745" spans="1:15">
      <c r="A745" s="1">
        <v>46082</v>
      </c>
      <c r="B745" t="s">
        <v>265</v>
      </c>
      <c r="C745" t="s">
        <v>141</v>
      </c>
      <c r="D745" t="s">
        <v>142</v>
      </c>
      <c r="E745" t="s">
        <v>109</v>
      </c>
      <c r="F745" t="s">
        <v>110</v>
      </c>
      <c r="G745">
        <v>352</v>
      </c>
      <c r="H745">
        <v>0</v>
      </c>
      <c r="I745">
        <v>178</v>
      </c>
      <c r="J745">
        <v>174</v>
      </c>
      <c r="K745">
        <v>211</v>
      </c>
      <c r="L745" t="b">
        <v>1</v>
      </c>
      <c r="M745">
        <v>89.41</v>
      </c>
      <c r="N745">
        <v>15557.43</v>
      </c>
      <c r="O745" t="s">
        <v>37</v>
      </c>
    </row>
    <row r="746" spans="1:15">
      <c r="A746" s="1">
        <v>46082</v>
      </c>
      <c r="B746" t="s">
        <v>265</v>
      </c>
      <c r="C746" t="s">
        <v>143</v>
      </c>
      <c r="D746" t="s">
        <v>144</v>
      </c>
      <c r="E746" t="s">
        <v>109</v>
      </c>
      <c r="F746" t="s">
        <v>110</v>
      </c>
      <c r="G746">
        <v>134</v>
      </c>
      <c r="H746">
        <v>0</v>
      </c>
      <c r="I746">
        <v>24</v>
      </c>
      <c r="J746">
        <v>110</v>
      </c>
      <c r="K746">
        <v>42</v>
      </c>
      <c r="L746" t="b">
        <v>0</v>
      </c>
      <c r="M746">
        <v>402.3</v>
      </c>
      <c r="N746">
        <v>44253.29</v>
      </c>
      <c r="O746" t="s">
        <v>24</v>
      </c>
    </row>
    <row r="747" spans="1:15">
      <c r="A747" s="1">
        <v>46082</v>
      </c>
      <c r="B747" t="s">
        <v>265</v>
      </c>
      <c r="C747" t="s">
        <v>145</v>
      </c>
      <c r="D747" t="s">
        <v>146</v>
      </c>
      <c r="E747" t="s">
        <v>109</v>
      </c>
      <c r="F747" t="s">
        <v>110</v>
      </c>
      <c r="G747">
        <v>105</v>
      </c>
      <c r="H747">
        <v>239</v>
      </c>
      <c r="I747">
        <v>91</v>
      </c>
      <c r="J747">
        <v>253</v>
      </c>
      <c r="K747">
        <v>72</v>
      </c>
      <c r="L747" t="b">
        <v>0</v>
      </c>
      <c r="M747">
        <v>70.3</v>
      </c>
      <c r="N747">
        <v>17785.04</v>
      </c>
      <c r="O747" t="s">
        <v>37</v>
      </c>
    </row>
    <row r="748" spans="1:15">
      <c r="A748" s="1">
        <v>46082</v>
      </c>
      <c r="B748" t="s">
        <v>265</v>
      </c>
      <c r="C748" t="s">
        <v>147</v>
      </c>
      <c r="D748" t="s">
        <v>148</v>
      </c>
      <c r="E748" t="s">
        <v>109</v>
      </c>
      <c r="F748" t="s">
        <v>110</v>
      </c>
      <c r="G748">
        <v>366</v>
      </c>
      <c r="H748">
        <v>0</v>
      </c>
      <c r="I748">
        <v>117</v>
      </c>
      <c r="J748">
        <v>249</v>
      </c>
      <c r="K748">
        <v>246</v>
      </c>
      <c r="L748" t="b">
        <v>0</v>
      </c>
      <c r="M748">
        <v>308.64999999999998</v>
      </c>
      <c r="N748">
        <v>76853.490000000005</v>
      </c>
      <c r="O748" t="s">
        <v>98</v>
      </c>
    </row>
    <row r="749" spans="1:15">
      <c r="A749" s="1">
        <v>46082</v>
      </c>
      <c r="B749" t="s">
        <v>265</v>
      </c>
      <c r="C749" t="s">
        <v>149</v>
      </c>
      <c r="D749" t="s">
        <v>150</v>
      </c>
      <c r="E749" t="s">
        <v>151</v>
      </c>
      <c r="F749" t="s">
        <v>23</v>
      </c>
      <c r="G749">
        <v>535</v>
      </c>
      <c r="H749">
        <v>0</v>
      </c>
      <c r="I749">
        <v>198</v>
      </c>
      <c r="J749">
        <v>337</v>
      </c>
      <c r="K749">
        <v>205</v>
      </c>
      <c r="L749" t="b">
        <v>0</v>
      </c>
      <c r="M749">
        <v>244.94</v>
      </c>
      <c r="N749">
        <v>82545.09</v>
      </c>
      <c r="O749" t="s">
        <v>32</v>
      </c>
    </row>
    <row r="750" spans="1:15">
      <c r="A750" s="1">
        <v>46082</v>
      </c>
      <c r="B750" t="s">
        <v>265</v>
      </c>
      <c r="C750" t="s">
        <v>152</v>
      </c>
      <c r="D750" t="s">
        <v>153</v>
      </c>
      <c r="E750" t="s">
        <v>151</v>
      </c>
      <c r="F750" t="s">
        <v>23</v>
      </c>
      <c r="G750">
        <v>145</v>
      </c>
      <c r="H750">
        <v>0</v>
      </c>
      <c r="I750">
        <v>50</v>
      </c>
      <c r="J750">
        <v>95</v>
      </c>
      <c r="K750">
        <v>58</v>
      </c>
      <c r="L750" t="b">
        <v>0</v>
      </c>
      <c r="M750">
        <v>1219.48</v>
      </c>
      <c r="N750">
        <v>115850.66</v>
      </c>
      <c r="O750" t="s">
        <v>98</v>
      </c>
    </row>
    <row r="751" spans="1:15">
      <c r="A751" s="1">
        <v>46082</v>
      </c>
      <c r="B751" t="s">
        <v>265</v>
      </c>
      <c r="C751" t="s">
        <v>154</v>
      </c>
      <c r="D751" t="s">
        <v>155</v>
      </c>
      <c r="E751" t="s">
        <v>151</v>
      </c>
      <c r="F751" t="s">
        <v>23</v>
      </c>
      <c r="G751">
        <v>82</v>
      </c>
      <c r="H751">
        <v>205</v>
      </c>
      <c r="I751">
        <v>108</v>
      </c>
      <c r="J751">
        <v>179</v>
      </c>
      <c r="K751">
        <v>123</v>
      </c>
      <c r="L751" t="b">
        <v>0</v>
      </c>
      <c r="M751">
        <v>328.49</v>
      </c>
      <c r="N751">
        <v>58799.89</v>
      </c>
      <c r="O751" t="s">
        <v>60</v>
      </c>
    </row>
    <row r="752" spans="1:15">
      <c r="A752" s="1">
        <v>46082</v>
      </c>
      <c r="B752" t="s">
        <v>265</v>
      </c>
      <c r="C752" t="s">
        <v>156</v>
      </c>
      <c r="D752" t="s">
        <v>157</v>
      </c>
      <c r="E752" t="s">
        <v>151</v>
      </c>
      <c r="F752" t="s">
        <v>23</v>
      </c>
      <c r="G752">
        <v>57</v>
      </c>
      <c r="H752">
        <v>0</v>
      </c>
      <c r="I752">
        <v>35</v>
      </c>
      <c r="J752">
        <v>22</v>
      </c>
      <c r="K752">
        <v>33</v>
      </c>
      <c r="L752" t="b">
        <v>1</v>
      </c>
      <c r="M752">
        <v>1553.05</v>
      </c>
      <c r="N752">
        <v>34167.19</v>
      </c>
      <c r="O752" t="s">
        <v>32</v>
      </c>
    </row>
    <row r="753" spans="1:15">
      <c r="A753" s="1">
        <v>46082</v>
      </c>
      <c r="B753" t="s">
        <v>265</v>
      </c>
      <c r="C753" t="s">
        <v>158</v>
      </c>
      <c r="D753" t="s">
        <v>159</v>
      </c>
      <c r="E753" t="s">
        <v>151</v>
      </c>
      <c r="F753" t="s">
        <v>23</v>
      </c>
      <c r="G753">
        <v>203</v>
      </c>
      <c r="H753">
        <v>0</v>
      </c>
      <c r="I753">
        <v>155</v>
      </c>
      <c r="J753">
        <v>48</v>
      </c>
      <c r="K753">
        <v>164</v>
      </c>
      <c r="L753" t="b">
        <v>1</v>
      </c>
      <c r="M753">
        <v>41.26</v>
      </c>
      <c r="N753">
        <v>1980.33</v>
      </c>
      <c r="O753" t="s">
        <v>37</v>
      </c>
    </row>
    <row r="754" spans="1:15">
      <c r="A754" s="1">
        <v>46082</v>
      </c>
      <c r="B754" t="s">
        <v>265</v>
      </c>
      <c r="C754" t="s">
        <v>160</v>
      </c>
      <c r="D754" t="s">
        <v>161</v>
      </c>
      <c r="E754" t="s">
        <v>151</v>
      </c>
      <c r="F754" t="s">
        <v>23</v>
      </c>
      <c r="G754">
        <v>146</v>
      </c>
      <c r="H754">
        <v>684</v>
      </c>
      <c r="I754">
        <v>208</v>
      </c>
      <c r="J754">
        <v>622</v>
      </c>
      <c r="K754">
        <v>267</v>
      </c>
      <c r="L754" t="b">
        <v>0</v>
      </c>
      <c r="M754">
        <v>215.04</v>
      </c>
      <c r="N754">
        <v>133757.57999999999</v>
      </c>
      <c r="O754" t="s">
        <v>24</v>
      </c>
    </row>
    <row r="755" spans="1:15">
      <c r="A755" s="1">
        <v>46082</v>
      </c>
      <c r="B755" t="s">
        <v>265</v>
      </c>
      <c r="C755" t="s">
        <v>162</v>
      </c>
      <c r="D755" t="s">
        <v>163</v>
      </c>
      <c r="E755" t="s">
        <v>151</v>
      </c>
      <c r="F755" t="s">
        <v>23</v>
      </c>
      <c r="G755">
        <v>145</v>
      </c>
      <c r="H755">
        <v>228</v>
      </c>
      <c r="I755">
        <v>74</v>
      </c>
      <c r="J755">
        <v>299</v>
      </c>
      <c r="K755">
        <v>121</v>
      </c>
      <c r="L755" t="b">
        <v>0</v>
      </c>
      <c r="M755">
        <v>216.21</v>
      </c>
      <c r="N755">
        <v>64647.16</v>
      </c>
      <c r="O755" t="s">
        <v>37</v>
      </c>
    </row>
    <row r="756" spans="1:15">
      <c r="A756" s="1">
        <v>46082</v>
      </c>
      <c r="B756" t="s">
        <v>265</v>
      </c>
      <c r="C756" t="s">
        <v>164</v>
      </c>
      <c r="D756" t="s">
        <v>165</v>
      </c>
      <c r="E756" t="s">
        <v>151</v>
      </c>
      <c r="F756" t="s">
        <v>23</v>
      </c>
      <c r="G756">
        <v>52</v>
      </c>
      <c r="H756">
        <v>145</v>
      </c>
      <c r="I756">
        <v>35</v>
      </c>
      <c r="J756">
        <v>162</v>
      </c>
      <c r="K756">
        <v>77</v>
      </c>
      <c r="L756" t="b">
        <v>0</v>
      </c>
      <c r="M756">
        <v>1049.95</v>
      </c>
      <c r="N756">
        <v>170091.61</v>
      </c>
      <c r="O756" t="s">
        <v>98</v>
      </c>
    </row>
    <row r="757" spans="1:15">
      <c r="A757" s="1">
        <v>46082</v>
      </c>
      <c r="B757" t="s">
        <v>265</v>
      </c>
      <c r="C757" t="s">
        <v>166</v>
      </c>
      <c r="D757" t="s">
        <v>167</v>
      </c>
      <c r="E757" t="s">
        <v>151</v>
      </c>
      <c r="F757" t="s">
        <v>23</v>
      </c>
      <c r="G757">
        <v>10</v>
      </c>
      <c r="H757">
        <v>90</v>
      </c>
      <c r="I757">
        <v>34</v>
      </c>
      <c r="J757">
        <v>66</v>
      </c>
      <c r="K757">
        <v>23</v>
      </c>
      <c r="L757" t="b">
        <v>0</v>
      </c>
      <c r="M757">
        <v>130.66999999999999</v>
      </c>
      <c r="N757">
        <v>8624.15</v>
      </c>
      <c r="O757" t="s">
        <v>44</v>
      </c>
    </row>
    <row r="758" spans="1:15">
      <c r="A758" s="1">
        <v>46082</v>
      </c>
      <c r="B758" t="s">
        <v>265</v>
      </c>
      <c r="C758" t="s">
        <v>168</v>
      </c>
      <c r="D758" t="s">
        <v>169</v>
      </c>
      <c r="E758" t="s">
        <v>151</v>
      </c>
      <c r="F758" t="s">
        <v>23</v>
      </c>
      <c r="G758">
        <v>57</v>
      </c>
      <c r="H758">
        <v>208</v>
      </c>
      <c r="I758">
        <v>86</v>
      </c>
      <c r="J758">
        <v>179</v>
      </c>
      <c r="K758">
        <v>105</v>
      </c>
      <c r="L758" t="b">
        <v>0</v>
      </c>
      <c r="M758">
        <v>707.73</v>
      </c>
      <c r="N758">
        <v>126683.66</v>
      </c>
      <c r="O758" t="s">
        <v>27</v>
      </c>
    </row>
    <row r="759" spans="1:15">
      <c r="A759" s="1">
        <v>46082</v>
      </c>
      <c r="B759" t="s">
        <v>265</v>
      </c>
      <c r="C759" t="s">
        <v>170</v>
      </c>
      <c r="D759" t="s">
        <v>171</v>
      </c>
      <c r="E759" t="s">
        <v>151</v>
      </c>
      <c r="F759" t="s">
        <v>23</v>
      </c>
      <c r="G759">
        <v>731</v>
      </c>
      <c r="H759">
        <v>0</v>
      </c>
      <c r="I759">
        <v>89</v>
      </c>
      <c r="J759">
        <v>642</v>
      </c>
      <c r="K759">
        <v>276</v>
      </c>
      <c r="L759" t="b">
        <v>0</v>
      </c>
      <c r="M759">
        <v>3095.16</v>
      </c>
      <c r="N759">
        <v>1987090.91</v>
      </c>
      <c r="O759" t="s">
        <v>47</v>
      </c>
    </row>
    <row r="760" spans="1:15">
      <c r="A760" s="1">
        <v>46082</v>
      </c>
      <c r="B760" t="s">
        <v>265</v>
      </c>
      <c r="C760" t="s">
        <v>174</v>
      </c>
      <c r="D760" t="s">
        <v>175</v>
      </c>
      <c r="E760" t="s">
        <v>151</v>
      </c>
      <c r="F760" t="s">
        <v>23</v>
      </c>
      <c r="G760">
        <v>29</v>
      </c>
      <c r="H760">
        <v>422</v>
      </c>
      <c r="I760">
        <v>149</v>
      </c>
      <c r="J760">
        <v>302</v>
      </c>
      <c r="K760">
        <v>113</v>
      </c>
      <c r="L760" t="b">
        <v>0</v>
      </c>
      <c r="M760">
        <v>2233.9</v>
      </c>
      <c r="N760">
        <v>674638.02</v>
      </c>
      <c r="O760" t="s">
        <v>27</v>
      </c>
    </row>
    <row r="761" spans="1:15">
      <c r="A761" s="1">
        <v>46082</v>
      </c>
      <c r="B761" t="s">
        <v>265</v>
      </c>
      <c r="C761" t="s">
        <v>176</v>
      </c>
      <c r="D761" t="s">
        <v>177</v>
      </c>
      <c r="E761" t="s">
        <v>151</v>
      </c>
      <c r="F761" t="s">
        <v>23</v>
      </c>
      <c r="G761">
        <v>217</v>
      </c>
      <c r="H761">
        <v>0</v>
      </c>
      <c r="I761">
        <v>160</v>
      </c>
      <c r="J761">
        <v>57</v>
      </c>
      <c r="K761">
        <v>108</v>
      </c>
      <c r="L761" t="b">
        <v>1</v>
      </c>
      <c r="M761">
        <v>65.59</v>
      </c>
      <c r="N761">
        <v>3738.44</v>
      </c>
      <c r="O761" t="s">
        <v>27</v>
      </c>
    </row>
    <row r="762" spans="1:15">
      <c r="A762" s="1">
        <v>46082</v>
      </c>
      <c r="B762" t="s">
        <v>265</v>
      </c>
      <c r="C762" t="s">
        <v>178</v>
      </c>
      <c r="D762" t="s">
        <v>179</v>
      </c>
      <c r="E762" t="s">
        <v>151</v>
      </c>
      <c r="F762" t="s">
        <v>23</v>
      </c>
      <c r="G762">
        <v>148</v>
      </c>
      <c r="H762">
        <v>400</v>
      </c>
      <c r="I762">
        <v>136</v>
      </c>
      <c r="J762">
        <v>412</v>
      </c>
      <c r="K762">
        <v>195</v>
      </c>
      <c r="L762" t="b">
        <v>0</v>
      </c>
      <c r="M762">
        <v>346.66</v>
      </c>
      <c r="N762">
        <v>142824.46</v>
      </c>
      <c r="O762" t="s">
        <v>32</v>
      </c>
    </row>
    <row r="763" spans="1:15">
      <c r="A763" s="1">
        <v>46082</v>
      </c>
      <c r="B763" t="s">
        <v>265</v>
      </c>
      <c r="C763" t="s">
        <v>180</v>
      </c>
      <c r="D763" t="s">
        <v>181</v>
      </c>
      <c r="E763" t="s">
        <v>151</v>
      </c>
      <c r="F763" t="s">
        <v>23</v>
      </c>
      <c r="G763">
        <v>286</v>
      </c>
      <c r="H763">
        <v>0</v>
      </c>
      <c r="I763">
        <v>118</v>
      </c>
      <c r="J763">
        <v>168</v>
      </c>
      <c r="K763">
        <v>179</v>
      </c>
      <c r="L763" t="b">
        <v>1</v>
      </c>
      <c r="M763">
        <v>50.4</v>
      </c>
      <c r="N763">
        <v>8466.7099999999991</v>
      </c>
      <c r="O763" t="s">
        <v>44</v>
      </c>
    </row>
    <row r="764" spans="1:15">
      <c r="A764" s="1">
        <v>46082</v>
      </c>
      <c r="B764" t="s">
        <v>265</v>
      </c>
      <c r="C764" t="s">
        <v>182</v>
      </c>
      <c r="D764" t="s">
        <v>183</v>
      </c>
      <c r="E764" t="s">
        <v>151</v>
      </c>
      <c r="F764" t="s">
        <v>23</v>
      </c>
      <c r="G764">
        <v>197</v>
      </c>
      <c r="H764">
        <v>348</v>
      </c>
      <c r="I764">
        <v>76</v>
      </c>
      <c r="J764">
        <v>469</v>
      </c>
      <c r="K764">
        <v>176</v>
      </c>
      <c r="L764" t="b">
        <v>0</v>
      </c>
      <c r="M764">
        <v>266.95</v>
      </c>
      <c r="N764">
        <v>125198.04</v>
      </c>
      <c r="O764" t="s">
        <v>32</v>
      </c>
    </row>
    <row r="765" spans="1:15">
      <c r="A765" s="1">
        <v>46082</v>
      </c>
      <c r="B765" t="s">
        <v>265</v>
      </c>
      <c r="C765" t="s">
        <v>251</v>
      </c>
      <c r="D765" t="s">
        <v>252</v>
      </c>
      <c r="E765" t="s">
        <v>151</v>
      </c>
      <c r="F765" t="s">
        <v>23</v>
      </c>
      <c r="G765">
        <v>66</v>
      </c>
      <c r="H765">
        <v>201</v>
      </c>
      <c r="I765">
        <v>113</v>
      </c>
      <c r="J765">
        <v>154</v>
      </c>
      <c r="K765">
        <v>125</v>
      </c>
      <c r="L765" t="b">
        <v>0</v>
      </c>
      <c r="M765">
        <v>87.27</v>
      </c>
      <c r="N765">
        <v>13439.81</v>
      </c>
      <c r="O765" t="s">
        <v>44</v>
      </c>
    </row>
    <row r="766" spans="1:15">
      <c r="A766" s="1">
        <v>46082</v>
      </c>
      <c r="B766" t="s">
        <v>265</v>
      </c>
      <c r="C766" t="s">
        <v>184</v>
      </c>
      <c r="D766" t="s">
        <v>185</v>
      </c>
      <c r="E766" t="s">
        <v>151</v>
      </c>
      <c r="F766" t="s">
        <v>23</v>
      </c>
      <c r="G766">
        <v>65</v>
      </c>
      <c r="H766">
        <v>175</v>
      </c>
      <c r="I766">
        <v>56</v>
      </c>
      <c r="J766">
        <v>184</v>
      </c>
      <c r="K766">
        <v>109</v>
      </c>
      <c r="L766" t="b">
        <v>0</v>
      </c>
      <c r="M766">
        <v>415.36</v>
      </c>
      <c r="N766">
        <v>76425.429999999993</v>
      </c>
      <c r="O766" t="s">
        <v>60</v>
      </c>
    </row>
    <row r="767" spans="1:15">
      <c r="A767" s="1">
        <v>46082</v>
      </c>
      <c r="B767" t="s">
        <v>265</v>
      </c>
      <c r="C767" t="s">
        <v>186</v>
      </c>
      <c r="D767" t="s">
        <v>187</v>
      </c>
      <c r="E767" t="s">
        <v>188</v>
      </c>
      <c r="F767" t="s">
        <v>23</v>
      </c>
      <c r="G767">
        <v>367</v>
      </c>
      <c r="H767">
        <v>450</v>
      </c>
      <c r="I767">
        <v>132</v>
      </c>
      <c r="J767">
        <v>685</v>
      </c>
      <c r="K767">
        <v>156</v>
      </c>
      <c r="L767" t="b">
        <v>0</v>
      </c>
      <c r="M767">
        <v>109.7</v>
      </c>
      <c r="N767">
        <v>75144.66</v>
      </c>
      <c r="O767" t="s">
        <v>24</v>
      </c>
    </row>
    <row r="768" spans="1:15">
      <c r="A768" s="1">
        <v>46082</v>
      </c>
      <c r="B768" t="s">
        <v>265</v>
      </c>
      <c r="C768" t="s">
        <v>189</v>
      </c>
      <c r="D768" t="s">
        <v>190</v>
      </c>
      <c r="E768" t="s">
        <v>188</v>
      </c>
      <c r="F768" t="s">
        <v>23</v>
      </c>
      <c r="G768">
        <v>61</v>
      </c>
      <c r="H768">
        <v>296</v>
      </c>
      <c r="I768">
        <v>80</v>
      </c>
      <c r="J768">
        <v>277</v>
      </c>
      <c r="K768">
        <v>119</v>
      </c>
      <c r="L768" t="b">
        <v>0</v>
      </c>
      <c r="M768">
        <v>568.53</v>
      </c>
      <c r="N768">
        <v>157483.99</v>
      </c>
      <c r="O768" t="s">
        <v>98</v>
      </c>
    </row>
    <row r="769" spans="1:15">
      <c r="A769" s="1">
        <v>46082</v>
      </c>
      <c r="B769" t="s">
        <v>265</v>
      </c>
      <c r="C769" t="s">
        <v>191</v>
      </c>
      <c r="D769" t="s">
        <v>192</v>
      </c>
      <c r="E769" t="s">
        <v>188</v>
      </c>
      <c r="F769" t="s">
        <v>23</v>
      </c>
      <c r="G769">
        <v>118</v>
      </c>
      <c r="H769">
        <v>163</v>
      </c>
      <c r="I769">
        <v>61</v>
      </c>
      <c r="J769">
        <v>220</v>
      </c>
      <c r="K769">
        <v>103</v>
      </c>
      <c r="L769" t="b">
        <v>0</v>
      </c>
      <c r="M769">
        <v>101.9</v>
      </c>
      <c r="N769">
        <v>22418.65</v>
      </c>
      <c r="O769" t="s">
        <v>98</v>
      </c>
    </row>
    <row r="770" spans="1:15">
      <c r="A770" s="1">
        <v>46082</v>
      </c>
      <c r="B770" t="s">
        <v>265</v>
      </c>
      <c r="C770" t="s">
        <v>193</v>
      </c>
      <c r="D770" t="s">
        <v>194</v>
      </c>
      <c r="E770" t="s">
        <v>188</v>
      </c>
      <c r="F770" t="s">
        <v>23</v>
      </c>
      <c r="G770">
        <v>127</v>
      </c>
      <c r="H770">
        <v>640</v>
      </c>
      <c r="I770">
        <v>317</v>
      </c>
      <c r="J770">
        <v>450</v>
      </c>
      <c r="K770">
        <v>191</v>
      </c>
      <c r="L770" t="b">
        <v>0</v>
      </c>
      <c r="M770">
        <v>444.14</v>
      </c>
      <c r="N770">
        <v>199864.52</v>
      </c>
      <c r="O770" t="s">
        <v>27</v>
      </c>
    </row>
    <row r="771" spans="1:15">
      <c r="A771" s="1">
        <v>46082</v>
      </c>
      <c r="B771" t="s">
        <v>265</v>
      </c>
      <c r="C771" t="s">
        <v>195</v>
      </c>
      <c r="D771" t="s">
        <v>196</v>
      </c>
      <c r="E771" t="s">
        <v>188</v>
      </c>
      <c r="F771" t="s">
        <v>23</v>
      </c>
      <c r="G771">
        <v>239</v>
      </c>
      <c r="H771">
        <v>0</v>
      </c>
      <c r="I771">
        <v>89</v>
      </c>
      <c r="J771">
        <v>150</v>
      </c>
      <c r="K771">
        <v>90</v>
      </c>
      <c r="L771" t="b">
        <v>0</v>
      </c>
      <c r="M771">
        <v>67.19</v>
      </c>
      <c r="N771">
        <v>10079.14</v>
      </c>
      <c r="O771" t="s">
        <v>47</v>
      </c>
    </row>
    <row r="772" spans="1:15">
      <c r="A772" s="1">
        <v>46082</v>
      </c>
      <c r="B772" t="s">
        <v>265</v>
      </c>
      <c r="C772" t="s">
        <v>253</v>
      </c>
      <c r="D772" t="s">
        <v>254</v>
      </c>
      <c r="E772" t="s">
        <v>188</v>
      </c>
      <c r="F772" t="s">
        <v>23</v>
      </c>
      <c r="G772">
        <v>29</v>
      </c>
      <c r="H772">
        <v>117</v>
      </c>
      <c r="I772">
        <v>43</v>
      </c>
      <c r="J772">
        <v>103</v>
      </c>
      <c r="K772">
        <v>34</v>
      </c>
      <c r="L772" t="b">
        <v>0</v>
      </c>
      <c r="M772">
        <v>329.79</v>
      </c>
      <c r="N772">
        <v>33968</v>
      </c>
      <c r="O772" t="s">
        <v>60</v>
      </c>
    </row>
    <row r="773" spans="1:15">
      <c r="A773" s="1">
        <v>46082</v>
      </c>
      <c r="B773" t="s">
        <v>265</v>
      </c>
      <c r="C773" t="s">
        <v>197</v>
      </c>
      <c r="D773" t="s">
        <v>198</v>
      </c>
      <c r="E773" t="s">
        <v>188</v>
      </c>
      <c r="F773" t="s">
        <v>23</v>
      </c>
      <c r="G773">
        <v>211</v>
      </c>
      <c r="H773">
        <v>0</v>
      </c>
      <c r="I773">
        <v>71</v>
      </c>
      <c r="J773">
        <v>140</v>
      </c>
      <c r="K773">
        <v>92</v>
      </c>
      <c r="L773" t="b">
        <v>0</v>
      </c>
      <c r="M773">
        <v>107.13</v>
      </c>
      <c r="N773">
        <v>14997.6</v>
      </c>
      <c r="O773" t="s">
        <v>98</v>
      </c>
    </row>
    <row r="774" spans="1:15">
      <c r="A774" s="1">
        <v>46082</v>
      </c>
      <c r="B774" t="s">
        <v>265</v>
      </c>
      <c r="C774" t="s">
        <v>199</v>
      </c>
      <c r="D774" t="s">
        <v>200</v>
      </c>
      <c r="E774" t="s">
        <v>188</v>
      </c>
      <c r="F774" t="s">
        <v>23</v>
      </c>
      <c r="G774">
        <v>510</v>
      </c>
      <c r="H774">
        <v>0</v>
      </c>
      <c r="I774">
        <v>84</v>
      </c>
      <c r="J774">
        <v>426</v>
      </c>
      <c r="K774">
        <v>135</v>
      </c>
      <c r="L774" t="b">
        <v>0</v>
      </c>
      <c r="M774">
        <v>507.62</v>
      </c>
      <c r="N774">
        <v>216246.67</v>
      </c>
      <c r="O774" t="s">
        <v>98</v>
      </c>
    </row>
    <row r="775" spans="1:15">
      <c r="A775" s="1">
        <v>46082</v>
      </c>
      <c r="B775" t="s">
        <v>265</v>
      </c>
      <c r="C775" t="s">
        <v>201</v>
      </c>
      <c r="D775" t="s">
        <v>202</v>
      </c>
      <c r="E775" t="s">
        <v>188</v>
      </c>
      <c r="F775" t="s">
        <v>23</v>
      </c>
      <c r="G775">
        <v>0</v>
      </c>
      <c r="H775">
        <v>323</v>
      </c>
      <c r="I775">
        <v>90</v>
      </c>
      <c r="J775">
        <v>233</v>
      </c>
      <c r="K775">
        <v>138</v>
      </c>
      <c r="L775" t="b">
        <v>0</v>
      </c>
      <c r="M775">
        <v>860.43</v>
      </c>
      <c r="N775">
        <v>200480.84</v>
      </c>
      <c r="O775" t="s">
        <v>47</v>
      </c>
    </row>
    <row r="776" spans="1:15">
      <c r="A776" s="1">
        <v>46082</v>
      </c>
      <c r="B776" t="s">
        <v>265</v>
      </c>
      <c r="C776" t="s">
        <v>203</v>
      </c>
      <c r="D776" t="s">
        <v>204</v>
      </c>
      <c r="E776" t="s">
        <v>188</v>
      </c>
      <c r="F776" t="s">
        <v>23</v>
      </c>
      <c r="G776">
        <v>362</v>
      </c>
      <c r="H776">
        <v>0</v>
      </c>
      <c r="I776">
        <v>245</v>
      </c>
      <c r="J776">
        <v>117</v>
      </c>
      <c r="K776">
        <v>240</v>
      </c>
      <c r="L776" t="b">
        <v>1</v>
      </c>
      <c r="M776">
        <v>4160.68</v>
      </c>
      <c r="N776">
        <v>486799.22</v>
      </c>
      <c r="O776" t="s">
        <v>47</v>
      </c>
    </row>
    <row r="777" spans="1:15">
      <c r="A777" s="1">
        <v>46082</v>
      </c>
      <c r="B777" t="s">
        <v>265</v>
      </c>
      <c r="C777" t="s">
        <v>205</v>
      </c>
      <c r="D777" t="s">
        <v>206</v>
      </c>
      <c r="E777" t="s">
        <v>188</v>
      </c>
      <c r="F777" t="s">
        <v>23</v>
      </c>
      <c r="G777">
        <v>82</v>
      </c>
      <c r="H777">
        <v>224</v>
      </c>
      <c r="I777">
        <v>97</v>
      </c>
      <c r="J777">
        <v>209</v>
      </c>
      <c r="K777">
        <v>72</v>
      </c>
      <c r="L777" t="b">
        <v>0</v>
      </c>
      <c r="M777">
        <v>92.31</v>
      </c>
      <c r="N777">
        <v>19292.93</v>
      </c>
      <c r="O777" t="s">
        <v>98</v>
      </c>
    </row>
    <row r="778" spans="1:15">
      <c r="A778" s="1">
        <v>46082</v>
      </c>
      <c r="B778" t="s">
        <v>265</v>
      </c>
      <c r="C778" t="s">
        <v>255</v>
      </c>
      <c r="D778" t="s">
        <v>256</v>
      </c>
      <c r="E778" t="s">
        <v>188</v>
      </c>
      <c r="F778" t="s">
        <v>23</v>
      </c>
      <c r="G778">
        <v>558</v>
      </c>
      <c r="H778">
        <v>0</v>
      </c>
      <c r="I778">
        <v>119</v>
      </c>
      <c r="J778">
        <v>439</v>
      </c>
      <c r="K778">
        <v>168</v>
      </c>
      <c r="L778" t="b">
        <v>0</v>
      </c>
      <c r="M778">
        <v>421.48</v>
      </c>
      <c r="N778">
        <v>185028.6</v>
      </c>
      <c r="O778" t="s">
        <v>37</v>
      </c>
    </row>
    <row r="779" spans="1:15">
      <c r="A779" s="1">
        <v>46082</v>
      </c>
      <c r="B779" t="s">
        <v>265</v>
      </c>
      <c r="C779" t="s">
        <v>207</v>
      </c>
      <c r="D779" t="s">
        <v>208</v>
      </c>
      <c r="E779" t="s">
        <v>188</v>
      </c>
      <c r="F779" t="s">
        <v>23</v>
      </c>
      <c r="G779">
        <v>136</v>
      </c>
      <c r="H779">
        <v>314</v>
      </c>
      <c r="I779">
        <v>96</v>
      </c>
      <c r="J779">
        <v>354</v>
      </c>
      <c r="K779">
        <v>146</v>
      </c>
      <c r="L779" t="b">
        <v>0</v>
      </c>
      <c r="M779">
        <v>79.3</v>
      </c>
      <c r="N779">
        <v>28071</v>
      </c>
      <c r="O779" t="s">
        <v>47</v>
      </c>
    </row>
    <row r="780" spans="1:15">
      <c r="A780" s="1">
        <v>46082</v>
      </c>
      <c r="B780" t="s">
        <v>265</v>
      </c>
      <c r="C780" t="s">
        <v>209</v>
      </c>
      <c r="D780" t="s">
        <v>210</v>
      </c>
      <c r="E780" t="s">
        <v>188</v>
      </c>
      <c r="F780" t="s">
        <v>23</v>
      </c>
      <c r="G780">
        <v>136</v>
      </c>
      <c r="H780">
        <v>0</v>
      </c>
      <c r="I780">
        <v>55</v>
      </c>
      <c r="J780">
        <v>81</v>
      </c>
      <c r="K780">
        <v>97</v>
      </c>
      <c r="L780" t="b">
        <v>1</v>
      </c>
      <c r="M780">
        <v>324.29000000000002</v>
      </c>
      <c r="N780">
        <v>26267.7</v>
      </c>
      <c r="O780" t="s">
        <v>37</v>
      </c>
    </row>
    <row r="781" spans="1:15">
      <c r="A781" s="1">
        <v>46082</v>
      </c>
      <c r="B781" t="s">
        <v>265</v>
      </c>
      <c r="C781" t="s">
        <v>266</v>
      </c>
      <c r="D781" t="s">
        <v>267</v>
      </c>
      <c r="E781" t="s">
        <v>188</v>
      </c>
      <c r="F781" t="s">
        <v>23</v>
      </c>
      <c r="G781">
        <v>175</v>
      </c>
      <c r="H781">
        <v>397</v>
      </c>
      <c r="I781">
        <v>120</v>
      </c>
      <c r="J781">
        <v>452</v>
      </c>
      <c r="K781">
        <v>109</v>
      </c>
      <c r="L781" t="b">
        <v>0</v>
      </c>
      <c r="M781">
        <v>104.46</v>
      </c>
      <c r="N781">
        <v>47217.7</v>
      </c>
      <c r="O781" t="s">
        <v>24</v>
      </c>
    </row>
    <row r="782" spans="1:15">
      <c r="A782" s="1">
        <v>46082</v>
      </c>
      <c r="B782" t="s">
        <v>265</v>
      </c>
      <c r="C782" t="s">
        <v>211</v>
      </c>
      <c r="D782" t="s">
        <v>212</v>
      </c>
      <c r="E782" t="s">
        <v>188</v>
      </c>
      <c r="F782" t="s">
        <v>23</v>
      </c>
      <c r="G782">
        <v>84</v>
      </c>
      <c r="H782">
        <v>251</v>
      </c>
      <c r="I782">
        <v>44</v>
      </c>
      <c r="J782">
        <v>291</v>
      </c>
      <c r="K782">
        <v>107</v>
      </c>
      <c r="L782" t="b">
        <v>0</v>
      </c>
      <c r="M782">
        <v>422.63</v>
      </c>
      <c r="N782">
        <v>122984.88</v>
      </c>
      <c r="O782" t="s">
        <v>60</v>
      </c>
    </row>
    <row r="783" spans="1:15">
      <c r="A783" s="1">
        <v>46082</v>
      </c>
      <c r="B783" t="s">
        <v>265</v>
      </c>
      <c r="C783" t="s">
        <v>268</v>
      </c>
      <c r="D783" t="s">
        <v>269</v>
      </c>
      <c r="E783" t="s">
        <v>188</v>
      </c>
      <c r="F783" t="s">
        <v>23</v>
      </c>
      <c r="G783">
        <v>352</v>
      </c>
      <c r="H783">
        <v>0</v>
      </c>
      <c r="I783">
        <v>223</v>
      </c>
      <c r="J783">
        <v>129</v>
      </c>
      <c r="K783">
        <v>231</v>
      </c>
      <c r="L783" t="b">
        <v>1</v>
      </c>
      <c r="M783">
        <v>39.08</v>
      </c>
      <c r="N783">
        <v>5041.87</v>
      </c>
      <c r="O783" t="s">
        <v>47</v>
      </c>
    </row>
    <row r="784" spans="1:15">
      <c r="A784" s="1">
        <v>46082</v>
      </c>
      <c r="B784" t="s">
        <v>265</v>
      </c>
      <c r="C784" t="s">
        <v>270</v>
      </c>
      <c r="D784" t="s">
        <v>271</v>
      </c>
      <c r="E784" t="s">
        <v>188</v>
      </c>
      <c r="F784" t="s">
        <v>23</v>
      </c>
      <c r="G784">
        <v>692</v>
      </c>
      <c r="H784">
        <v>0</v>
      </c>
      <c r="I784">
        <v>181</v>
      </c>
      <c r="J784">
        <v>511</v>
      </c>
      <c r="K784">
        <v>275</v>
      </c>
      <c r="L784" t="b">
        <v>0</v>
      </c>
      <c r="M784">
        <v>185.88</v>
      </c>
      <c r="N784">
        <v>94982.46</v>
      </c>
      <c r="O784" t="s">
        <v>24</v>
      </c>
    </row>
    <row r="785" spans="1:15">
      <c r="A785" s="1">
        <v>46082</v>
      </c>
      <c r="B785" t="s">
        <v>265</v>
      </c>
      <c r="C785" t="s">
        <v>213</v>
      </c>
      <c r="D785" t="s">
        <v>214</v>
      </c>
      <c r="E785" t="s">
        <v>188</v>
      </c>
      <c r="F785" t="s">
        <v>23</v>
      </c>
      <c r="G785">
        <v>447</v>
      </c>
      <c r="H785">
        <v>0</v>
      </c>
      <c r="I785">
        <v>150</v>
      </c>
      <c r="J785">
        <v>297</v>
      </c>
      <c r="K785">
        <v>97</v>
      </c>
      <c r="L785" t="b">
        <v>0</v>
      </c>
      <c r="M785">
        <v>329.28</v>
      </c>
      <c r="N785">
        <v>97794.79</v>
      </c>
      <c r="O785" t="s">
        <v>44</v>
      </c>
    </row>
    <row r="786" spans="1:15">
      <c r="A786" s="1">
        <v>46082</v>
      </c>
      <c r="B786" t="s">
        <v>265</v>
      </c>
      <c r="C786" t="s">
        <v>217</v>
      </c>
      <c r="D786" t="s">
        <v>218</v>
      </c>
      <c r="E786" t="s">
        <v>219</v>
      </c>
      <c r="F786" t="s">
        <v>23</v>
      </c>
      <c r="G786">
        <v>179</v>
      </c>
      <c r="H786">
        <v>0</v>
      </c>
      <c r="I786">
        <v>72</v>
      </c>
      <c r="J786">
        <v>107</v>
      </c>
      <c r="K786">
        <v>125</v>
      </c>
      <c r="L786" t="b">
        <v>1</v>
      </c>
      <c r="M786">
        <v>18.2</v>
      </c>
      <c r="N786">
        <v>1947.7</v>
      </c>
      <c r="O786" t="s">
        <v>37</v>
      </c>
    </row>
    <row r="787" spans="1:15">
      <c r="A787" s="1">
        <v>46082</v>
      </c>
      <c r="B787" t="s">
        <v>265</v>
      </c>
      <c r="C787" t="s">
        <v>220</v>
      </c>
      <c r="D787" t="s">
        <v>221</v>
      </c>
      <c r="E787" t="s">
        <v>219</v>
      </c>
      <c r="F787" t="s">
        <v>23</v>
      </c>
      <c r="G787">
        <v>232</v>
      </c>
      <c r="H787">
        <v>0</v>
      </c>
      <c r="I787">
        <v>78</v>
      </c>
      <c r="J787">
        <v>154</v>
      </c>
      <c r="K787">
        <v>101</v>
      </c>
      <c r="L787" t="b">
        <v>0</v>
      </c>
      <c r="M787">
        <v>91.34</v>
      </c>
      <c r="N787">
        <v>14066.2</v>
      </c>
      <c r="O787" t="s">
        <v>60</v>
      </c>
    </row>
    <row r="788" spans="1:15">
      <c r="A788" s="1">
        <v>46082</v>
      </c>
      <c r="B788" t="s">
        <v>265</v>
      </c>
      <c r="C788" t="s">
        <v>222</v>
      </c>
      <c r="D788" t="s">
        <v>223</v>
      </c>
      <c r="E788" t="s">
        <v>219</v>
      </c>
      <c r="F788" t="s">
        <v>23</v>
      </c>
      <c r="G788">
        <v>50</v>
      </c>
      <c r="H788">
        <v>510</v>
      </c>
      <c r="I788">
        <v>168</v>
      </c>
      <c r="J788">
        <v>392</v>
      </c>
      <c r="K788">
        <v>168</v>
      </c>
      <c r="L788" t="b">
        <v>0</v>
      </c>
      <c r="M788">
        <v>45.21</v>
      </c>
      <c r="N788">
        <v>17721.54</v>
      </c>
      <c r="O788" t="s">
        <v>37</v>
      </c>
    </row>
    <row r="789" spans="1:15">
      <c r="A789" s="1">
        <v>46082</v>
      </c>
      <c r="B789" t="s">
        <v>265</v>
      </c>
      <c r="C789" t="s">
        <v>224</v>
      </c>
      <c r="D789" t="s">
        <v>225</v>
      </c>
      <c r="E789" t="s">
        <v>219</v>
      </c>
      <c r="F789" t="s">
        <v>23</v>
      </c>
      <c r="G789">
        <v>66</v>
      </c>
      <c r="H789">
        <v>364</v>
      </c>
      <c r="I789">
        <v>123</v>
      </c>
      <c r="J789">
        <v>307</v>
      </c>
      <c r="K789">
        <v>160</v>
      </c>
      <c r="L789" t="b">
        <v>0</v>
      </c>
      <c r="M789">
        <v>205.72</v>
      </c>
      <c r="N789">
        <v>63156.83</v>
      </c>
      <c r="O789" t="s">
        <v>44</v>
      </c>
    </row>
    <row r="790" spans="1:15">
      <c r="A790" s="1">
        <v>46082</v>
      </c>
      <c r="B790" t="s">
        <v>265</v>
      </c>
      <c r="C790" t="s">
        <v>272</v>
      </c>
      <c r="D790" t="s">
        <v>273</v>
      </c>
      <c r="E790" t="s">
        <v>219</v>
      </c>
      <c r="F790" t="s">
        <v>23</v>
      </c>
      <c r="G790">
        <v>159</v>
      </c>
      <c r="H790">
        <v>0</v>
      </c>
      <c r="I790">
        <v>116</v>
      </c>
      <c r="J790">
        <v>43</v>
      </c>
      <c r="K790">
        <v>115</v>
      </c>
      <c r="L790" t="b">
        <v>1</v>
      </c>
      <c r="M790">
        <v>1778.24</v>
      </c>
      <c r="N790">
        <v>76464.44</v>
      </c>
      <c r="O790" t="s">
        <v>98</v>
      </c>
    </row>
    <row r="791" spans="1:15">
      <c r="A791" s="1">
        <v>46082</v>
      </c>
      <c r="B791" t="s">
        <v>265</v>
      </c>
      <c r="C791" t="s">
        <v>228</v>
      </c>
      <c r="D791" t="s">
        <v>229</v>
      </c>
      <c r="E791" t="s">
        <v>219</v>
      </c>
      <c r="F791" t="s">
        <v>23</v>
      </c>
      <c r="G791">
        <v>215</v>
      </c>
      <c r="H791">
        <v>445</v>
      </c>
      <c r="I791">
        <v>20</v>
      </c>
      <c r="J791">
        <v>640</v>
      </c>
      <c r="K791">
        <v>233</v>
      </c>
      <c r="L791" t="b">
        <v>0</v>
      </c>
      <c r="M791">
        <v>40.89</v>
      </c>
      <c r="N791">
        <v>26171.81</v>
      </c>
      <c r="O791" t="s">
        <v>44</v>
      </c>
    </row>
    <row r="792" spans="1:15">
      <c r="A792" s="1">
        <v>46082</v>
      </c>
      <c r="B792" t="s">
        <v>265</v>
      </c>
      <c r="C792" t="s">
        <v>230</v>
      </c>
      <c r="D792" t="s">
        <v>231</v>
      </c>
      <c r="E792" t="s">
        <v>219</v>
      </c>
      <c r="F792" t="s">
        <v>23</v>
      </c>
      <c r="G792">
        <v>197</v>
      </c>
      <c r="H792">
        <v>331</v>
      </c>
      <c r="I792">
        <v>131</v>
      </c>
      <c r="J792">
        <v>397</v>
      </c>
      <c r="K792">
        <v>165</v>
      </c>
      <c r="L792" t="b">
        <v>0</v>
      </c>
      <c r="M792">
        <v>219.94</v>
      </c>
      <c r="N792">
        <v>87318.01</v>
      </c>
      <c r="O792" t="s">
        <v>32</v>
      </c>
    </row>
    <row r="793" spans="1:15">
      <c r="A793" s="1">
        <v>46082</v>
      </c>
      <c r="B793" t="s">
        <v>265</v>
      </c>
      <c r="C793" t="s">
        <v>232</v>
      </c>
      <c r="D793" t="s">
        <v>233</v>
      </c>
      <c r="E793" t="s">
        <v>219</v>
      </c>
      <c r="F793" t="s">
        <v>23</v>
      </c>
      <c r="G793">
        <v>207</v>
      </c>
      <c r="H793">
        <v>424</v>
      </c>
      <c r="I793">
        <v>135</v>
      </c>
      <c r="J793">
        <v>496</v>
      </c>
      <c r="K793">
        <v>174</v>
      </c>
      <c r="L793" t="b">
        <v>0</v>
      </c>
      <c r="M793">
        <v>151.21</v>
      </c>
      <c r="N793">
        <v>75000.27</v>
      </c>
      <c r="O793" t="s">
        <v>32</v>
      </c>
    </row>
    <row r="794" spans="1:15">
      <c r="A794" s="1">
        <v>46082</v>
      </c>
      <c r="B794" t="s">
        <v>265</v>
      </c>
      <c r="C794" t="s">
        <v>234</v>
      </c>
      <c r="D794" t="s">
        <v>235</v>
      </c>
      <c r="E794" t="s">
        <v>219</v>
      </c>
      <c r="F794" t="s">
        <v>23</v>
      </c>
      <c r="G794">
        <v>266</v>
      </c>
      <c r="H794">
        <v>0</v>
      </c>
      <c r="I794">
        <v>142</v>
      </c>
      <c r="J794">
        <v>124</v>
      </c>
      <c r="K794">
        <v>177</v>
      </c>
      <c r="L794" t="b">
        <v>1</v>
      </c>
      <c r="M794">
        <v>2242.19</v>
      </c>
      <c r="N794">
        <v>278031.40000000002</v>
      </c>
      <c r="O794" t="s">
        <v>47</v>
      </c>
    </row>
    <row r="795" spans="1:15">
      <c r="A795" s="1">
        <v>46082</v>
      </c>
      <c r="B795" t="s">
        <v>265</v>
      </c>
      <c r="C795" t="s">
        <v>261</v>
      </c>
      <c r="D795" t="s">
        <v>262</v>
      </c>
      <c r="E795" t="s">
        <v>219</v>
      </c>
      <c r="F795" t="s">
        <v>23</v>
      </c>
      <c r="G795">
        <v>715</v>
      </c>
      <c r="H795">
        <v>0</v>
      </c>
      <c r="I795">
        <v>158</v>
      </c>
      <c r="J795">
        <v>557</v>
      </c>
      <c r="K795">
        <v>127</v>
      </c>
      <c r="L795" t="b">
        <v>0</v>
      </c>
      <c r="M795">
        <v>277.42</v>
      </c>
      <c r="N795">
        <v>154522.26999999999</v>
      </c>
      <c r="O795" t="s">
        <v>60</v>
      </c>
    </row>
    <row r="796" spans="1:15">
      <c r="A796" s="1">
        <v>46082</v>
      </c>
      <c r="B796" t="s">
        <v>265</v>
      </c>
      <c r="C796" t="s">
        <v>274</v>
      </c>
      <c r="D796" t="s">
        <v>275</v>
      </c>
      <c r="E796" t="s">
        <v>219</v>
      </c>
      <c r="F796" t="s">
        <v>23</v>
      </c>
      <c r="G796">
        <v>8</v>
      </c>
      <c r="H796">
        <v>55</v>
      </c>
      <c r="I796">
        <v>21</v>
      </c>
      <c r="J796">
        <v>42</v>
      </c>
      <c r="K796">
        <v>19</v>
      </c>
      <c r="L796" t="b">
        <v>0</v>
      </c>
      <c r="M796">
        <v>230.68</v>
      </c>
      <c r="N796">
        <v>9688.6200000000008</v>
      </c>
      <c r="O796" t="s">
        <v>60</v>
      </c>
    </row>
    <row r="797" spans="1:15">
      <c r="A797" s="1">
        <v>46082</v>
      </c>
      <c r="B797" t="s">
        <v>265</v>
      </c>
      <c r="C797" t="s">
        <v>236</v>
      </c>
      <c r="D797" t="s">
        <v>237</v>
      </c>
      <c r="E797" t="s">
        <v>219</v>
      </c>
      <c r="F797" t="s">
        <v>23</v>
      </c>
      <c r="G797">
        <v>204</v>
      </c>
      <c r="H797">
        <v>0</v>
      </c>
      <c r="I797">
        <v>101</v>
      </c>
      <c r="J797">
        <v>103</v>
      </c>
      <c r="K797">
        <v>133</v>
      </c>
      <c r="L797" t="b">
        <v>1</v>
      </c>
      <c r="M797">
        <v>1100.3499999999999</v>
      </c>
      <c r="N797">
        <v>113335.89</v>
      </c>
      <c r="O797" t="s">
        <v>98</v>
      </c>
    </row>
    <row r="798" spans="1:15">
      <c r="A798" s="1">
        <v>46082</v>
      </c>
      <c r="B798" t="s">
        <v>265</v>
      </c>
      <c r="C798" t="s">
        <v>263</v>
      </c>
      <c r="D798" t="s">
        <v>264</v>
      </c>
      <c r="E798" t="s">
        <v>219</v>
      </c>
      <c r="F798" t="s">
        <v>23</v>
      </c>
      <c r="G798">
        <v>492</v>
      </c>
      <c r="H798">
        <v>0</v>
      </c>
      <c r="I798">
        <v>183</v>
      </c>
      <c r="J798">
        <v>309</v>
      </c>
      <c r="K798">
        <v>139</v>
      </c>
      <c r="L798" t="b">
        <v>0</v>
      </c>
      <c r="M798">
        <v>33.29</v>
      </c>
      <c r="N798">
        <v>10286.06</v>
      </c>
      <c r="O798" t="s">
        <v>27</v>
      </c>
    </row>
    <row r="799" spans="1:15">
      <c r="A799" s="1">
        <v>46082</v>
      </c>
      <c r="B799" t="s">
        <v>265</v>
      </c>
      <c r="C799" t="s">
        <v>238</v>
      </c>
      <c r="D799" t="s">
        <v>239</v>
      </c>
      <c r="E799" t="s">
        <v>219</v>
      </c>
      <c r="F799" t="s">
        <v>23</v>
      </c>
      <c r="G799">
        <v>53</v>
      </c>
      <c r="H799">
        <v>240</v>
      </c>
      <c r="I799">
        <v>53</v>
      </c>
      <c r="J799">
        <v>240</v>
      </c>
      <c r="K799">
        <v>103</v>
      </c>
      <c r="L799" t="b">
        <v>0</v>
      </c>
      <c r="M799">
        <v>155.13999999999999</v>
      </c>
      <c r="N799">
        <v>37234.1</v>
      </c>
      <c r="O799" t="s">
        <v>32</v>
      </c>
    </row>
    <row r="800" spans="1:15">
      <c r="A800" s="1">
        <v>46082</v>
      </c>
      <c r="B800" t="s">
        <v>265</v>
      </c>
      <c r="C800" t="s">
        <v>240</v>
      </c>
      <c r="D800" t="s">
        <v>241</v>
      </c>
      <c r="E800" t="s">
        <v>219</v>
      </c>
      <c r="F800" t="s">
        <v>23</v>
      </c>
      <c r="G800">
        <v>171</v>
      </c>
      <c r="H800">
        <v>0</v>
      </c>
      <c r="I800">
        <v>39</v>
      </c>
      <c r="J800">
        <v>132</v>
      </c>
      <c r="K800">
        <v>72</v>
      </c>
      <c r="L800" t="b">
        <v>0</v>
      </c>
      <c r="M800">
        <v>58.29</v>
      </c>
      <c r="N800">
        <v>7693.84</v>
      </c>
      <c r="O800" t="s">
        <v>27</v>
      </c>
    </row>
    <row r="801" spans="1:15">
      <c r="A801" s="1">
        <v>46082</v>
      </c>
      <c r="B801" t="s">
        <v>265</v>
      </c>
      <c r="C801" t="s">
        <v>242</v>
      </c>
      <c r="D801" t="s">
        <v>243</v>
      </c>
      <c r="E801" t="s">
        <v>219</v>
      </c>
      <c r="F801" t="s">
        <v>23</v>
      </c>
      <c r="G801">
        <v>109</v>
      </c>
      <c r="H801">
        <v>539</v>
      </c>
      <c r="I801">
        <v>238</v>
      </c>
      <c r="J801">
        <v>410</v>
      </c>
      <c r="K801">
        <v>226</v>
      </c>
      <c r="L801" t="b">
        <v>0</v>
      </c>
      <c r="M801">
        <v>288.88</v>
      </c>
      <c r="N801">
        <v>118442.41</v>
      </c>
      <c r="O801" t="s">
        <v>60</v>
      </c>
    </row>
    <row r="802" spans="1:15">
      <c r="A802" s="1">
        <v>46082</v>
      </c>
      <c r="B802" t="s">
        <v>276</v>
      </c>
      <c r="C802" t="s">
        <v>20</v>
      </c>
      <c r="D802" t="s">
        <v>21</v>
      </c>
      <c r="E802" t="s">
        <v>22</v>
      </c>
      <c r="F802" t="s">
        <v>23</v>
      </c>
      <c r="G802">
        <v>66</v>
      </c>
      <c r="H802">
        <v>343</v>
      </c>
      <c r="I802">
        <v>135</v>
      </c>
      <c r="J802">
        <v>274</v>
      </c>
      <c r="K802">
        <v>130</v>
      </c>
      <c r="L802" t="b">
        <v>0</v>
      </c>
      <c r="M802">
        <v>265.55</v>
      </c>
      <c r="N802">
        <v>72760.56</v>
      </c>
      <c r="O802" t="s">
        <v>24</v>
      </c>
    </row>
    <row r="803" spans="1:15">
      <c r="A803" s="1">
        <v>46082</v>
      </c>
      <c r="B803" t="s">
        <v>276</v>
      </c>
      <c r="C803" t="s">
        <v>25</v>
      </c>
      <c r="D803" t="s">
        <v>26</v>
      </c>
      <c r="E803" t="s">
        <v>22</v>
      </c>
      <c r="F803" t="s">
        <v>23</v>
      </c>
      <c r="G803">
        <v>183</v>
      </c>
      <c r="H803">
        <v>0</v>
      </c>
      <c r="I803">
        <v>47</v>
      </c>
      <c r="J803">
        <v>136</v>
      </c>
      <c r="K803">
        <v>90</v>
      </c>
      <c r="L803" t="b">
        <v>0</v>
      </c>
      <c r="M803">
        <v>1157.3</v>
      </c>
      <c r="N803">
        <v>157393.45000000001</v>
      </c>
      <c r="O803" t="s">
        <v>27</v>
      </c>
    </row>
    <row r="804" spans="1:15">
      <c r="A804" s="1">
        <v>46082</v>
      </c>
      <c r="B804" t="s">
        <v>276</v>
      </c>
      <c r="C804" t="s">
        <v>28</v>
      </c>
      <c r="D804" t="s">
        <v>29</v>
      </c>
      <c r="E804" t="s">
        <v>22</v>
      </c>
      <c r="F804" t="s">
        <v>23</v>
      </c>
      <c r="G804">
        <v>24</v>
      </c>
      <c r="H804">
        <v>183</v>
      </c>
      <c r="I804">
        <v>67</v>
      </c>
      <c r="J804">
        <v>140</v>
      </c>
      <c r="K804">
        <v>74</v>
      </c>
      <c r="L804" t="b">
        <v>0</v>
      </c>
      <c r="M804">
        <v>87.96</v>
      </c>
      <c r="N804">
        <v>12314.79</v>
      </c>
      <c r="O804" t="s">
        <v>24</v>
      </c>
    </row>
    <row r="805" spans="1:15">
      <c r="A805" s="1">
        <v>46082</v>
      </c>
      <c r="B805" t="s">
        <v>276</v>
      </c>
      <c r="C805" t="s">
        <v>30</v>
      </c>
      <c r="D805" t="s">
        <v>31</v>
      </c>
      <c r="E805" t="s">
        <v>22</v>
      </c>
      <c r="F805" t="s">
        <v>23</v>
      </c>
      <c r="G805">
        <v>516</v>
      </c>
      <c r="H805">
        <v>0</v>
      </c>
      <c r="I805">
        <v>175</v>
      </c>
      <c r="J805">
        <v>341</v>
      </c>
      <c r="K805">
        <v>280</v>
      </c>
      <c r="L805" t="b">
        <v>0</v>
      </c>
      <c r="M805">
        <v>384.58</v>
      </c>
      <c r="N805">
        <v>131143.4</v>
      </c>
      <c r="O805" t="s">
        <v>32</v>
      </c>
    </row>
    <row r="806" spans="1:15">
      <c r="A806" s="1">
        <v>46082</v>
      </c>
      <c r="B806" t="s">
        <v>276</v>
      </c>
      <c r="C806" t="s">
        <v>33</v>
      </c>
      <c r="D806" t="s">
        <v>34</v>
      </c>
      <c r="E806" t="s">
        <v>22</v>
      </c>
      <c r="F806" t="s">
        <v>23</v>
      </c>
      <c r="G806">
        <v>285</v>
      </c>
      <c r="H806">
        <v>0</v>
      </c>
      <c r="I806">
        <v>101</v>
      </c>
      <c r="J806">
        <v>184</v>
      </c>
      <c r="K806">
        <v>163</v>
      </c>
      <c r="L806" t="b">
        <v>0</v>
      </c>
      <c r="M806">
        <v>128.57</v>
      </c>
      <c r="N806">
        <v>23656.240000000002</v>
      </c>
      <c r="O806" t="s">
        <v>24</v>
      </c>
    </row>
    <row r="807" spans="1:15">
      <c r="A807" s="1">
        <v>46082</v>
      </c>
      <c r="B807" t="s">
        <v>276</v>
      </c>
      <c r="C807" t="s">
        <v>35</v>
      </c>
      <c r="D807" t="s">
        <v>36</v>
      </c>
      <c r="E807" t="s">
        <v>22</v>
      </c>
      <c r="F807" t="s">
        <v>23</v>
      </c>
      <c r="G807">
        <v>740</v>
      </c>
      <c r="H807">
        <v>0</v>
      </c>
      <c r="I807">
        <v>138</v>
      </c>
      <c r="J807">
        <v>602</v>
      </c>
      <c r="K807">
        <v>287</v>
      </c>
      <c r="L807" t="b">
        <v>0</v>
      </c>
      <c r="M807">
        <v>530.49</v>
      </c>
      <c r="N807">
        <v>319352.78000000003</v>
      </c>
      <c r="O807" t="s">
        <v>37</v>
      </c>
    </row>
    <row r="808" spans="1:15">
      <c r="A808" s="1">
        <v>46082</v>
      </c>
      <c r="B808" t="s">
        <v>276</v>
      </c>
      <c r="C808" t="s">
        <v>40</v>
      </c>
      <c r="D808" t="s">
        <v>41</v>
      </c>
      <c r="E808" t="s">
        <v>22</v>
      </c>
      <c r="F808" t="s">
        <v>23</v>
      </c>
      <c r="G808">
        <v>127</v>
      </c>
      <c r="H808">
        <v>532</v>
      </c>
      <c r="I808">
        <v>162</v>
      </c>
      <c r="J808">
        <v>497</v>
      </c>
      <c r="K808">
        <v>168</v>
      </c>
      <c r="L808" t="b">
        <v>0</v>
      </c>
      <c r="M808">
        <v>331.94</v>
      </c>
      <c r="N808">
        <v>164972.91</v>
      </c>
      <c r="O808" t="s">
        <v>24</v>
      </c>
    </row>
    <row r="809" spans="1:15">
      <c r="A809" s="1">
        <v>46082</v>
      </c>
      <c r="B809" t="s">
        <v>276</v>
      </c>
      <c r="C809" t="s">
        <v>42</v>
      </c>
      <c r="D809" t="s">
        <v>43</v>
      </c>
      <c r="E809" t="s">
        <v>22</v>
      </c>
      <c r="F809" t="s">
        <v>23</v>
      </c>
      <c r="G809">
        <v>82</v>
      </c>
      <c r="H809">
        <v>231</v>
      </c>
      <c r="I809">
        <v>68</v>
      </c>
      <c r="J809">
        <v>245</v>
      </c>
      <c r="K809">
        <v>106</v>
      </c>
      <c r="L809" t="b">
        <v>0</v>
      </c>
      <c r="M809">
        <v>173.97</v>
      </c>
      <c r="N809">
        <v>42622.65</v>
      </c>
      <c r="O809" t="s">
        <v>44</v>
      </c>
    </row>
    <row r="810" spans="1:15">
      <c r="A810" s="1">
        <v>46082</v>
      </c>
      <c r="B810" t="s">
        <v>276</v>
      </c>
      <c r="C810" t="s">
        <v>45</v>
      </c>
      <c r="D810" t="s">
        <v>46</v>
      </c>
      <c r="E810" t="s">
        <v>22</v>
      </c>
      <c r="F810" t="s">
        <v>23</v>
      </c>
      <c r="G810">
        <v>242</v>
      </c>
      <c r="H810">
        <v>0</v>
      </c>
      <c r="I810">
        <v>161</v>
      </c>
      <c r="J810">
        <v>81</v>
      </c>
      <c r="K810">
        <v>141</v>
      </c>
      <c r="L810" t="b">
        <v>1</v>
      </c>
      <c r="M810">
        <v>754.35</v>
      </c>
      <c r="N810">
        <v>61102.37</v>
      </c>
      <c r="O810" t="s">
        <v>47</v>
      </c>
    </row>
    <row r="811" spans="1:15">
      <c r="A811" s="1">
        <v>46082</v>
      </c>
      <c r="B811" t="s">
        <v>276</v>
      </c>
      <c r="C811" t="s">
        <v>48</v>
      </c>
      <c r="D811" t="s">
        <v>49</v>
      </c>
      <c r="E811" t="s">
        <v>22</v>
      </c>
      <c r="F811" t="s">
        <v>23</v>
      </c>
      <c r="G811">
        <v>63</v>
      </c>
      <c r="H811">
        <v>150</v>
      </c>
      <c r="I811">
        <v>82</v>
      </c>
      <c r="J811">
        <v>131</v>
      </c>
      <c r="K811">
        <v>82</v>
      </c>
      <c r="L811" t="b">
        <v>0</v>
      </c>
      <c r="M811">
        <v>62.14</v>
      </c>
      <c r="N811">
        <v>8140.54</v>
      </c>
      <c r="O811" t="s">
        <v>44</v>
      </c>
    </row>
    <row r="812" spans="1:15">
      <c r="A812" s="1">
        <v>46082</v>
      </c>
      <c r="B812" t="s">
        <v>276</v>
      </c>
      <c r="C812" t="s">
        <v>50</v>
      </c>
      <c r="D812" t="s">
        <v>51</v>
      </c>
      <c r="E812" t="s">
        <v>22</v>
      </c>
      <c r="F812" t="s">
        <v>23</v>
      </c>
      <c r="G812">
        <v>29</v>
      </c>
      <c r="H812">
        <v>55</v>
      </c>
      <c r="I812">
        <v>28</v>
      </c>
      <c r="J812">
        <v>56</v>
      </c>
      <c r="K812">
        <v>28</v>
      </c>
      <c r="L812" t="b">
        <v>0</v>
      </c>
      <c r="M812">
        <v>254.63</v>
      </c>
      <c r="N812">
        <v>14259.05</v>
      </c>
      <c r="O812" t="s">
        <v>24</v>
      </c>
    </row>
    <row r="813" spans="1:15">
      <c r="A813" s="1">
        <v>46082</v>
      </c>
      <c r="B813" t="s">
        <v>276</v>
      </c>
      <c r="C813" t="s">
        <v>52</v>
      </c>
      <c r="D813" t="s">
        <v>53</v>
      </c>
      <c r="E813" t="s">
        <v>22</v>
      </c>
      <c r="F813" t="s">
        <v>23</v>
      </c>
      <c r="G813">
        <v>143</v>
      </c>
      <c r="H813">
        <v>461</v>
      </c>
      <c r="I813">
        <v>99</v>
      </c>
      <c r="J813">
        <v>505</v>
      </c>
      <c r="K813">
        <v>139</v>
      </c>
      <c r="L813" t="b">
        <v>0</v>
      </c>
      <c r="M813">
        <v>60.31</v>
      </c>
      <c r="N813">
        <v>30458.99</v>
      </c>
      <c r="O813" t="s">
        <v>47</v>
      </c>
    </row>
    <row r="814" spans="1:15">
      <c r="A814" s="1">
        <v>46082</v>
      </c>
      <c r="B814" t="s">
        <v>276</v>
      </c>
      <c r="C814" t="s">
        <v>54</v>
      </c>
      <c r="D814" t="s">
        <v>55</v>
      </c>
      <c r="E814" t="s">
        <v>22</v>
      </c>
      <c r="F814" t="s">
        <v>23</v>
      </c>
      <c r="G814">
        <v>181</v>
      </c>
      <c r="H814">
        <v>0</v>
      </c>
      <c r="I814">
        <v>82</v>
      </c>
      <c r="J814">
        <v>99</v>
      </c>
      <c r="K814">
        <v>143</v>
      </c>
      <c r="L814" t="b">
        <v>1</v>
      </c>
      <c r="M814">
        <v>253.98</v>
      </c>
      <c r="N814">
        <v>25144.1</v>
      </c>
      <c r="O814" t="s">
        <v>44</v>
      </c>
    </row>
    <row r="815" spans="1:15">
      <c r="A815" s="1">
        <v>46082</v>
      </c>
      <c r="B815" t="s">
        <v>276</v>
      </c>
      <c r="C815" t="s">
        <v>56</v>
      </c>
      <c r="D815" t="s">
        <v>57</v>
      </c>
      <c r="E815" t="s">
        <v>22</v>
      </c>
      <c r="F815" t="s">
        <v>23</v>
      </c>
      <c r="G815">
        <v>134</v>
      </c>
      <c r="H815">
        <v>0</v>
      </c>
      <c r="I815">
        <v>55</v>
      </c>
      <c r="J815">
        <v>79</v>
      </c>
      <c r="K815">
        <v>82</v>
      </c>
      <c r="L815" t="b">
        <v>1</v>
      </c>
      <c r="M815">
        <v>464.04</v>
      </c>
      <c r="N815">
        <v>36659.410000000003</v>
      </c>
      <c r="O815" t="s">
        <v>24</v>
      </c>
    </row>
    <row r="816" spans="1:15">
      <c r="A816" s="1">
        <v>46082</v>
      </c>
      <c r="B816" t="s">
        <v>276</v>
      </c>
      <c r="C816" t="s">
        <v>58</v>
      </c>
      <c r="D816" t="s">
        <v>59</v>
      </c>
      <c r="E816" t="s">
        <v>22</v>
      </c>
      <c r="F816" t="s">
        <v>23</v>
      </c>
      <c r="G816">
        <v>854</v>
      </c>
      <c r="H816">
        <v>0</v>
      </c>
      <c r="I816">
        <v>264</v>
      </c>
      <c r="J816">
        <v>590</v>
      </c>
      <c r="K816">
        <v>173</v>
      </c>
      <c r="L816" t="b">
        <v>0</v>
      </c>
      <c r="M816">
        <v>2099.83</v>
      </c>
      <c r="N816">
        <v>1238901.6299999999</v>
      </c>
      <c r="O816" t="s">
        <v>60</v>
      </c>
    </row>
    <row r="817" spans="1:15">
      <c r="A817" s="1">
        <v>46082</v>
      </c>
      <c r="B817" t="s">
        <v>276</v>
      </c>
      <c r="C817" t="s">
        <v>61</v>
      </c>
      <c r="D817" t="s">
        <v>62</v>
      </c>
      <c r="E817" t="s">
        <v>22</v>
      </c>
      <c r="F817" t="s">
        <v>23</v>
      </c>
      <c r="G817">
        <v>317</v>
      </c>
      <c r="H817">
        <v>0</v>
      </c>
      <c r="I817">
        <v>228</v>
      </c>
      <c r="J817">
        <v>89</v>
      </c>
      <c r="K817">
        <v>237</v>
      </c>
      <c r="L817" t="b">
        <v>1</v>
      </c>
      <c r="M817">
        <v>23.64</v>
      </c>
      <c r="N817">
        <v>2103.63</v>
      </c>
      <c r="O817" t="s">
        <v>44</v>
      </c>
    </row>
    <row r="818" spans="1:15">
      <c r="A818" s="1">
        <v>46082</v>
      </c>
      <c r="B818" t="s">
        <v>276</v>
      </c>
      <c r="C818" t="s">
        <v>63</v>
      </c>
      <c r="D818" t="s">
        <v>64</v>
      </c>
      <c r="E818" t="s">
        <v>22</v>
      </c>
      <c r="F818" t="s">
        <v>23</v>
      </c>
      <c r="G818">
        <v>443</v>
      </c>
      <c r="H818">
        <v>604</v>
      </c>
      <c r="I818">
        <v>120</v>
      </c>
      <c r="J818">
        <v>927</v>
      </c>
      <c r="K818">
        <v>180</v>
      </c>
      <c r="L818" t="b">
        <v>0</v>
      </c>
      <c r="M818">
        <v>127.52</v>
      </c>
      <c r="N818">
        <v>118213.34</v>
      </c>
      <c r="O818" t="s">
        <v>47</v>
      </c>
    </row>
    <row r="819" spans="1:15">
      <c r="A819" s="1">
        <v>46082</v>
      </c>
      <c r="B819" t="s">
        <v>276</v>
      </c>
      <c r="C819" t="s">
        <v>65</v>
      </c>
      <c r="D819" t="s">
        <v>66</v>
      </c>
      <c r="E819" t="s">
        <v>22</v>
      </c>
      <c r="F819" t="s">
        <v>23</v>
      </c>
      <c r="G819">
        <v>421</v>
      </c>
      <c r="H819">
        <v>327</v>
      </c>
      <c r="I819">
        <v>106</v>
      </c>
      <c r="J819">
        <v>642</v>
      </c>
      <c r="K819">
        <v>110</v>
      </c>
      <c r="L819" t="b">
        <v>0</v>
      </c>
      <c r="M819">
        <v>88.37</v>
      </c>
      <c r="N819">
        <v>56730.9</v>
      </c>
      <c r="O819" t="s">
        <v>44</v>
      </c>
    </row>
    <row r="820" spans="1:15">
      <c r="A820" s="1">
        <v>46082</v>
      </c>
      <c r="B820" t="s">
        <v>276</v>
      </c>
      <c r="C820" t="s">
        <v>67</v>
      </c>
      <c r="D820" t="s">
        <v>68</v>
      </c>
      <c r="E820" t="s">
        <v>22</v>
      </c>
      <c r="F820" t="s">
        <v>23</v>
      </c>
      <c r="G820">
        <v>744</v>
      </c>
      <c r="H820">
        <v>0</v>
      </c>
      <c r="I820">
        <v>253</v>
      </c>
      <c r="J820">
        <v>491</v>
      </c>
      <c r="K820">
        <v>289</v>
      </c>
      <c r="L820" t="b">
        <v>0</v>
      </c>
      <c r="M820">
        <v>375.02</v>
      </c>
      <c r="N820">
        <v>184134.07</v>
      </c>
      <c r="O820" t="s">
        <v>27</v>
      </c>
    </row>
    <row r="821" spans="1:15">
      <c r="A821" s="1">
        <v>46082</v>
      </c>
      <c r="B821" t="s">
        <v>276</v>
      </c>
      <c r="C821" t="s">
        <v>69</v>
      </c>
      <c r="D821" t="s">
        <v>70</v>
      </c>
      <c r="E821" t="s">
        <v>71</v>
      </c>
      <c r="F821" t="s">
        <v>23</v>
      </c>
      <c r="G821">
        <v>140</v>
      </c>
      <c r="H821">
        <v>0</v>
      </c>
      <c r="I821">
        <v>42</v>
      </c>
      <c r="J821">
        <v>98</v>
      </c>
      <c r="K821">
        <v>55</v>
      </c>
      <c r="L821" t="b">
        <v>0</v>
      </c>
      <c r="M821">
        <v>105.49</v>
      </c>
      <c r="N821">
        <v>10337.98</v>
      </c>
      <c r="O821" t="s">
        <v>27</v>
      </c>
    </row>
    <row r="822" spans="1:15">
      <c r="A822" s="1">
        <v>46082</v>
      </c>
      <c r="B822" t="s">
        <v>276</v>
      </c>
      <c r="C822" t="s">
        <v>72</v>
      </c>
      <c r="D822" t="s">
        <v>73</v>
      </c>
      <c r="E822" t="s">
        <v>71</v>
      </c>
      <c r="F822" t="s">
        <v>23</v>
      </c>
      <c r="G822">
        <v>594</v>
      </c>
      <c r="H822">
        <v>0</v>
      </c>
      <c r="I822">
        <v>102</v>
      </c>
      <c r="J822">
        <v>492</v>
      </c>
      <c r="K822">
        <v>144</v>
      </c>
      <c r="L822" t="b">
        <v>0</v>
      </c>
      <c r="M822">
        <v>472.93</v>
      </c>
      <c r="N822">
        <v>232682.42</v>
      </c>
      <c r="O822" t="s">
        <v>60</v>
      </c>
    </row>
    <row r="823" spans="1:15">
      <c r="A823" s="1">
        <v>46082</v>
      </c>
      <c r="B823" t="s">
        <v>276</v>
      </c>
      <c r="C823" t="s">
        <v>74</v>
      </c>
      <c r="D823" t="s">
        <v>75</v>
      </c>
      <c r="E823" t="s">
        <v>71</v>
      </c>
      <c r="F823" t="s">
        <v>23</v>
      </c>
      <c r="G823">
        <v>26</v>
      </c>
      <c r="H823">
        <v>275</v>
      </c>
      <c r="I823">
        <v>99</v>
      </c>
      <c r="J823">
        <v>202</v>
      </c>
      <c r="K823">
        <v>103</v>
      </c>
      <c r="L823" t="b">
        <v>0</v>
      </c>
      <c r="M823">
        <v>225.1</v>
      </c>
      <c r="N823">
        <v>45469.53</v>
      </c>
      <c r="O823" t="s">
        <v>37</v>
      </c>
    </row>
    <row r="824" spans="1:15">
      <c r="A824" s="1">
        <v>46082</v>
      </c>
      <c r="B824" t="s">
        <v>276</v>
      </c>
      <c r="C824" t="s">
        <v>76</v>
      </c>
      <c r="D824" t="s">
        <v>77</v>
      </c>
      <c r="E824" t="s">
        <v>71</v>
      </c>
      <c r="F824" t="s">
        <v>23</v>
      </c>
      <c r="G824">
        <v>25</v>
      </c>
      <c r="H824">
        <v>263</v>
      </c>
      <c r="I824">
        <v>96</v>
      </c>
      <c r="J824">
        <v>192</v>
      </c>
      <c r="K824">
        <v>106</v>
      </c>
      <c r="L824" t="b">
        <v>0</v>
      </c>
      <c r="M824">
        <v>1164.27</v>
      </c>
      <c r="N824">
        <v>223540.35</v>
      </c>
      <c r="O824" t="s">
        <v>37</v>
      </c>
    </row>
    <row r="825" spans="1:15">
      <c r="A825" s="1">
        <v>46082</v>
      </c>
      <c r="B825" t="s">
        <v>276</v>
      </c>
      <c r="C825" t="s">
        <v>78</v>
      </c>
      <c r="D825" t="s">
        <v>79</v>
      </c>
      <c r="E825" t="s">
        <v>71</v>
      </c>
      <c r="F825" t="s">
        <v>23</v>
      </c>
      <c r="G825">
        <v>282</v>
      </c>
      <c r="H825">
        <v>426</v>
      </c>
      <c r="I825">
        <v>220</v>
      </c>
      <c r="J825">
        <v>488</v>
      </c>
      <c r="K825">
        <v>212</v>
      </c>
      <c r="L825" t="b">
        <v>0</v>
      </c>
      <c r="M825">
        <v>355.89</v>
      </c>
      <c r="N825">
        <v>173671.9</v>
      </c>
      <c r="O825" t="s">
        <v>47</v>
      </c>
    </row>
    <row r="826" spans="1:15">
      <c r="A826" s="1">
        <v>46082</v>
      </c>
      <c r="B826" t="s">
        <v>276</v>
      </c>
      <c r="C826" t="s">
        <v>82</v>
      </c>
      <c r="D826" t="s">
        <v>83</v>
      </c>
      <c r="E826" t="s">
        <v>71</v>
      </c>
      <c r="F826" t="s">
        <v>23</v>
      </c>
      <c r="G826">
        <v>395</v>
      </c>
      <c r="H826">
        <v>0</v>
      </c>
      <c r="I826">
        <v>158</v>
      </c>
      <c r="J826">
        <v>237</v>
      </c>
      <c r="K826">
        <v>272</v>
      </c>
      <c r="L826" t="b">
        <v>1</v>
      </c>
      <c r="M826">
        <v>1866.88</v>
      </c>
      <c r="N826">
        <v>442450.39</v>
      </c>
      <c r="O826" t="s">
        <v>37</v>
      </c>
    </row>
    <row r="827" spans="1:15">
      <c r="A827" s="1">
        <v>46082</v>
      </c>
      <c r="B827" t="s">
        <v>276</v>
      </c>
      <c r="C827" t="s">
        <v>86</v>
      </c>
      <c r="D827" t="s">
        <v>87</v>
      </c>
      <c r="E827" t="s">
        <v>71</v>
      </c>
      <c r="F827" t="s">
        <v>23</v>
      </c>
      <c r="G827">
        <v>106</v>
      </c>
      <c r="H827">
        <v>0</v>
      </c>
      <c r="I827">
        <v>32</v>
      </c>
      <c r="J827">
        <v>74</v>
      </c>
      <c r="K827">
        <v>41</v>
      </c>
      <c r="L827" t="b">
        <v>0</v>
      </c>
      <c r="M827">
        <v>42.26</v>
      </c>
      <c r="N827">
        <v>3126.98</v>
      </c>
      <c r="O827" t="s">
        <v>60</v>
      </c>
    </row>
    <row r="828" spans="1:15">
      <c r="A828" s="1">
        <v>46082</v>
      </c>
      <c r="B828" t="s">
        <v>276</v>
      </c>
      <c r="C828" t="s">
        <v>88</v>
      </c>
      <c r="D828" t="s">
        <v>89</v>
      </c>
      <c r="E828" t="s">
        <v>71</v>
      </c>
      <c r="F828" t="s">
        <v>23</v>
      </c>
      <c r="G828">
        <v>41</v>
      </c>
      <c r="H828">
        <v>248</v>
      </c>
      <c r="I828">
        <v>78</v>
      </c>
      <c r="J828">
        <v>211</v>
      </c>
      <c r="K828">
        <v>79</v>
      </c>
      <c r="L828" t="b">
        <v>0</v>
      </c>
      <c r="M828">
        <v>198.32</v>
      </c>
      <c r="N828">
        <v>41845</v>
      </c>
      <c r="O828" t="s">
        <v>32</v>
      </c>
    </row>
    <row r="829" spans="1:15">
      <c r="A829" s="1">
        <v>46082</v>
      </c>
      <c r="B829" t="s">
        <v>276</v>
      </c>
      <c r="C829" t="s">
        <v>245</v>
      </c>
      <c r="D829" t="s">
        <v>246</v>
      </c>
      <c r="E829" t="s">
        <v>71</v>
      </c>
      <c r="F829" t="s">
        <v>23</v>
      </c>
      <c r="G829">
        <v>721</v>
      </c>
      <c r="H829">
        <v>0</v>
      </c>
      <c r="I829">
        <v>200</v>
      </c>
      <c r="J829">
        <v>521</v>
      </c>
      <c r="K829">
        <v>248</v>
      </c>
      <c r="L829" t="b">
        <v>0</v>
      </c>
      <c r="M829">
        <v>7971.42</v>
      </c>
      <c r="N829">
        <v>4153109.52</v>
      </c>
      <c r="O829" t="s">
        <v>27</v>
      </c>
    </row>
    <row r="830" spans="1:15">
      <c r="A830" s="1">
        <v>46082</v>
      </c>
      <c r="B830" t="s">
        <v>276</v>
      </c>
      <c r="C830" t="s">
        <v>94</v>
      </c>
      <c r="D830" t="s">
        <v>95</v>
      </c>
      <c r="E830" t="s">
        <v>71</v>
      </c>
      <c r="F830" t="s">
        <v>23</v>
      </c>
      <c r="G830">
        <v>71</v>
      </c>
      <c r="H830">
        <v>0</v>
      </c>
      <c r="I830">
        <v>20</v>
      </c>
      <c r="J830">
        <v>51</v>
      </c>
      <c r="K830">
        <v>21</v>
      </c>
      <c r="L830" t="b">
        <v>0</v>
      </c>
      <c r="M830">
        <v>1095.17</v>
      </c>
      <c r="N830">
        <v>55853.9</v>
      </c>
      <c r="O830" t="s">
        <v>32</v>
      </c>
    </row>
    <row r="831" spans="1:15">
      <c r="A831" s="1">
        <v>46082</v>
      </c>
      <c r="B831" t="s">
        <v>276</v>
      </c>
      <c r="C831" t="s">
        <v>96</v>
      </c>
      <c r="D831" t="s">
        <v>97</v>
      </c>
      <c r="E831" t="s">
        <v>71</v>
      </c>
      <c r="F831" t="s">
        <v>23</v>
      </c>
      <c r="G831">
        <v>48</v>
      </c>
      <c r="H831">
        <v>81</v>
      </c>
      <c r="I831">
        <v>47</v>
      </c>
      <c r="J831">
        <v>82</v>
      </c>
      <c r="K831">
        <v>39</v>
      </c>
      <c r="L831" t="b">
        <v>0</v>
      </c>
      <c r="M831">
        <v>707.59</v>
      </c>
      <c r="N831">
        <v>58022.09</v>
      </c>
      <c r="O831" t="s">
        <v>98</v>
      </c>
    </row>
    <row r="832" spans="1:15">
      <c r="A832" s="1">
        <v>46082</v>
      </c>
      <c r="B832" t="s">
        <v>276</v>
      </c>
      <c r="C832" t="s">
        <v>99</v>
      </c>
      <c r="D832" t="s">
        <v>100</v>
      </c>
      <c r="E832" t="s">
        <v>71</v>
      </c>
      <c r="F832" t="s">
        <v>23</v>
      </c>
      <c r="G832">
        <v>58</v>
      </c>
      <c r="H832">
        <v>450</v>
      </c>
      <c r="I832">
        <v>143</v>
      </c>
      <c r="J832">
        <v>365</v>
      </c>
      <c r="K832">
        <v>256</v>
      </c>
      <c r="L832" t="b">
        <v>0</v>
      </c>
      <c r="M832">
        <v>2980.78</v>
      </c>
      <c r="N832">
        <v>1087986.21</v>
      </c>
      <c r="O832" t="s">
        <v>47</v>
      </c>
    </row>
    <row r="833" spans="1:15">
      <c r="A833" s="1">
        <v>46082</v>
      </c>
      <c r="B833" t="s">
        <v>276</v>
      </c>
      <c r="C833" t="s">
        <v>101</v>
      </c>
      <c r="D833" t="s">
        <v>102</v>
      </c>
      <c r="E833" t="s">
        <v>71</v>
      </c>
      <c r="F833" t="s">
        <v>23</v>
      </c>
      <c r="G833">
        <v>278</v>
      </c>
      <c r="H833">
        <v>0</v>
      </c>
      <c r="I833">
        <v>164</v>
      </c>
      <c r="J833">
        <v>114</v>
      </c>
      <c r="K833">
        <v>204</v>
      </c>
      <c r="L833" t="b">
        <v>1</v>
      </c>
      <c r="M833">
        <v>56.83</v>
      </c>
      <c r="N833">
        <v>6478.28</v>
      </c>
      <c r="O833" t="s">
        <v>32</v>
      </c>
    </row>
    <row r="834" spans="1:15">
      <c r="A834" s="1">
        <v>46082</v>
      </c>
      <c r="B834" t="s">
        <v>276</v>
      </c>
      <c r="C834" t="s">
        <v>247</v>
      </c>
      <c r="D834" t="s">
        <v>248</v>
      </c>
      <c r="E834" t="s">
        <v>71</v>
      </c>
      <c r="F834" t="s">
        <v>23</v>
      </c>
      <c r="G834">
        <v>77</v>
      </c>
      <c r="H834">
        <v>0</v>
      </c>
      <c r="I834">
        <v>49</v>
      </c>
      <c r="J834">
        <v>28</v>
      </c>
      <c r="K834">
        <v>38</v>
      </c>
      <c r="L834" t="b">
        <v>1</v>
      </c>
      <c r="M834">
        <v>284.04000000000002</v>
      </c>
      <c r="N834">
        <v>7952.99</v>
      </c>
      <c r="O834" t="s">
        <v>32</v>
      </c>
    </row>
    <row r="835" spans="1:15">
      <c r="A835" s="1">
        <v>46082</v>
      </c>
      <c r="B835" t="s">
        <v>276</v>
      </c>
      <c r="C835" t="s">
        <v>103</v>
      </c>
      <c r="D835" t="s">
        <v>104</v>
      </c>
      <c r="E835" t="s">
        <v>71</v>
      </c>
      <c r="F835" t="s">
        <v>23</v>
      </c>
      <c r="G835">
        <v>157</v>
      </c>
      <c r="H835">
        <v>0</v>
      </c>
      <c r="I835">
        <v>64</v>
      </c>
      <c r="J835">
        <v>93</v>
      </c>
      <c r="K835">
        <v>118</v>
      </c>
      <c r="L835" t="b">
        <v>1</v>
      </c>
      <c r="M835">
        <v>527.07000000000005</v>
      </c>
      <c r="N835">
        <v>49017.48</v>
      </c>
      <c r="O835" t="s">
        <v>98</v>
      </c>
    </row>
    <row r="836" spans="1:15">
      <c r="A836" s="1">
        <v>46082</v>
      </c>
      <c r="B836" t="s">
        <v>276</v>
      </c>
      <c r="C836" t="s">
        <v>105</v>
      </c>
      <c r="D836" t="s">
        <v>106</v>
      </c>
      <c r="E836" t="s">
        <v>71</v>
      </c>
      <c r="F836" t="s">
        <v>23</v>
      </c>
      <c r="G836">
        <v>83</v>
      </c>
      <c r="H836">
        <v>473</v>
      </c>
      <c r="I836">
        <v>131</v>
      </c>
      <c r="J836">
        <v>425</v>
      </c>
      <c r="K836">
        <v>144</v>
      </c>
      <c r="L836" t="b">
        <v>0</v>
      </c>
      <c r="M836">
        <v>2524.4899999999998</v>
      </c>
      <c r="N836">
        <v>1072909.5900000001</v>
      </c>
      <c r="O836" t="s">
        <v>32</v>
      </c>
    </row>
    <row r="837" spans="1:15">
      <c r="A837" s="1">
        <v>46082</v>
      </c>
      <c r="B837" t="s">
        <v>276</v>
      </c>
      <c r="C837" t="s">
        <v>107</v>
      </c>
      <c r="D837" t="s">
        <v>108</v>
      </c>
      <c r="E837" t="s">
        <v>109</v>
      </c>
      <c r="F837" t="s">
        <v>110</v>
      </c>
      <c r="G837">
        <v>152</v>
      </c>
      <c r="H837">
        <v>655</v>
      </c>
      <c r="I837">
        <v>199</v>
      </c>
      <c r="J837">
        <v>608</v>
      </c>
      <c r="K837">
        <v>166</v>
      </c>
      <c r="L837" t="b">
        <v>0</v>
      </c>
      <c r="M837">
        <v>99.55</v>
      </c>
      <c r="N837">
        <v>60525.55</v>
      </c>
      <c r="O837" t="s">
        <v>24</v>
      </c>
    </row>
    <row r="838" spans="1:15">
      <c r="A838" s="1">
        <v>46082</v>
      </c>
      <c r="B838" t="s">
        <v>276</v>
      </c>
      <c r="C838" t="s">
        <v>111</v>
      </c>
      <c r="D838" t="s">
        <v>112</v>
      </c>
      <c r="E838" t="s">
        <v>109</v>
      </c>
      <c r="F838" t="s">
        <v>110</v>
      </c>
      <c r="G838">
        <v>108</v>
      </c>
      <c r="H838">
        <v>0</v>
      </c>
      <c r="I838">
        <v>26</v>
      </c>
      <c r="J838">
        <v>82</v>
      </c>
      <c r="K838">
        <v>37</v>
      </c>
      <c r="L838" t="b">
        <v>0</v>
      </c>
      <c r="M838">
        <v>445.62</v>
      </c>
      <c r="N838">
        <v>36540.74</v>
      </c>
      <c r="O838" t="s">
        <v>98</v>
      </c>
    </row>
    <row r="839" spans="1:15">
      <c r="A839" s="1">
        <v>46082</v>
      </c>
      <c r="B839" t="s">
        <v>276</v>
      </c>
      <c r="C839" t="s">
        <v>113</v>
      </c>
      <c r="D839" t="s">
        <v>114</v>
      </c>
      <c r="E839" t="s">
        <v>109</v>
      </c>
      <c r="F839" t="s">
        <v>110</v>
      </c>
      <c r="G839">
        <v>299</v>
      </c>
      <c r="H839">
        <v>0</v>
      </c>
      <c r="I839">
        <v>75</v>
      </c>
      <c r="J839">
        <v>224</v>
      </c>
      <c r="K839">
        <v>142</v>
      </c>
      <c r="L839" t="b">
        <v>0</v>
      </c>
      <c r="M839">
        <v>136.56</v>
      </c>
      <c r="N839">
        <v>30589.85</v>
      </c>
      <c r="O839" t="s">
        <v>27</v>
      </c>
    </row>
    <row r="840" spans="1:15">
      <c r="A840" s="1">
        <v>46082</v>
      </c>
      <c r="B840" t="s">
        <v>276</v>
      </c>
      <c r="C840" t="s">
        <v>115</v>
      </c>
      <c r="D840" t="s">
        <v>116</v>
      </c>
      <c r="E840" t="s">
        <v>109</v>
      </c>
      <c r="F840" t="s">
        <v>110</v>
      </c>
      <c r="G840">
        <v>57</v>
      </c>
      <c r="H840">
        <v>400</v>
      </c>
      <c r="I840">
        <v>71</v>
      </c>
      <c r="J840">
        <v>386</v>
      </c>
      <c r="K840">
        <v>107</v>
      </c>
      <c r="L840" t="b">
        <v>0</v>
      </c>
      <c r="M840">
        <v>655.85</v>
      </c>
      <c r="N840">
        <v>253158.56</v>
      </c>
      <c r="O840" t="s">
        <v>44</v>
      </c>
    </row>
    <row r="841" spans="1:15">
      <c r="A841" s="1">
        <v>46082</v>
      </c>
      <c r="B841" t="s">
        <v>276</v>
      </c>
      <c r="C841" t="s">
        <v>119</v>
      </c>
      <c r="D841" t="s">
        <v>120</v>
      </c>
      <c r="E841" t="s">
        <v>109</v>
      </c>
      <c r="F841" t="s">
        <v>110</v>
      </c>
      <c r="G841">
        <v>55</v>
      </c>
      <c r="H841">
        <v>0</v>
      </c>
      <c r="I841">
        <v>21</v>
      </c>
      <c r="J841">
        <v>34</v>
      </c>
      <c r="K841">
        <v>38</v>
      </c>
      <c r="L841" t="b">
        <v>1</v>
      </c>
      <c r="M841">
        <v>201</v>
      </c>
      <c r="N841">
        <v>6833.86</v>
      </c>
      <c r="O841" t="s">
        <v>32</v>
      </c>
    </row>
    <row r="842" spans="1:15">
      <c r="A842" s="1">
        <v>46082</v>
      </c>
      <c r="B842" t="s">
        <v>276</v>
      </c>
      <c r="C842" t="s">
        <v>123</v>
      </c>
      <c r="D842" t="s">
        <v>124</v>
      </c>
      <c r="E842" t="s">
        <v>109</v>
      </c>
      <c r="F842" t="s">
        <v>110</v>
      </c>
      <c r="G842">
        <v>376</v>
      </c>
      <c r="H842">
        <v>0</v>
      </c>
      <c r="I842">
        <v>144</v>
      </c>
      <c r="J842">
        <v>232</v>
      </c>
      <c r="K842">
        <v>134</v>
      </c>
      <c r="L842" t="b">
        <v>0</v>
      </c>
      <c r="M842">
        <v>174.01</v>
      </c>
      <c r="N842">
        <v>40369.480000000003</v>
      </c>
      <c r="O842" t="s">
        <v>24</v>
      </c>
    </row>
    <row r="843" spans="1:15">
      <c r="A843" s="1">
        <v>46082</v>
      </c>
      <c r="B843" t="s">
        <v>276</v>
      </c>
      <c r="C843" t="s">
        <v>125</v>
      </c>
      <c r="D843" t="s">
        <v>126</v>
      </c>
      <c r="E843" t="s">
        <v>109</v>
      </c>
      <c r="F843" t="s">
        <v>110</v>
      </c>
      <c r="G843">
        <v>112</v>
      </c>
      <c r="H843">
        <v>489</v>
      </c>
      <c r="I843">
        <v>147</v>
      </c>
      <c r="J843">
        <v>454</v>
      </c>
      <c r="K843">
        <v>235</v>
      </c>
      <c r="L843" t="b">
        <v>0</v>
      </c>
      <c r="M843">
        <v>144.72999999999999</v>
      </c>
      <c r="N843">
        <v>65709.149999999994</v>
      </c>
      <c r="O843" t="s">
        <v>47</v>
      </c>
    </row>
    <row r="844" spans="1:15">
      <c r="A844" s="1">
        <v>46082</v>
      </c>
      <c r="B844" t="s">
        <v>276</v>
      </c>
      <c r="C844" t="s">
        <v>127</v>
      </c>
      <c r="D844" t="s">
        <v>128</v>
      </c>
      <c r="E844" t="s">
        <v>109</v>
      </c>
      <c r="F844" t="s">
        <v>110</v>
      </c>
      <c r="G844">
        <v>425</v>
      </c>
      <c r="H844">
        <v>0</v>
      </c>
      <c r="I844">
        <v>202</v>
      </c>
      <c r="J844">
        <v>223</v>
      </c>
      <c r="K844">
        <v>202</v>
      </c>
      <c r="L844" t="b">
        <v>0</v>
      </c>
      <c r="M844">
        <v>607.57000000000005</v>
      </c>
      <c r="N844">
        <v>135487.66</v>
      </c>
      <c r="O844" t="s">
        <v>44</v>
      </c>
    </row>
    <row r="845" spans="1:15">
      <c r="A845" s="1">
        <v>46082</v>
      </c>
      <c r="B845" t="s">
        <v>276</v>
      </c>
      <c r="C845" t="s">
        <v>129</v>
      </c>
      <c r="D845" t="s">
        <v>130</v>
      </c>
      <c r="E845" t="s">
        <v>109</v>
      </c>
      <c r="F845" t="s">
        <v>110</v>
      </c>
      <c r="G845">
        <v>146</v>
      </c>
      <c r="H845">
        <v>60</v>
      </c>
      <c r="I845">
        <v>38</v>
      </c>
      <c r="J845">
        <v>168</v>
      </c>
      <c r="K845">
        <v>41</v>
      </c>
      <c r="L845" t="b">
        <v>0</v>
      </c>
      <c r="M845">
        <v>387.2</v>
      </c>
      <c r="N845">
        <v>65050.17</v>
      </c>
      <c r="O845" t="s">
        <v>32</v>
      </c>
    </row>
    <row r="846" spans="1:15">
      <c r="A846" s="1">
        <v>46082</v>
      </c>
      <c r="B846" t="s">
        <v>276</v>
      </c>
      <c r="C846" t="s">
        <v>131</v>
      </c>
      <c r="D846" t="s">
        <v>132</v>
      </c>
      <c r="E846" t="s">
        <v>109</v>
      </c>
      <c r="F846" t="s">
        <v>110</v>
      </c>
      <c r="G846">
        <v>172</v>
      </c>
      <c r="H846">
        <v>659</v>
      </c>
      <c r="I846">
        <v>172</v>
      </c>
      <c r="J846">
        <v>659</v>
      </c>
      <c r="K846">
        <v>169</v>
      </c>
      <c r="L846" t="b">
        <v>0</v>
      </c>
      <c r="M846">
        <v>2041.74</v>
      </c>
      <c r="N846">
        <v>1345503.72</v>
      </c>
      <c r="O846" t="s">
        <v>24</v>
      </c>
    </row>
    <row r="847" spans="1:15">
      <c r="A847" s="1">
        <v>46082</v>
      </c>
      <c r="B847" t="s">
        <v>276</v>
      </c>
      <c r="C847" t="s">
        <v>133</v>
      </c>
      <c r="D847" t="s">
        <v>134</v>
      </c>
      <c r="E847" t="s">
        <v>109</v>
      </c>
      <c r="F847" t="s">
        <v>110</v>
      </c>
      <c r="G847">
        <v>278</v>
      </c>
      <c r="H847">
        <v>481</v>
      </c>
      <c r="I847">
        <v>227</v>
      </c>
      <c r="J847">
        <v>532</v>
      </c>
      <c r="K847">
        <v>255</v>
      </c>
      <c r="L847" t="b">
        <v>0</v>
      </c>
      <c r="M847">
        <v>21.86</v>
      </c>
      <c r="N847">
        <v>11627.99</v>
      </c>
      <c r="O847" t="s">
        <v>98</v>
      </c>
    </row>
    <row r="848" spans="1:15">
      <c r="A848" s="1">
        <v>46082</v>
      </c>
      <c r="B848" t="s">
        <v>276</v>
      </c>
      <c r="C848" t="s">
        <v>135</v>
      </c>
      <c r="D848" t="s">
        <v>136</v>
      </c>
      <c r="E848" t="s">
        <v>109</v>
      </c>
      <c r="F848" t="s">
        <v>110</v>
      </c>
      <c r="G848">
        <v>444</v>
      </c>
      <c r="H848">
        <v>0</v>
      </c>
      <c r="I848">
        <v>168</v>
      </c>
      <c r="J848">
        <v>276</v>
      </c>
      <c r="K848">
        <v>233</v>
      </c>
      <c r="L848" t="b">
        <v>0</v>
      </c>
      <c r="M848">
        <v>109.94</v>
      </c>
      <c r="N848">
        <v>30343.97</v>
      </c>
      <c r="O848" t="s">
        <v>32</v>
      </c>
    </row>
    <row r="849" spans="1:15">
      <c r="A849" s="1">
        <v>46082</v>
      </c>
      <c r="B849" t="s">
        <v>276</v>
      </c>
      <c r="C849" t="s">
        <v>137</v>
      </c>
      <c r="D849" t="s">
        <v>138</v>
      </c>
      <c r="E849" t="s">
        <v>109</v>
      </c>
      <c r="F849" t="s">
        <v>110</v>
      </c>
      <c r="G849">
        <v>167</v>
      </c>
      <c r="H849">
        <v>0</v>
      </c>
      <c r="I849">
        <v>72</v>
      </c>
      <c r="J849">
        <v>95</v>
      </c>
      <c r="K849">
        <v>117</v>
      </c>
      <c r="L849" t="b">
        <v>1</v>
      </c>
      <c r="M849">
        <v>61.18</v>
      </c>
      <c r="N849">
        <v>5812.07</v>
      </c>
      <c r="O849" t="s">
        <v>27</v>
      </c>
    </row>
    <row r="850" spans="1:15">
      <c r="A850" s="1">
        <v>46082</v>
      </c>
      <c r="B850" t="s">
        <v>276</v>
      </c>
      <c r="C850" t="s">
        <v>139</v>
      </c>
      <c r="D850" t="s">
        <v>140</v>
      </c>
      <c r="E850" t="s">
        <v>109</v>
      </c>
      <c r="F850" t="s">
        <v>110</v>
      </c>
      <c r="G850">
        <v>59</v>
      </c>
      <c r="H850">
        <v>479</v>
      </c>
      <c r="I850">
        <v>94</v>
      </c>
      <c r="J850">
        <v>444</v>
      </c>
      <c r="K850">
        <v>155</v>
      </c>
      <c r="L850" t="b">
        <v>0</v>
      </c>
      <c r="M850">
        <v>278.89999999999998</v>
      </c>
      <c r="N850">
        <v>123829.52</v>
      </c>
      <c r="O850" t="s">
        <v>32</v>
      </c>
    </row>
    <row r="851" spans="1:15">
      <c r="A851" s="1">
        <v>46082</v>
      </c>
      <c r="B851" t="s">
        <v>276</v>
      </c>
      <c r="C851" t="s">
        <v>141</v>
      </c>
      <c r="D851" t="s">
        <v>142</v>
      </c>
      <c r="E851" t="s">
        <v>109</v>
      </c>
      <c r="F851" t="s">
        <v>110</v>
      </c>
      <c r="G851">
        <v>418</v>
      </c>
      <c r="H851">
        <v>0</v>
      </c>
      <c r="I851">
        <v>94</v>
      </c>
      <c r="J851">
        <v>324</v>
      </c>
      <c r="K851">
        <v>161</v>
      </c>
      <c r="L851" t="b">
        <v>0</v>
      </c>
      <c r="M851">
        <v>81.819999999999993</v>
      </c>
      <c r="N851">
        <v>26510.38</v>
      </c>
      <c r="O851" t="s">
        <v>37</v>
      </c>
    </row>
    <row r="852" spans="1:15">
      <c r="A852" s="1">
        <v>46082</v>
      </c>
      <c r="B852" t="s">
        <v>276</v>
      </c>
      <c r="C852" t="s">
        <v>145</v>
      </c>
      <c r="D852" t="s">
        <v>146</v>
      </c>
      <c r="E852" t="s">
        <v>109</v>
      </c>
      <c r="F852" t="s">
        <v>110</v>
      </c>
      <c r="G852">
        <v>22</v>
      </c>
      <c r="H852">
        <v>46</v>
      </c>
      <c r="I852">
        <v>18</v>
      </c>
      <c r="J852">
        <v>50</v>
      </c>
      <c r="K852">
        <v>19</v>
      </c>
      <c r="L852" t="b">
        <v>0</v>
      </c>
      <c r="M852">
        <v>66.13</v>
      </c>
      <c r="N852">
        <v>3306.61</v>
      </c>
      <c r="O852" t="s">
        <v>37</v>
      </c>
    </row>
    <row r="853" spans="1:15">
      <c r="A853" s="1">
        <v>46082</v>
      </c>
      <c r="B853" t="s">
        <v>276</v>
      </c>
      <c r="C853" t="s">
        <v>147</v>
      </c>
      <c r="D853" t="s">
        <v>148</v>
      </c>
      <c r="E853" t="s">
        <v>109</v>
      </c>
      <c r="F853" t="s">
        <v>110</v>
      </c>
      <c r="G853">
        <v>489</v>
      </c>
      <c r="H853">
        <v>0</v>
      </c>
      <c r="I853">
        <v>113</v>
      </c>
      <c r="J853">
        <v>376</v>
      </c>
      <c r="K853">
        <v>170</v>
      </c>
      <c r="L853" t="b">
        <v>0</v>
      </c>
      <c r="M853">
        <v>292.43</v>
      </c>
      <c r="N853">
        <v>109952.3</v>
      </c>
      <c r="O853" t="s">
        <v>98</v>
      </c>
    </row>
    <row r="854" spans="1:15">
      <c r="A854" s="1">
        <v>46082</v>
      </c>
      <c r="B854" t="s">
        <v>276</v>
      </c>
      <c r="C854" t="s">
        <v>149</v>
      </c>
      <c r="D854" t="s">
        <v>150</v>
      </c>
      <c r="E854" t="s">
        <v>151</v>
      </c>
      <c r="F854" t="s">
        <v>23</v>
      </c>
      <c r="G854">
        <v>129</v>
      </c>
      <c r="H854">
        <v>0</v>
      </c>
      <c r="I854">
        <v>49</v>
      </c>
      <c r="J854">
        <v>80</v>
      </c>
      <c r="K854">
        <v>104</v>
      </c>
      <c r="L854" t="b">
        <v>1</v>
      </c>
      <c r="M854">
        <v>242.64</v>
      </c>
      <c r="N854">
        <v>19411.48</v>
      </c>
      <c r="O854" t="s">
        <v>32</v>
      </c>
    </row>
    <row r="855" spans="1:15">
      <c r="A855" s="1">
        <v>46082</v>
      </c>
      <c r="B855" t="s">
        <v>276</v>
      </c>
      <c r="C855" t="s">
        <v>152</v>
      </c>
      <c r="D855" t="s">
        <v>153</v>
      </c>
      <c r="E855" t="s">
        <v>151</v>
      </c>
      <c r="F855" t="s">
        <v>23</v>
      </c>
      <c r="G855">
        <v>325</v>
      </c>
      <c r="H855">
        <v>0</v>
      </c>
      <c r="I855">
        <v>194</v>
      </c>
      <c r="J855">
        <v>131</v>
      </c>
      <c r="K855">
        <v>197</v>
      </c>
      <c r="L855" t="b">
        <v>1</v>
      </c>
      <c r="M855">
        <v>1290.54</v>
      </c>
      <c r="N855">
        <v>169060.27</v>
      </c>
      <c r="O855" t="s">
        <v>98</v>
      </c>
    </row>
    <row r="856" spans="1:15">
      <c r="A856" s="1">
        <v>46082</v>
      </c>
      <c r="B856" t="s">
        <v>276</v>
      </c>
      <c r="C856" t="s">
        <v>154</v>
      </c>
      <c r="D856" t="s">
        <v>155</v>
      </c>
      <c r="E856" t="s">
        <v>151</v>
      </c>
      <c r="F856" t="s">
        <v>23</v>
      </c>
      <c r="G856">
        <v>2</v>
      </c>
      <c r="H856">
        <v>38</v>
      </c>
      <c r="I856">
        <v>24</v>
      </c>
      <c r="J856">
        <v>16</v>
      </c>
      <c r="K856">
        <v>17</v>
      </c>
      <c r="L856" t="b">
        <v>1</v>
      </c>
      <c r="M856">
        <v>291.94</v>
      </c>
      <c r="N856">
        <v>4671.01</v>
      </c>
      <c r="O856" t="s">
        <v>60</v>
      </c>
    </row>
    <row r="857" spans="1:15">
      <c r="A857" s="1">
        <v>46082</v>
      </c>
      <c r="B857" t="s">
        <v>276</v>
      </c>
      <c r="C857" t="s">
        <v>156</v>
      </c>
      <c r="D857" t="s">
        <v>157</v>
      </c>
      <c r="E857" t="s">
        <v>151</v>
      </c>
      <c r="F857" t="s">
        <v>23</v>
      </c>
      <c r="G857">
        <v>345</v>
      </c>
      <c r="H857">
        <v>0</v>
      </c>
      <c r="I857">
        <v>177</v>
      </c>
      <c r="J857">
        <v>168</v>
      </c>
      <c r="K857">
        <v>177</v>
      </c>
      <c r="L857" t="b">
        <v>1</v>
      </c>
      <c r="M857">
        <v>1550.75</v>
      </c>
      <c r="N857">
        <v>260525.76</v>
      </c>
      <c r="O857" t="s">
        <v>32</v>
      </c>
    </row>
    <row r="858" spans="1:15">
      <c r="A858" s="1">
        <v>46082</v>
      </c>
      <c r="B858" t="s">
        <v>276</v>
      </c>
      <c r="C858" t="s">
        <v>158</v>
      </c>
      <c r="D858" t="s">
        <v>159</v>
      </c>
      <c r="E858" t="s">
        <v>151</v>
      </c>
      <c r="F858" t="s">
        <v>23</v>
      </c>
      <c r="G858">
        <v>20</v>
      </c>
      <c r="H858">
        <v>291</v>
      </c>
      <c r="I858">
        <v>135</v>
      </c>
      <c r="J858">
        <v>176</v>
      </c>
      <c r="K858">
        <v>93</v>
      </c>
      <c r="L858" t="b">
        <v>0</v>
      </c>
      <c r="M858">
        <v>48.42</v>
      </c>
      <c r="N858">
        <v>8522.15</v>
      </c>
      <c r="O858" t="s">
        <v>37</v>
      </c>
    </row>
    <row r="859" spans="1:15">
      <c r="A859" s="1">
        <v>46082</v>
      </c>
      <c r="B859" t="s">
        <v>276</v>
      </c>
      <c r="C859" t="s">
        <v>160</v>
      </c>
      <c r="D859" t="s">
        <v>161</v>
      </c>
      <c r="E859" t="s">
        <v>151</v>
      </c>
      <c r="F859" t="s">
        <v>23</v>
      </c>
      <c r="G859">
        <v>9</v>
      </c>
      <c r="H859">
        <v>89</v>
      </c>
      <c r="I859">
        <v>33</v>
      </c>
      <c r="J859">
        <v>65</v>
      </c>
      <c r="K859">
        <v>30</v>
      </c>
      <c r="L859" t="b">
        <v>0</v>
      </c>
      <c r="M859">
        <v>221.95</v>
      </c>
      <c r="N859">
        <v>14426.6</v>
      </c>
      <c r="O859" t="s">
        <v>24</v>
      </c>
    </row>
    <row r="860" spans="1:15">
      <c r="A860" s="1">
        <v>46082</v>
      </c>
      <c r="B860" t="s">
        <v>276</v>
      </c>
      <c r="C860" t="s">
        <v>162</v>
      </c>
      <c r="D860" t="s">
        <v>163</v>
      </c>
      <c r="E860" t="s">
        <v>151</v>
      </c>
      <c r="F860" t="s">
        <v>23</v>
      </c>
      <c r="G860">
        <v>177</v>
      </c>
      <c r="H860">
        <v>329</v>
      </c>
      <c r="I860">
        <v>179</v>
      </c>
      <c r="J860">
        <v>327</v>
      </c>
      <c r="K860">
        <v>168</v>
      </c>
      <c r="L860" t="b">
        <v>0</v>
      </c>
      <c r="M860">
        <v>217.38</v>
      </c>
      <c r="N860">
        <v>71082.91</v>
      </c>
      <c r="O860" t="s">
        <v>37</v>
      </c>
    </row>
    <row r="861" spans="1:15">
      <c r="A861" s="1">
        <v>46082</v>
      </c>
      <c r="B861" t="s">
        <v>276</v>
      </c>
      <c r="C861" t="s">
        <v>166</v>
      </c>
      <c r="D861" t="s">
        <v>167</v>
      </c>
      <c r="E861" t="s">
        <v>151</v>
      </c>
      <c r="F861" t="s">
        <v>23</v>
      </c>
      <c r="G861">
        <v>8</v>
      </c>
      <c r="H861">
        <v>208</v>
      </c>
      <c r="I861">
        <v>89</v>
      </c>
      <c r="J861">
        <v>127</v>
      </c>
      <c r="K861">
        <v>81</v>
      </c>
      <c r="L861" t="b">
        <v>0</v>
      </c>
      <c r="M861">
        <v>145.55000000000001</v>
      </c>
      <c r="N861">
        <v>18485.27</v>
      </c>
      <c r="O861" t="s">
        <v>44</v>
      </c>
    </row>
    <row r="862" spans="1:15">
      <c r="A862" s="1">
        <v>46082</v>
      </c>
      <c r="B862" t="s">
        <v>276</v>
      </c>
      <c r="C862" t="s">
        <v>249</v>
      </c>
      <c r="D862" t="s">
        <v>250</v>
      </c>
      <c r="E862" t="s">
        <v>151</v>
      </c>
      <c r="F862" t="s">
        <v>23</v>
      </c>
      <c r="G862">
        <v>207</v>
      </c>
      <c r="H862">
        <v>0</v>
      </c>
      <c r="I862">
        <v>54</v>
      </c>
      <c r="J862">
        <v>153</v>
      </c>
      <c r="K862">
        <v>60</v>
      </c>
      <c r="L862" t="b">
        <v>0</v>
      </c>
      <c r="M862">
        <v>704.78</v>
      </c>
      <c r="N862">
        <v>107832.09</v>
      </c>
      <c r="O862" t="s">
        <v>32</v>
      </c>
    </row>
    <row r="863" spans="1:15">
      <c r="A863" s="1">
        <v>46082</v>
      </c>
      <c r="B863" t="s">
        <v>276</v>
      </c>
      <c r="C863" t="s">
        <v>168</v>
      </c>
      <c r="D863" t="s">
        <v>169</v>
      </c>
      <c r="E863" t="s">
        <v>151</v>
      </c>
      <c r="F863" t="s">
        <v>23</v>
      </c>
      <c r="G863">
        <v>240</v>
      </c>
      <c r="H863">
        <v>658</v>
      </c>
      <c r="I863">
        <v>156</v>
      </c>
      <c r="J863">
        <v>742</v>
      </c>
      <c r="K863">
        <v>280</v>
      </c>
      <c r="L863" t="b">
        <v>0</v>
      </c>
      <c r="M863">
        <v>642.98</v>
      </c>
      <c r="N863">
        <v>477090.62</v>
      </c>
      <c r="O863" t="s">
        <v>27</v>
      </c>
    </row>
    <row r="864" spans="1:15">
      <c r="A864" s="1">
        <v>46082</v>
      </c>
      <c r="B864" t="s">
        <v>276</v>
      </c>
      <c r="C864" t="s">
        <v>172</v>
      </c>
      <c r="D864" t="s">
        <v>173</v>
      </c>
      <c r="E864" t="s">
        <v>151</v>
      </c>
      <c r="F864" t="s">
        <v>23</v>
      </c>
      <c r="G864">
        <v>215</v>
      </c>
      <c r="H864">
        <v>0</v>
      </c>
      <c r="I864">
        <v>40</v>
      </c>
      <c r="J864">
        <v>175</v>
      </c>
      <c r="K864">
        <v>172</v>
      </c>
      <c r="L864" t="b">
        <v>0</v>
      </c>
      <c r="M864">
        <v>499.46</v>
      </c>
      <c r="N864">
        <v>87405.18</v>
      </c>
      <c r="O864" t="s">
        <v>24</v>
      </c>
    </row>
    <row r="865" spans="1:15">
      <c r="A865" s="1">
        <v>46082</v>
      </c>
      <c r="B865" t="s">
        <v>276</v>
      </c>
      <c r="C865" t="s">
        <v>176</v>
      </c>
      <c r="D865" t="s">
        <v>177</v>
      </c>
      <c r="E865" t="s">
        <v>151</v>
      </c>
      <c r="F865" t="s">
        <v>23</v>
      </c>
      <c r="G865">
        <v>131</v>
      </c>
      <c r="H865">
        <v>375</v>
      </c>
      <c r="I865">
        <v>226</v>
      </c>
      <c r="J865">
        <v>280</v>
      </c>
      <c r="K865">
        <v>180</v>
      </c>
      <c r="L865" t="b">
        <v>0</v>
      </c>
      <c r="M865">
        <v>65.510000000000005</v>
      </c>
      <c r="N865">
        <v>18342.38</v>
      </c>
      <c r="O865" t="s">
        <v>27</v>
      </c>
    </row>
    <row r="866" spans="1:15">
      <c r="A866" s="1">
        <v>46082</v>
      </c>
      <c r="B866" t="s">
        <v>276</v>
      </c>
      <c r="C866" t="s">
        <v>178</v>
      </c>
      <c r="D866" t="s">
        <v>179</v>
      </c>
      <c r="E866" t="s">
        <v>151</v>
      </c>
      <c r="F866" t="s">
        <v>23</v>
      </c>
      <c r="G866">
        <v>297</v>
      </c>
      <c r="H866">
        <v>0</v>
      </c>
      <c r="I866">
        <v>82</v>
      </c>
      <c r="J866">
        <v>215</v>
      </c>
      <c r="K866">
        <v>122</v>
      </c>
      <c r="L866" t="b">
        <v>0</v>
      </c>
      <c r="M866">
        <v>345.99</v>
      </c>
      <c r="N866">
        <v>74387.649999999994</v>
      </c>
      <c r="O866" t="s">
        <v>32</v>
      </c>
    </row>
    <row r="867" spans="1:15">
      <c r="A867" s="1">
        <v>46082</v>
      </c>
      <c r="B867" t="s">
        <v>276</v>
      </c>
      <c r="C867" t="s">
        <v>180</v>
      </c>
      <c r="D867" t="s">
        <v>181</v>
      </c>
      <c r="E867" t="s">
        <v>151</v>
      </c>
      <c r="F867" t="s">
        <v>23</v>
      </c>
      <c r="G867">
        <v>107</v>
      </c>
      <c r="H867">
        <v>195</v>
      </c>
      <c r="I867">
        <v>82</v>
      </c>
      <c r="J867">
        <v>220</v>
      </c>
      <c r="K867">
        <v>99</v>
      </c>
      <c r="L867" t="b">
        <v>0</v>
      </c>
      <c r="M867">
        <v>60.1</v>
      </c>
      <c r="N867">
        <v>13222.02</v>
      </c>
      <c r="O867" t="s">
        <v>44</v>
      </c>
    </row>
    <row r="868" spans="1:15">
      <c r="A868" s="1">
        <v>46082</v>
      </c>
      <c r="B868" t="s">
        <v>276</v>
      </c>
      <c r="C868" t="s">
        <v>182</v>
      </c>
      <c r="D868" t="s">
        <v>183</v>
      </c>
      <c r="E868" t="s">
        <v>151</v>
      </c>
      <c r="F868" t="s">
        <v>23</v>
      </c>
      <c r="G868">
        <v>85</v>
      </c>
      <c r="H868">
        <v>270</v>
      </c>
      <c r="I868">
        <v>112</v>
      </c>
      <c r="J868">
        <v>243</v>
      </c>
      <c r="K868">
        <v>192</v>
      </c>
      <c r="L868" t="b">
        <v>0</v>
      </c>
      <c r="M868">
        <v>237.25</v>
      </c>
      <c r="N868">
        <v>57650.74</v>
      </c>
      <c r="O868" t="s">
        <v>32</v>
      </c>
    </row>
    <row r="869" spans="1:15">
      <c r="A869" s="1">
        <v>46082</v>
      </c>
      <c r="B869" t="s">
        <v>276</v>
      </c>
      <c r="C869" t="s">
        <v>251</v>
      </c>
      <c r="D869" t="s">
        <v>252</v>
      </c>
      <c r="E869" t="s">
        <v>151</v>
      </c>
      <c r="F869" t="s">
        <v>23</v>
      </c>
      <c r="G869">
        <v>278</v>
      </c>
      <c r="H869">
        <v>0</v>
      </c>
      <c r="I869">
        <v>36</v>
      </c>
      <c r="J869">
        <v>242</v>
      </c>
      <c r="K869">
        <v>61</v>
      </c>
      <c r="L869" t="b">
        <v>0</v>
      </c>
      <c r="M869">
        <v>92.67</v>
      </c>
      <c r="N869">
        <v>22426.34</v>
      </c>
      <c r="O869" t="s">
        <v>44</v>
      </c>
    </row>
    <row r="870" spans="1:15">
      <c r="A870" s="1">
        <v>46082</v>
      </c>
      <c r="B870" t="s">
        <v>276</v>
      </c>
      <c r="C870" t="s">
        <v>184</v>
      </c>
      <c r="D870" t="s">
        <v>185</v>
      </c>
      <c r="E870" t="s">
        <v>151</v>
      </c>
      <c r="F870" t="s">
        <v>23</v>
      </c>
      <c r="G870">
        <v>323</v>
      </c>
      <c r="H870">
        <v>0</v>
      </c>
      <c r="I870">
        <v>174</v>
      </c>
      <c r="J870">
        <v>149</v>
      </c>
      <c r="K870">
        <v>163</v>
      </c>
      <c r="L870" t="b">
        <v>1</v>
      </c>
      <c r="M870">
        <v>371.02</v>
      </c>
      <c r="N870">
        <v>55281.43</v>
      </c>
      <c r="O870" t="s">
        <v>60</v>
      </c>
    </row>
    <row r="871" spans="1:15">
      <c r="A871" s="1">
        <v>46082</v>
      </c>
      <c r="B871" t="s">
        <v>276</v>
      </c>
      <c r="C871" t="s">
        <v>191</v>
      </c>
      <c r="D871" t="s">
        <v>192</v>
      </c>
      <c r="E871" t="s">
        <v>188</v>
      </c>
      <c r="F871" t="s">
        <v>23</v>
      </c>
      <c r="G871">
        <v>100</v>
      </c>
      <c r="H871">
        <v>180</v>
      </c>
      <c r="I871">
        <v>53</v>
      </c>
      <c r="J871">
        <v>227</v>
      </c>
      <c r="K871">
        <v>89</v>
      </c>
      <c r="L871" t="b">
        <v>0</v>
      </c>
      <c r="M871">
        <v>102.49</v>
      </c>
      <c r="N871">
        <v>23265.68</v>
      </c>
      <c r="O871" t="s">
        <v>98</v>
      </c>
    </row>
    <row r="872" spans="1:15">
      <c r="A872" s="1">
        <v>46082</v>
      </c>
      <c r="B872" t="s">
        <v>276</v>
      </c>
      <c r="C872" t="s">
        <v>193</v>
      </c>
      <c r="D872" t="s">
        <v>194</v>
      </c>
      <c r="E872" t="s">
        <v>188</v>
      </c>
      <c r="F872" t="s">
        <v>23</v>
      </c>
      <c r="G872">
        <v>65</v>
      </c>
      <c r="H872">
        <v>150</v>
      </c>
      <c r="I872">
        <v>45</v>
      </c>
      <c r="J872">
        <v>170</v>
      </c>
      <c r="K872">
        <v>71</v>
      </c>
      <c r="L872" t="b">
        <v>0</v>
      </c>
      <c r="M872">
        <v>445.01</v>
      </c>
      <c r="N872">
        <v>75651.679999999993</v>
      </c>
      <c r="O872" t="s">
        <v>27</v>
      </c>
    </row>
    <row r="873" spans="1:15">
      <c r="A873" s="1">
        <v>46082</v>
      </c>
      <c r="B873" t="s">
        <v>276</v>
      </c>
      <c r="C873" t="s">
        <v>195</v>
      </c>
      <c r="D873" t="s">
        <v>196</v>
      </c>
      <c r="E873" t="s">
        <v>188</v>
      </c>
      <c r="F873" t="s">
        <v>23</v>
      </c>
      <c r="G873">
        <v>359</v>
      </c>
      <c r="H873">
        <v>0</v>
      </c>
      <c r="I873">
        <v>85</v>
      </c>
      <c r="J873">
        <v>274</v>
      </c>
      <c r="K873">
        <v>159</v>
      </c>
      <c r="L873" t="b">
        <v>0</v>
      </c>
      <c r="M873">
        <v>77.23</v>
      </c>
      <c r="N873">
        <v>21162.05</v>
      </c>
      <c r="O873" t="s">
        <v>47</v>
      </c>
    </row>
    <row r="874" spans="1:15">
      <c r="A874" s="1">
        <v>46082</v>
      </c>
      <c r="B874" t="s">
        <v>276</v>
      </c>
      <c r="C874" t="s">
        <v>253</v>
      </c>
      <c r="D874" t="s">
        <v>254</v>
      </c>
      <c r="E874" t="s">
        <v>188</v>
      </c>
      <c r="F874" t="s">
        <v>23</v>
      </c>
      <c r="G874">
        <v>41</v>
      </c>
      <c r="H874">
        <v>0</v>
      </c>
      <c r="I874">
        <v>27</v>
      </c>
      <c r="J874">
        <v>14</v>
      </c>
      <c r="K874">
        <v>26</v>
      </c>
      <c r="L874" t="b">
        <v>1</v>
      </c>
      <c r="M874">
        <v>298.95</v>
      </c>
      <c r="N874">
        <v>4185.2299999999996</v>
      </c>
      <c r="O874" t="s">
        <v>60</v>
      </c>
    </row>
    <row r="875" spans="1:15">
      <c r="A875" s="1">
        <v>46082</v>
      </c>
      <c r="B875" t="s">
        <v>276</v>
      </c>
      <c r="C875" t="s">
        <v>197</v>
      </c>
      <c r="D875" t="s">
        <v>198</v>
      </c>
      <c r="E875" t="s">
        <v>188</v>
      </c>
      <c r="F875" t="s">
        <v>23</v>
      </c>
      <c r="G875">
        <v>773</v>
      </c>
      <c r="H875">
        <v>463</v>
      </c>
      <c r="I875">
        <v>376</v>
      </c>
      <c r="J875">
        <v>860</v>
      </c>
      <c r="K875">
        <v>249</v>
      </c>
      <c r="L875" t="b">
        <v>0</v>
      </c>
      <c r="M875">
        <v>112.56</v>
      </c>
      <c r="N875">
        <v>96798.38</v>
      </c>
      <c r="O875" t="s">
        <v>98</v>
      </c>
    </row>
    <row r="876" spans="1:15">
      <c r="A876" s="1">
        <v>46082</v>
      </c>
      <c r="B876" t="s">
        <v>276</v>
      </c>
      <c r="C876" t="s">
        <v>199</v>
      </c>
      <c r="D876" t="s">
        <v>200</v>
      </c>
      <c r="E876" t="s">
        <v>188</v>
      </c>
      <c r="F876" t="s">
        <v>23</v>
      </c>
      <c r="G876">
        <v>54</v>
      </c>
      <c r="H876">
        <v>175</v>
      </c>
      <c r="I876">
        <v>41</v>
      </c>
      <c r="J876">
        <v>188</v>
      </c>
      <c r="K876">
        <v>82</v>
      </c>
      <c r="L876" t="b">
        <v>0</v>
      </c>
      <c r="M876">
        <v>540.01</v>
      </c>
      <c r="N876">
        <v>101521.59</v>
      </c>
      <c r="O876" t="s">
        <v>98</v>
      </c>
    </row>
    <row r="877" spans="1:15">
      <c r="A877" s="1">
        <v>46082</v>
      </c>
      <c r="B877" t="s">
        <v>276</v>
      </c>
      <c r="C877" t="s">
        <v>201</v>
      </c>
      <c r="D877" t="s">
        <v>202</v>
      </c>
      <c r="E877" t="s">
        <v>188</v>
      </c>
      <c r="F877" t="s">
        <v>23</v>
      </c>
      <c r="G877">
        <v>71</v>
      </c>
      <c r="H877">
        <v>197</v>
      </c>
      <c r="I877">
        <v>95</v>
      </c>
      <c r="J877">
        <v>173</v>
      </c>
      <c r="K877">
        <v>109</v>
      </c>
      <c r="L877" t="b">
        <v>0</v>
      </c>
      <c r="M877">
        <v>904.78</v>
      </c>
      <c r="N877">
        <v>156526.29999999999</v>
      </c>
      <c r="O877" t="s">
        <v>47</v>
      </c>
    </row>
    <row r="878" spans="1:15">
      <c r="A878" s="1">
        <v>46082</v>
      </c>
      <c r="B878" t="s">
        <v>276</v>
      </c>
      <c r="C878" t="s">
        <v>205</v>
      </c>
      <c r="D878" t="s">
        <v>206</v>
      </c>
      <c r="E878" t="s">
        <v>188</v>
      </c>
      <c r="F878" t="s">
        <v>23</v>
      </c>
      <c r="G878">
        <v>300</v>
      </c>
      <c r="H878">
        <v>0</v>
      </c>
      <c r="I878">
        <v>69</v>
      </c>
      <c r="J878">
        <v>231</v>
      </c>
      <c r="K878">
        <v>137</v>
      </c>
      <c r="L878" t="b">
        <v>0</v>
      </c>
      <c r="M878">
        <v>94.15</v>
      </c>
      <c r="N878">
        <v>21748.560000000001</v>
      </c>
      <c r="O878" t="s">
        <v>98</v>
      </c>
    </row>
    <row r="879" spans="1:15">
      <c r="A879" s="1">
        <v>46082</v>
      </c>
      <c r="B879" t="s">
        <v>276</v>
      </c>
      <c r="C879" t="s">
        <v>255</v>
      </c>
      <c r="D879" t="s">
        <v>256</v>
      </c>
      <c r="E879" t="s">
        <v>188</v>
      </c>
      <c r="F879" t="s">
        <v>23</v>
      </c>
      <c r="G879">
        <v>245</v>
      </c>
      <c r="H879">
        <v>0</v>
      </c>
      <c r="I879">
        <v>124</v>
      </c>
      <c r="J879">
        <v>121</v>
      </c>
      <c r="K879">
        <v>154</v>
      </c>
      <c r="L879" t="b">
        <v>1</v>
      </c>
      <c r="M879">
        <v>381.36</v>
      </c>
      <c r="N879">
        <v>46145.06</v>
      </c>
      <c r="O879" t="s">
        <v>37</v>
      </c>
    </row>
    <row r="880" spans="1:15">
      <c r="A880" s="1">
        <v>46082</v>
      </c>
      <c r="B880" t="s">
        <v>276</v>
      </c>
      <c r="C880" t="s">
        <v>207</v>
      </c>
      <c r="D880" t="s">
        <v>208</v>
      </c>
      <c r="E880" t="s">
        <v>188</v>
      </c>
      <c r="F880" t="s">
        <v>23</v>
      </c>
      <c r="G880">
        <v>65</v>
      </c>
      <c r="H880">
        <v>276</v>
      </c>
      <c r="I880">
        <v>74</v>
      </c>
      <c r="J880">
        <v>267</v>
      </c>
      <c r="K880">
        <v>119</v>
      </c>
      <c r="L880" t="b">
        <v>0</v>
      </c>
      <c r="M880">
        <v>70.34</v>
      </c>
      <c r="N880">
        <v>18780.009999999998</v>
      </c>
      <c r="O880" t="s">
        <v>47</v>
      </c>
    </row>
    <row r="881" spans="1:15">
      <c r="A881" s="1">
        <v>46082</v>
      </c>
      <c r="B881" t="s">
        <v>276</v>
      </c>
      <c r="C881" t="s">
        <v>209</v>
      </c>
      <c r="D881" t="s">
        <v>210</v>
      </c>
      <c r="E881" t="s">
        <v>188</v>
      </c>
      <c r="F881" t="s">
        <v>23</v>
      </c>
      <c r="G881">
        <v>124</v>
      </c>
      <c r="H881">
        <v>0</v>
      </c>
      <c r="I881">
        <v>62</v>
      </c>
      <c r="J881">
        <v>62</v>
      </c>
      <c r="K881">
        <v>99</v>
      </c>
      <c r="L881" t="b">
        <v>1</v>
      </c>
      <c r="M881">
        <v>343.14</v>
      </c>
      <c r="N881">
        <v>21274.639999999999</v>
      </c>
      <c r="O881" t="s">
        <v>37</v>
      </c>
    </row>
    <row r="882" spans="1:15">
      <c r="A882" s="1">
        <v>46082</v>
      </c>
      <c r="B882" t="s">
        <v>276</v>
      </c>
      <c r="C882" t="s">
        <v>268</v>
      </c>
      <c r="D882" t="s">
        <v>269</v>
      </c>
      <c r="E882" t="s">
        <v>188</v>
      </c>
      <c r="F882" t="s">
        <v>23</v>
      </c>
      <c r="G882">
        <v>28</v>
      </c>
      <c r="H882">
        <v>132</v>
      </c>
      <c r="I882">
        <v>51</v>
      </c>
      <c r="J882">
        <v>109</v>
      </c>
      <c r="K882">
        <v>47</v>
      </c>
      <c r="L882" t="b">
        <v>0</v>
      </c>
      <c r="M882">
        <v>42.84</v>
      </c>
      <c r="N882">
        <v>4669.2</v>
      </c>
      <c r="O882" t="s">
        <v>47</v>
      </c>
    </row>
    <row r="883" spans="1:15">
      <c r="A883" s="1">
        <v>46082</v>
      </c>
      <c r="B883" t="s">
        <v>276</v>
      </c>
      <c r="C883" t="s">
        <v>270</v>
      </c>
      <c r="D883" t="s">
        <v>271</v>
      </c>
      <c r="E883" t="s">
        <v>188</v>
      </c>
      <c r="F883" t="s">
        <v>23</v>
      </c>
      <c r="G883">
        <v>378</v>
      </c>
      <c r="H883">
        <v>0</v>
      </c>
      <c r="I883">
        <v>99</v>
      </c>
      <c r="J883">
        <v>279</v>
      </c>
      <c r="K883">
        <v>147</v>
      </c>
      <c r="L883" t="b">
        <v>0</v>
      </c>
      <c r="M883">
        <v>176.74</v>
      </c>
      <c r="N883">
        <v>49309.94</v>
      </c>
      <c r="O883" t="s">
        <v>24</v>
      </c>
    </row>
    <row r="884" spans="1:15">
      <c r="A884" s="1">
        <v>46082</v>
      </c>
      <c r="B884" t="s">
        <v>276</v>
      </c>
      <c r="C884" t="s">
        <v>213</v>
      </c>
      <c r="D884" t="s">
        <v>214</v>
      </c>
      <c r="E884" t="s">
        <v>188</v>
      </c>
      <c r="F884" t="s">
        <v>23</v>
      </c>
      <c r="G884">
        <v>264</v>
      </c>
      <c r="H884">
        <v>467</v>
      </c>
      <c r="I884">
        <v>242</v>
      </c>
      <c r="J884">
        <v>489</v>
      </c>
      <c r="K884">
        <v>270</v>
      </c>
      <c r="L884" t="b">
        <v>0</v>
      </c>
      <c r="M884">
        <v>340.41</v>
      </c>
      <c r="N884">
        <v>166462.35</v>
      </c>
      <c r="O884" t="s">
        <v>44</v>
      </c>
    </row>
    <row r="885" spans="1:15">
      <c r="A885" s="1">
        <v>46082</v>
      </c>
      <c r="B885" t="s">
        <v>276</v>
      </c>
      <c r="C885" t="s">
        <v>217</v>
      </c>
      <c r="D885" t="s">
        <v>218</v>
      </c>
      <c r="E885" t="s">
        <v>219</v>
      </c>
      <c r="F885" t="s">
        <v>23</v>
      </c>
      <c r="G885">
        <v>148</v>
      </c>
      <c r="H885">
        <v>134</v>
      </c>
      <c r="I885">
        <v>47</v>
      </c>
      <c r="J885">
        <v>235</v>
      </c>
      <c r="K885">
        <v>67</v>
      </c>
      <c r="L885" t="b">
        <v>0</v>
      </c>
      <c r="M885">
        <v>18.940000000000001</v>
      </c>
      <c r="N885">
        <v>4449.78</v>
      </c>
      <c r="O885" t="s">
        <v>37</v>
      </c>
    </row>
    <row r="886" spans="1:15">
      <c r="A886" s="1">
        <v>46082</v>
      </c>
      <c r="B886" t="s">
        <v>276</v>
      </c>
      <c r="C886" t="s">
        <v>220</v>
      </c>
      <c r="D886" t="s">
        <v>221</v>
      </c>
      <c r="E886" t="s">
        <v>219</v>
      </c>
      <c r="F886" t="s">
        <v>23</v>
      </c>
      <c r="G886">
        <v>82</v>
      </c>
      <c r="H886">
        <v>254</v>
      </c>
      <c r="I886">
        <v>105</v>
      </c>
      <c r="J886">
        <v>231</v>
      </c>
      <c r="K886">
        <v>165</v>
      </c>
      <c r="L886" t="b">
        <v>0</v>
      </c>
      <c r="M886">
        <v>85.69</v>
      </c>
      <c r="N886">
        <v>19795.509999999998</v>
      </c>
      <c r="O886" t="s">
        <v>60</v>
      </c>
    </row>
    <row r="887" spans="1:15">
      <c r="A887" s="1">
        <v>46082</v>
      </c>
      <c r="B887" t="s">
        <v>276</v>
      </c>
      <c r="C887" t="s">
        <v>222</v>
      </c>
      <c r="D887" t="s">
        <v>223</v>
      </c>
      <c r="E887" t="s">
        <v>219</v>
      </c>
      <c r="F887" t="s">
        <v>23</v>
      </c>
      <c r="G887">
        <v>44</v>
      </c>
      <c r="H887">
        <v>0</v>
      </c>
      <c r="I887">
        <v>7</v>
      </c>
      <c r="J887">
        <v>37</v>
      </c>
      <c r="K887">
        <v>22</v>
      </c>
      <c r="L887" t="b">
        <v>0</v>
      </c>
      <c r="M887">
        <v>46.08</v>
      </c>
      <c r="N887">
        <v>1704.92</v>
      </c>
      <c r="O887" t="s">
        <v>37</v>
      </c>
    </row>
    <row r="888" spans="1:15">
      <c r="A888" s="1">
        <v>46082</v>
      </c>
      <c r="B888" t="s">
        <v>276</v>
      </c>
      <c r="C888" t="s">
        <v>272</v>
      </c>
      <c r="D888" t="s">
        <v>273</v>
      </c>
      <c r="E888" t="s">
        <v>219</v>
      </c>
      <c r="F888" t="s">
        <v>23</v>
      </c>
      <c r="G888">
        <v>176</v>
      </c>
      <c r="H888">
        <v>321</v>
      </c>
      <c r="I888">
        <v>164</v>
      </c>
      <c r="J888">
        <v>333</v>
      </c>
      <c r="K888">
        <v>202</v>
      </c>
      <c r="L888" t="b">
        <v>0</v>
      </c>
      <c r="M888">
        <v>1869.38</v>
      </c>
      <c r="N888">
        <v>622503.73</v>
      </c>
      <c r="O888" t="s">
        <v>98</v>
      </c>
    </row>
    <row r="889" spans="1:15">
      <c r="A889" s="1">
        <v>46082</v>
      </c>
      <c r="B889" t="s">
        <v>276</v>
      </c>
      <c r="C889" t="s">
        <v>228</v>
      </c>
      <c r="D889" t="s">
        <v>229</v>
      </c>
      <c r="E889" t="s">
        <v>219</v>
      </c>
      <c r="F889" t="s">
        <v>23</v>
      </c>
      <c r="G889">
        <v>224</v>
      </c>
      <c r="H889">
        <v>0</v>
      </c>
      <c r="I889">
        <v>58</v>
      </c>
      <c r="J889">
        <v>166</v>
      </c>
      <c r="K889">
        <v>80</v>
      </c>
      <c r="L889" t="b">
        <v>0</v>
      </c>
      <c r="M889">
        <v>45.11</v>
      </c>
      <c r="N889">
        <v>7488.09</v>
      </c>
      <c r="O889" t="s">
        <v>44</v>
      </c>
    </row>
    <row r="890" spans="1:15">
      <c r="A890" s="1">
        <v>46082</v>
      </c>
      <c r="B890" t="s">
        <v>276</v>
      </c>
      <c r="C890" t="s">
        <v>230</v>
      </c>
      <c r="D890" t="s">
        <v>231</v>
      </c>
      <c r="E890" t="s">
        <v>219</v>
      </c>
      <c r="F890" t="s">
        <v>23</v>
      </c>
      <c r="G890">
        <v>125</v>
      </c>
      <c r="H890">
        <v>193</v>
      </c>
      <c r="I890">
        <v>64</v>
      </c>
      <c r="J890">
        <v>254</v>
      </c>
      <c r="K890">
        <v>112</v>
      </c>
      <c r="L890" t="b">
        <v>0</v>
      </c>
      <c r="M890">
        <v>213.77</v>
      </c>
      <c r="N890">
        <v>54297.36</v>
      </c>
      <c r="O890" t="s">
        <v>32</v>
      </c>
    </row>
    <row r="891" spans="1:15">
      <c r="A891" s="1">
        <v>46082</v>
      </c>
      <c r="B891" t="s">
        <v>276</v>
      </c>
      <c r="C891" t="s">
        <v>232</v>
      </c>
      <c r="D891" t="s">
        <v>233</v>
      </c>
      <c r="E891" t="s">
        <v>219</v>
      </c>
      <c r="F891" t="s">
        <v>23</v>
      </c>
      <c r="G891">
        <v>292</v>
      </c>
      <c r="H891">
        <v>286</v>
      </c>
      <c r="I891">
        <v>76</v>
      </c>
      <c r="J891">
        <v>502</v>
      </c>
      <c r="K891">
        <v>130</v>
      </c>
      <c r="L891" t="b">
        <v>0</v>
      </c>
      <c r="M891">
        <v>162.41999999999999</v>
      </c>
      <c r="N891">
        <v>81534.36</v>
      </c>
      <c r="O891" t="s">
        <v>32</v>
      </c>
    </row>
    <row r="892" spans="1:15">
      <c r="A892" s="1">
        <v>46082</v>
      </c>
      <c r="B892" t="s">
        <v>276</v>
      </c>
      <c r="C892" t="s">
        <v>257</v>
      </c>
      <c r="D892" t="s">
        <v>258</v>
      </c>
      <c r="E892" t="s">
        <v>219</v>
      </c>
      <c r="F892" t="s">
        <v>23</v>
      </c>
      <c r="G892">
        <v>15</v>
      </c>
      <c r="H892">
        <v>47</v>
      </c>
      <c r="I892">
        <v>12</v>
      </c>
      <c r="J892">
        <v>50</v>
      </c>
      <c r="K892">
        <v>20</v>
      </c>
      <c r="L892" t="b">
        <v>0</v>
      </c>
      <c r="M892">
        <v>807.6</v>
      </c>
      <c r="N892">
        <v>40380.230000000003</v>
      </c>
      <c r="O892" t="s">
        <v>47</v>
      </c>
    </row>
    <row r="893" spans="1:15">
      <c r="A893" s="1">
        <v>46082</v>
      </c>
      <c r="B893" t="s">
        <v>276</v>
      </c>
      <c r="C893" t="s">
        <v>259</v>
      </c>
      <c r="D893" t="s">
        <v>260</v>
      </c>
      <c r="E893" t="s">
        <v>219</v>
      </c>
      <c r="F893" t="s">
        <v>23</v>
      </c>
      <c r="G893">
        <v>24</v>
      </c>
      <c r="H893">
        <v>48</v>
      </c>
      <c r="I893">
        <v>18</v>
      </c>
      <c r="J893">
        <v>54</v>
      </c>
      <c r="K893">
        <v>25</v>
      </c>
      <c r="L893" t="b">
        <v>0</v>
      </c>
      <c r="M893">
        <v>557.12</v>
      </c>
      <c r="N893">
        <v>30084.61</v>
      </c>
      <c r="O893" t="s">
        <v>60</v>
      </c>
    </row>
    <row r="894" spans="1:15">
      <c r="A894" s="1">
        <v>46082</v>
      </c>
      <c r="B894" t="s">
        <v>276</v>
      </c>
      <c r="C894" t="s">
        <v>234</v>
      </c>
      <c r="D894" t="s">
        <v>235</v>
      </c>
      <c r="E894" t="s">
        <v>219</v>
      </c>
      <c r="F894" t="s">
        <v>23</v>
      </c>
      <c r="G894">
        <v>12</v>
      </c>
      <c r="H894">
        <v>644</v>
      </c>
      <c r="I894">
        <v>198</v>
      </c>
      <c r="J894">
        <v>458</v>
      </c>
      <c r="K894">
        <v>176</v>
      </c>
      <c r="L894" t="b">
        <v>0</v>
      </c>
      <c r="M894">
        <v>2242.11</v>
      </c>
      <c r="N894">
        <v>1026885.61</v>
      </c>
      <c r="O894" t="s">
        <v>47</v>
      </c>
    </row>
    <row r="895" spans="1:15">
      <c r="A895" s="1">
        <v>46082</v>
      </c>
      <c r="B895" t="s">
        <v>276</v>
      </c>
      <c r="C895" t="s">
        <v>261</v>
      </c>
      <c r="D895" t="s">
        <v>262</v>
      </c>
      <c r="E895" t="s">
        <v>219</v>
      </c>
      <c r="F895" t="s">
        <v>23</v>
      </c>
      <c r="G895">
        <v>90</v>
      </c>
      <c r="H895">
        <v>0</v>
      </c>
      <c r="I895">
        <v>57</v>
      </c>
      <c r="J895">
        <v>33</v>
      </c>
      <c r="K895">
        <v>63</v>
      </c>
      <c r="L895" t="b">
        <v>1</v>
      </c>
      <c r="M895">
        <v>288.77</v>
      </c>
      <c r="N895">
        <v>9529.36</v>
      </c>
      <c r="O895" t="s">
        <v>60</v>
      </c>
    </row>
    <row r="896" spans="1:15">
      <c r="A896" s="1">
        <v>46082</v>
      </c>
      <c r="B896" t="s">
        <v>276</v>
      </c>
      <c r="C896" t="s">
        <v>277</v>
      </c>
      <c r="D896" t="s">
        <v>278</v>
      </c>
      <c r="E896" t="s">
        <v>219</v>
      </c>
      <c r="F896" t="s">
        <v>23</v>
      </c>
      <c r="G896">
        <v>119</v>
      </c>
      <c r="H896">
        <v>274</v>
      </c>
      <c r="I896">
        <v>121</v>
      </c>
      <c r="J896">
        <v>272</v>
      </c>
      <c r="K896">
        <v>102</v>
      </c>
      <c r="L896" t="b">
        <v>0</v>
      </c>
      <c r="M896">
        <v>1407.23</v>
      </c>
      <c r="N896">
        <v>382765.51</v>
      </c>
      <c r="O896" t="s">
        <v>44</v>
      </c>
    </row>
    <row r="897" spans="1:15">
      <c r="A897" s="1">
        <v>46082</v>
      </c>
      <c r="B897" t="s">
        <v>276</v>
      </c>
      <c r="C897" t="s">
        <v>236</v>
      </c>
      <c r="D897" t="s">
        <v>237</v>
      </c>
      <c r="E897" t="s">
        <v>219</v>
      </c>
      <c r="F897" t="s">
        <v>23</v>
      </c>
      <c r="G897">
        <v>203</v>
      </c>
      <c r="H897">
        <v>452</v>
      </c>
      <c r="I897">
        <v>241</v>
      </c>
      <c r="J897">
        <v>414</v>
      </c>
      <c r="K897">
        <v>208</v>
      </c>
      <c r="L897" t="b">
        <v>0</v>
      </c>
      <c r="M897">
        <v>1084.01</v>
      </c>
      <c r="N897">
        <v>448779.72</v>
      </c>
      <c r="O897" t="s">
        <v>98</v>
      </c>
    </row>
    <row r="898" spans="1:15">
      <c r="A898" s="1">
        <v>46082</v>
      </c>
      <c r="B898" t="s">
        <v>276</v>
      </c>
      <c r="C898" t="s">
        <v>263</v>
      </c>
      <c r="D898" t="s">
        <v>264</v>
      </c>
      <c r="E898" t="s">
        <v>219</v>
      </c>
      <c r="F898" t="s">
        <v>23</v>
      </c>
      <c r="G898">
        <v>745</v>
      </c>
      <c r="H898">
        <v>0</v>
      </c>
      <c r="I898">
        <v>127</v>
      </c>
      <c r="J898">
        <v>618</v>
      </c>
      <c r="K898">
        <v>208</v>
      </c>
      <c r="L898" t="b">
        <v>0</v>
      </c>
      <c r="M898">
        <v>32.270000000000003</v>
      </c>
      <c r="N898">
        <v>19944.14</v>
      </c>
      <c r="O898" t="s">
        <v>27</v>
      </c>
    </row>
    <row r="899" spans="1:15">
      <c r="A899" s="1">
        <v>46082</v>
      </c>
      <c r="B899" t="s">
        <v>276</v>
      </c>
      <c r="C899" t="s">
        <v>238</v>
      </c>
      <c r="D899" t="s">
        <v>239</v>
      </c>
      <c r="E899" t="s">
        <v>219</v>
      </c>
      <c r="F899" t="s">
        <v>23</v>
      </c>
      <c r="G899">
        <v>313</v>
      </c>
      <c r="H899">
        <v>0</v>
      </c>
      <c r="I899">
        <v>79</v>
      </c>
      <c r="J899">
        <v>234</v>
      </c>
      <c r="K899">
        <v>110</v>
      </c>
      <c r="L899" t="b">
        <v>0</v>
      </c>
      <c r="M899">
        <v>146.78</v>
      </c>
      <c r="N899">
        <v>34346.21</v>
      </c>
      <c r="O899" t="s">
        <v>32</v>
      </c>
    </row>
    <row r="900" spans="1:15">
      <c r="A900" s="1">
        <v>46082</v>
      </c>
      <c r="B900" t="s">
        <v>276</v>
      </c>
      <c r="C900" t="s">
        <v>240</v>
      </c>
      <c r="D900" t="s">
        <v>241</v>
      </c>
      <c r="E900" t="s">
        <v>219</v>
      </c>
      <c r="F900" t="s">
        <v>23</v>
      </c>
      <c r="G900">
        <v>59</v>
      </c>
      <c r="H900">
        <v>121</v>
      </c>
      <c r="I900">
        <v>56</v>
      </c>
      <c r="J900">
        <v>124</v>
      </c>
      <c r="K900">
        <v>57</v>
      </c>
      <c r="L900" t="b">
        <v>0</v>
      </c>
      <c r="M900">
        <v>63.8</v>
      </c>
      <c r="N900">
        <v>7911.52</v>
      </c>
      <c r="O900" t="s">
        <v>27</v>
      </c>
    </row>
    <row r="901" spans="1:15">
      <c r="A901" s="1">
        <v>46082</v>
      </c>
      <c r="B901" t="s">
        <v>276</v>
      </c>
      <c r="C901" t="s">
        <v>242</v>
      </c>
      <c r="D901" t="s">
        <v>243</v>
      </c>
      <c r="E901" t="s">
        <v>219</v>
      </c>
      <c r="F901" t="s">
        <v>23</v>
      </c>
      <c r="G901">
        <v>293</v>
      </c>
      <c r="H901">
        <v>283</v>
      </c>
      <c r="I901">
        <v>150</v>
      </c>
      <c r="J901">
        <v>426</v>
      </c>
      <c r="K901">
        <v>183</v>
      </c>
      <c r="L901" t="b">
        <v>0</v>
      </c>
      <c r="M901">
        <v>278.29000000000002</v>
      </c>
      <c r="N901">
        <v>118551.44</v>
      </c>
      <c r="O901" t="s">
        <v>60</v>
      </c>
    </row>
    <row r="902" spans="1:15">
      <c r="A902" s="1">
        <v>46082</v>
      </c>
      <c r="B902" t="s">
        <v>279</v>
      </c>
      <c r="C902" t="s">
        <v>20</v>
      </c>
      <c r="D902" t="s">
        <v>21</v>
      </c>
      <c r="E902" t="s">
        <v>22</v>
      </c>
      <c r="F902" t="s">
        <v>23</v>
      </c>
      <c r="G902">
        <v>39</v>
      </c>
      <c r="H902">
        <v>0</v>
      </c>
      <c r="I902">
        <v>27</v>
      </c>
      <c r="J902">
        <v>12</v>
      </c>
      <c r="K902">
        <v>22</v>
      </c>
      <c r="L902" t="b">
        <v>1</v>
      </c>
      <c r="M902">
        <v>282.83999999999997</v>
      </c>
      <c r="N902">
        <v>3394.09</v>
      </c>
      <c r="O902" t="s">
        <v>24</v>
      </c>
    </row>
    <row r="903" spans="1:15">
      <c r="A903" s="1">
        <v>46082</v>
      </c>
      <c r="B903" t="s">
        <v>279</v>
      </c>
      <c r="C903" t="s">
        <v>25</v>
      </c>
      <c r="D903" t="s">
        <v>26</v>
      </c>
      <c r="E903" t="s">
        <v>22</v>
      </c>
      <c r="F903" t="s">
        <v>23</v>
      </c>
      <c r="G903">
        <v>0</v>
      </c>
      <c r="H903">
        <v>269</v>
      </c>
      <c r="I903">
        <v>137</v>
      </c>
      <c r="J903">
        <v>132</v>
      </c>
      <c r="K903">
        <v>93</v>
      </c>
      <c r="L903" t="b">
        <v>0</v>
      </c>
      <c r="M903">
        <v>1311.06</v>
      </c>
      <c r="N903">
        <v>173059.8</v>
      </c>
      <c r="O903" t="s">
        <v>27</v>
      </c>
    </row>
    <row r="904" spans="1:15">
      <c r="A904" s="1">
        <v>46082</v>
      </c>
      <c r="B904" t="s">
        <v>279</v>
      </c>
      <c r="C904" t="s">
        <v>28</v>
      </c>
      <c r="D904" t="s">
        <v>29</v>
      </c>
      <c r="E904" t="s">
        <v>22</v>
      </c>
      <c r="F904" t="s">
        <v>23</v>
      </c>
      <c r="G904">
        <v>635</v>
      </c>
      <c r="H904">
        <v>0</v>
      </c>
      <c r="I904">
        <v>229</v>
      </c>
      <c r="J904">
        <v>406</v>
      </c>
      <c r="K904">
        <v>238</v>
      </c>
      <c r="L904" t="b">
        <v>0</v>
      </c>
      <c r="M904">
        <v>98.36</v>
      </c>
      <c r="N904">
        <v>39935.11</v>
      </c>
      <c r="O904" t="s">
        <v>24</v>
      </c>
    </row>
    <row r="905" spans="1:15">
      <c r="A905" s="1">
        <v>46082</v>
      </c>
      <c r="B905" t="s">
        <v>279</v>
      </c>
      <c r="C905" t="s">
        <v>30</v>
      </c>
      <c r="D905" t="s">
        <v>31</v>
      </c>
      <c r="E905" t="s">
        <v>22</v>
      </c>
      <c r="F905" t="s">
        <v>23</v>
      </c>
      <c r="G905">
        <v>94</v>
      </c>
      <c r="H905">
        <v>168</v>
      </c>
      <c r="I905">
        <v>41</v>
      </c>
      <c r="J905">
        <v>221</v>
      </c>
      <c r="K905">
        <v>117</v>
      </c>
      <c r="L905" t="b">
        <v>0</v>
      </c>
      <c r="M905">
        <v>435.24</v>
      </c>
      <c r="N905">
        <v>96187.64</v>
      </c>
      <c r="O905" t="s">
        <v>32</v>
      </c>
    </row>
    <row r="906" spans="1:15">
      <c r="A906" s="1">
        <v>46082</v>
      </c>
      <c r="B906" t="s">
        <v>279</v>
      </c>
      <c r="C906" t="s">
        <v>33</v>
      </c>
      <c r="D906" t="s">
        <v>34</v>
      </c>
      <c r="E906" t="s">
        <v>22</v>
      </c>
      <c r="F906" t="s">
        <v>23</v>
      </c>
      <c r="G906">
        <v>377</v>
      </c>
      <c r="H906">
        <v>0</v>
      </c>
      <c r="I906">
        <v>187</v>
      </c>
      <c r="J906">
        <v>190</v>
      </c>
      <c r="K906">
        <v>173</v>
      </c>
      <c r="L906" t="b">
        <v>0</v>
      </c>
      <c r="M906">
        <v>112.34</v>
      </c>
      <c r="N906">
        <v>21345.18</v>
      </c>
      <c r="O906" t="s">
        <v>24</v>
      </c>
    </row>
    <row r="907" spans="1:15">
      <c r="A907" s="1">
        <v>46082</v>
      </c>
      <c r="B907" t="s">
        <v>279</v>
      </c>
      <c r="C907" t="s">
        <v>35</v>
      </c>
      <c r="D907" t="s">
        <v>36</v>
      </c>
      <c r="E907" t="s">
        <v>22</v>
      </c>
      <c r="F907" t="s">
        <v>23</v>
      </c>
      <c r="G907">
        <v>260</v>
      </c>
      <c r="H907">
        <v>0</v>
      </c>
      <c r="I907">
        <v>79</v>
      </c>
      <c r="J907">
        <v>181</v>
      </c>
      <c r="K907">
        <v>89</v>
      </c>
      <c r="L907" t="b">
        <v>0</v>
      </c>
      <c r="M907">
        <v>596.49</v>
      </c>
      <c r="N907">
        <v>107965</v>
      </c>
      <c r="O907" t="s">
        <v>37</v>
      </c>
    </row>
    <row r="908" spans="1:15">
      <c r="A908" s="1">
        <v>46082</v>
      </c>
      <c r="B908" t="s">
        <v>279</v>
      </c>
      <c r="C908" t="s">
        <v>38</v>
      </c>
      <c r="D908" t="s">
        <v>39</v>
      </c>
      <c r="E908" t="s">
        <v>22</v>
      </c>
      <c r="F908" t="s">
        <v>23</v>
      </c>
      <c r="G908">
        <v>252</v>
      </c>
      <c r="H908">
        <v>0</v>
      </c>
      <c r="I908">
        <v>73</v>
      </c>
      <c r="J908">
        <v>179</v>
      </c>
      <c r="K908">
        <v>110</v>
      </c>
      <c r="L908" t="b">
        <v>0</v>
      </c>
      <c r="M908">
        <v>82.77</v>
      </c>
      <c r="N908">
        <v>14816.25</v>
      </c>
      <c r="O908" t="s">
        <v>24</v>
      </c>
    </row>
    <row r="909" spans="1:15">
      <c r="A909" s="1">
        <v>46082</v>
      </c>
      <c r="B909" t="s">
        <v>279</v>
      </c>
      <c r="C909" t="s">
        <v>40</v>
      </c>
      <c r="D909" t="s">
        <v>41</v>
      </c>
      <c r="E909" t="s">
        <v>22</v>
      </c>
      <c r="F909" t="s">
        <v>23</v>
      </c>
      <c r="G909">
        <v>339</v>
      </c>
      <c r="H909">
        <v>0</v>
      </c>
      <c r="I909">
        <v>142</v>
      </c>
      <c r="J909">
        <v>197</v>
      </c>
      <c r="K909">
        <v>188</v>
      </c>
      <c r="L909" t="b">
        <v>0</v>
      </c>
      <c r="M909">
        <v>315.36</v>
      </c>
      <c r="N909">
        <v>62125.45</v>
      </c>
      <c r="O909" t="s">
        <v>24</v>
      </c>
    </row>
    <row r="910" spans="1:15">
      <c r="A910" s="1">
        <v>46082</v>
      </c>
      <c r="B910" t="s">
        <v>279</v>
      </c>
      <c r="C910" t="s">
        <v>42</v>
      </c>
      <c r="D910" t="s">
        <v>43</v>
      </c>
      <c r="E910" t="s">
        <v>22</v>
      </c>
      <c r="F910" t="s">
        <v>23</v>
      </c>
      <c r="G910">
        <v>94</v>
      </c>
      <c r="H910">
        <v>327</v>
      </c>
      <c r="I910">
        <v>116</v>
      </c>
      <c r="J910">
        <v>305</v>
      </c>
      <c r="K910">
        <v>145</v>
      </c>
      <c r="L910" t="b">
        <v>0</v>
      </c>
      <c r="M910">
        <v>169.25</v>
      </c>
      <c r="N910">
        <v>51620.71</v>
      </c>
      <c r="O910" t="s">
        <v>44</v>
      </c>
    </row>
    <row r="911" spans="1:15">
      <c r="A911" s="1">
        <v>46082</v>
      </c>
      <c r="B911" t="s">
        <v>279</v>
      </c>
      <c r="C911" t="s">
        <v>45</v>
      </c>
      <c r="D911" t="s">
        <v>46</v>
      </c>
      <c r="E911" t="s">
        <v>22</v>
      </c>
      <c r="F911" t="s">
        <v>23</v>
      </c>
      <c r="G911">
        <v>346</v>
      </c>
      <c r="H911">
        <v>0</v>
      </c>
      <c r="I911">
        <v>231</v>
      </c>
      <c r="J911">
        <v>115</v>
      </c>
      <c r="K911">
        <v>227</v>
      </c>
      <c r="L911" t="b">
        <v>1</v>
      </c>
      <c r="M911">
        <v>666.8</v>
      </c>
      <c r="N911">
        <v>76681.95</v>
      </c>
      <c r="O911" t="s">
        <v>47</v>
      </c>
    </row>
    <row r="912" spans="1:15">
      <c r="A912" s="1">
        <v>46082</v>
      </c>
      <c r="B912" t="s">
        <v>279</v>
      </c>
      <c r="C912" t="s">
        <v>50</v>
      </c>
      <c r="D912" t="s">
        <v>51</v>
      </c>
      <c r="E912" t="s">
        <v>22</v>
      </c>
      <c r="F912" t="s">
        <v>23</v>
      </c>
      <c r="G912">
        <v>64</v>
      </c>
      <c r="H912">
        <v>222</v>
      </c>
      <c r="I912">
        <v>54</v>
      </c>
      <c r="J912">
        <v>232</v>
      </c>
      <c r="K912">
        <v>106</v>
      </c>
      <c r="L912" t="b">
        <v>0</v>
      </c>
      <c r="M912">
        <v>269.44</v>
      </c>
      <c r="N912">
        <v>62510.91</v>
      </c>
      <c r="O912" t="s">
        <v>24</v>
      </c>
    </row>
    <row r="913" spans="1:15">
      <c r="A913" s="1">
        <v>46082</v>
      </c>
      <c r="B913" t="s">
        <v>279</v>
      </c>
      <c r="C913" t="s">
        <v>52</v>
      </c>
      <c r="D913" t="s">
        <v>53</v>
      </c>
      <c r="E913" t="s">
        <v>22</v>
      </c>
      <c r="F913" t="s">
        <v>23</v>
      </c>
      <c r="G913">
        <v>199</v>
      </c>
      <c r="H913">
        <v>563</v>
      </c>
      <c r="I913">
        <v>197</v>
      </c>
      <c r="J913">
        <v>565</v>
      </c>
      <c r="K913">
        <v>229</v>
      </c>
      <c r="L913" t="b">
        <v>0</v>
      </c>
      <c r="M913">
        <v>56.86</v>
      </c>
      <c r="N913">
        <v>32125.27</v>
      </c>
      <c r="O913" t="s">
        <v>47</v>
      </c>
    </row>
    <row r="914" spans="1:15">
      <c r="A914" s="1">
        <v>46082</v>
      </c>
      <c r="B914" t="s">
        <v>279</v>
      </c>
      <c r="C914" t="s">
        <v>54</v>
      </c>
      <c r="D914" t="s">
        <v>55</v>
      </c>
      <c r="E914" t="s">
        <v>22</v>
      </c>
      <c r="F914" t="s">
        <v>23</v>
      </c>
      <c r="G914">
        <v>45</v>
      </c>
      <c r="H914">
        <v>107</v>
      </c>
      <c r="I914">
        <v>51</v>
      </c>
      <c r="J914">
        <v>101</v>
      </c>
      <c r="K914">
        <v>40</v>
      </c>
      <c r="L914" t="b">
        <v>0</v>
      </c>
      <c r="M914">
        <v>264.92</v>
      </c>
      <c r="N914">
        <v>26756.799999999999</v>
      </c>
      <c r="O914" t="s">
        <v>44</v>
      </c>
    </row>
    <row r="915" spans="1:15">
      <c r="A915" s="1">
        <v>46082</v>
      </c>
      <c r="B915" t="s">
        <v>279</v>
      </c>
      <c r="C915" t="s">
        <v>56</v>
      </c>
      <c r="D915" t="s">
        <v>57</v>
      </c>
      <c r="E915" t="s">
        <v>22</v>
      </c>
      <c r="F915" t="s">
        <v>23</v>
      </c>
      <c r="G915">
        <v>52</v>
      </c>
      <c r="H915">
        <v>0</v>
      </c>
      <c r="I915">
        <v>33</v>
      </c>
      <c r="J915">
        <v>19</v>
      </c>
      <c r="K915">
        <v>28</v>
      </c>
      <c r="L915" t="b">
        <v>1</v>
      </c>
      <c r="M915">
        <v>465.11</v>
      </c>
      <c r="N915">
        <v>8837.09</v>
      </c>
      <c r="O915" t="s">
        <v>24</v>
      </c>
    </row>
    <row r="916" spans="1:15">
      <c r="A916" s="1">
        <v>46082</v>
      </c>
      <c r="B916" t="s">
        <v>279</v>
      </c>
      <c r="C916" t="s">
        <v>58</v>
      </c>
      <c r="D916" t="s">
        <v>59</v>
      </c>
      <c r="E916" t="s">
        <v>22</v>
      </c>
      <c r="F916" t="s">
        <v>23</v>
      </c>
      <c r="G916">
        <v>476</v>
      </c>
      <c r="H916">
        <v>0</v>
      </c>
      <c r="I916">
        <v>256</v>
      </c>
      <c r="J916">
        <v>220</v>
      </c>
      <c r="K916">
        <v>170</v>
      </c>
      <c r="L916" t="b">
        <v>0</v>
      </c>
      <c r="M916">
        <v>1884.37</v>
      </c>
      <c r="N916">
        <v>414561.49</v>
      </c>
      <c r="O916" t="s">
        <v>60</v>
      </c>
    </row>
    <row r="917" spans="1:15">
      <c r="A917" s="1">
        <v>46082</v>
      </c>
      <c r="B917" t="s">
        <v>279</v>
      </c>
      <c r="C917" t="s">
        <v>61</v>
      </c>
      <c r="D917" t="s">
        <v>62</v>
      </c>
      <c r="E917" t="s">
        <v>22</v>
      </c>
      <c r="F917" t="s">
        <v>23</v>
      </c>
      <c r="G917">
        <v>285</v>
      </c>
      <c r="H917">
        <v>0</v>
      </c>
      <c r="I917">
        <v>89</v>
      </c>
      <c r="J917">
        <v>196</v>
      </c>
      <c r="K917">
        <v>82</v>
      </c>
      <c r="L917" t="b">
        <v>0</v>
      </c>
      <c r="M917">
        <v>23.24</v>
      </c>
      <c r="N917">
        <v>4554.2</v>
      </c>
      <c r="O917" t="s">
        <v>44</v>
      </c>
    </row>
    <row r="918" spans="1:15">
      <c r="A918" s="1">
        <v>46082</v>
      </c>
      <c r="B918" t="s">
        <v>279</v>
      </c>
      <c r="C918" t="s">
        <v>63</v>
      </c>
      <c r="D918" t="s">
        <v>64</v>
      </c>
      <c r="E918" t="s">
        <v>22</v>
      </c>
      <c r="F918" t="s">
        <v>23</v>
      </c>
      <c r="G918">
        <v>54</v>
      </c>
      <c r="H918">
        <v>180</v>
      </c>
      <c r="I918">
        <v>61</v>
      </c>
      <c r="J918">
        <v>173</v>
      </c>
      <c r="K918">
        <v>59</v>
      </c>
      <c r="L918" t="b">
        <v>0</v>
      </c>
      <c r="M918">
        <v>112.91</v>
      </c>
      <c r="N918">
        <v>19533.47</v>
      </c>
      <c r="O918" t="s">
        <v>47</v>
      </c>
    </row>
    <row r="919" spans="1:15">
      <c r="A919" s="1">
        <v>46082</v>
      </c>
      <c r="B919" t="s">
        <v>279</v>
      </c>
      <c r="C919" t="s">
        <v>65</v>
      </c>
      <c r="D919" t="s">
        <v>66</v>
      </c>
      <c r="E919" t="s">
        <v>22</v>
      </c>
      <c r="F919" t="s">
        <v>23</v>
      </c>
      <c r="G919">
        <v>59</v>
      </c>
      <c r="H919">
        <v>60</v>
      </c>
      <c r="I919">
        <v>16</v>
      </c>
      <c r="J919">
        <v>103</v>
      </c>
      <c r="K919">
        <v>21</v>
      </c>
      <c r="L919" t="b">
        <v>0</v>
      </c>
      <c r="M919">
        <v>81.599999999999994</v>
      </c>
      <c r="N919">
        <v>8404.7199999999993</v>
      </c>
      <c r="O919" t="s">
        <v>44</v>
      </c>
    </row>
    <row r="920" spans="1:15">
      <c r="A920" s="1">
        <v>46082</v>
      </c>
      <c r="B920" t="s">
        <v>279</v>
      </c>
      <c r="C920" t="s">
        <v>67</v>
      </c>
      <c r="D920" t="s">
        <v>68</v>
      </c>
      <c r="E920" t="s">
        <v>22</v>
      </c>
      <c r="F920" t="s">
        <v>23</v>
      </c>
      <c r="G920">
        <v>71</v>
      </c>
      <c r="H920">
        <v>257</v>
      </c>
      <c r="I920">
        <v>81</v>
      </c>
      <c r="J920">
        <v>247</v>
      </c>
      <c r="K920">
        <v>87</v>
      </c>
      <c r="L920" t="b">
        <v>0</v>
      </c>
      <c r="M920">
        <v>363.65</v>
      </c>
      <c r="N920">
        <v>89822.65</v>
      </c>
      <c r="O920" t="s">
        <v>27</v>
      </c>
    </row>
    <row r="921" spans="1:15">
      <c r="A921" s="1">
        <v>46082</v>
      </c>
      <c r="B921" t="s">
        <v>279</v>
      </c>
      <c r="C921" t="s">
        <v>69</v>
      </c>
      <c r="D921" t="s">
        <v>70</v>
      </c>
      <c r="E921" t="s">
        <v>71</v>
      </c>
      <c r="F921" t="s">
        <v>23</v>
      </c>
      <c r="G921">
        <v>52</v>
      </c>
      <c r="H921">
        <v>74</v>
      </c>
      <c r="I921">
        <v>19</v>
      </c>
      <c r="J921">
        <v>107</v>
      </c>
      <c r="K921">
        <v>46</v>
      </c>
      <c r="L921" t="b">
        <v>0</v>
      </c>
      <c r="M921">
        <v>104.76</v>
      </c>
      <c r="N921">
        <v>11209.76</v>
      </c>
      <c r="O921" t="s">
        <v>27</v>
      </c>
    </row>
    <row r="922" spans="1:15">
      <c r="A922" s="1">
        <v>46082</v>
      </c>
      <c r="B922" t="s">
        <v>279</v>
      </c>
      <c r="C922" t="s">
        <v>72</v>
      </c>
      <c r="D922" t="s">
        <v>73</v>
      </c>
      <c r="E922" t="s">
        <v>71</v>
      </c>
      <c r="F922" t="s">
        <v>23</v>
      </c>
      <c r="G922">
        <v>156</v>
      </c>
      <c r="H922">
        <v>0</v>
      </c>
      <c r="I922">
        <v>150</v>
      </c>
      <c r="J922">
        <v>6</v>
      </c>
      <c r="K922">
        <v>121</v>
      </c>
      <c r="L922" t="b">
        <v>1</v>
      </c>
      <c r="M922">
        <v>407.21</v>
      </c>
      <c r="N922">
        <v>2443.29</v>
      </c>
      <c r="O922" t="s">
        <v>60</v>
      </c>
    </row>
    <row r="923" spans="1:15">
      <c r="A923" s="1">
        <v>46082</v>
      </c>
      <c r="B923" t="s">
        <v>279</v>
      </c>
      <c r="C923" t="s">
        <v>74</v>
      </c>
      <c r="D923" t="s">
        <v>75</v>
      </c>
      <c r="E923" t="s">
        <v>71</v>
      </c>
      <c r="F923" t="s">
        <v>23</v>
      </c>
      <c r="G923">
        <v>183</v>
      </c>
      <c r="H923">
        <v>0</v>
      </c>
      <c r="I923">
        <v>98</v>
      </c>
      <c r="J923">
        <v>85</v>
      </c>
      <c r="K923">
        <v>87</v>
      </c>
      <c r="L923" t="b">
        <v>1</v>
      </c>
      <c r="M923">
        <v>239.06</v>
      </c>
      <c r="N923">
        <v>20320.03</v>
      </c>
      <c r="O923" t="s">
        <v>37</v>
      </c>
    </row>
    <row r="924" spans="1:15">
      <c r="A924" s="1">
        <v>46082</v>
      </c>
      <c r="B924" t="s">
        <v>279</v>
      </c>
      <c r="C924" t="s">
        <v>76</v>
      </c>
      <c r="D924" t="s">
        <v>77</v>
      </c>
      <c r="E924" t="s">
        <v>71</v>
      </c>
      <c r="F924" t="s">
        <v>23</v>
      </c>
      <c r="G924">
        <v>336</v>
      </c>
      <c r="H924">
        <v>218</v>
      </c>
      <c r="I924">
        <v>84</v>
      </c>
      <c r="J924">
        <v>470</v>
      </c>
      <c r="K924">
        <v>115</v>
      </c>
      <c r="L924" t="b">
        <v>0</v>
      </c>
      <c r="M924">
        <v>1055.5999999999999</v>
      </c>
      <c r="N924">
        <v>496132.68</v>
      </c>
      <c r="O924" t="s">
        <v>37</v>
      </c>
    </row>
    <row r="925" spans="1:15">
      <c r="A925" s="1">
        <v>46082</v>
      </c>
      <c r="B925" t="s">
        <v>279</v>
      </c>
      <c r="C925" t="s">
        <v>78</v>
      </c>
      <c r="D925" t="s">
        <v>79</v>
      </c>
      <c r="E925" t="s">
        <v>71</v>
      </c>
      <c r="F925" t="s">
        <v>23</v>
      </c>
      <c r="G925">
        <v>60</v>
      </c>
      <c r="H925">
        <v>150</v>
      </c>
      <c r="I925">
        <v>69</v>
      </c>
      <c r="J925">
        <v>141</v>
      </c>
      <c r="K925">
        <v>81</v>
      </c>
      <c r="L925" t="b">
        <v>0</v>
      </c>
      <c r="M925">
        <v>359.01</v>
      </c>
      <c r="N925">
        <v>50620.71</v>
      </c>
      <c r="O925" t="s">
        <v>47</v>
      </c>
    </row>
    <row r="926" spans="1:15">
      <c r="A926" s="1">
        <v>46082</v>
      </c>
      <c r="B926" t="s">
        <v>279</v>
      </c>
      <c r="C926" t="s">
        <v>80</v>
      </c>
      <c r="D926" t="s">
        <v>81</v>
      </c>
      <c r="E926" t="s">
        <v>71</v>
      </c>
      <c r="F926" t="s">
        <v>23</v>
      </c>
      <c r="G926">
        <v>61</v>
      </c>
      <c r="H926">
        <v>125</v>
      </c>
      <c r="I926">
        <v>27</v>
      </c>
      <c r="J926">
        <v>159</v>
      </c>
      <c r="K926">
        <v>37</v>
      </c>
      <c r="L926" t="b">
        <v>0</v>
      </c>
      <c r="M926">
        <v>1701.79</v>
      </c>
      <c r="N926">
        <v>270584.76</v>
      </c>
      <c r="O926" t="s">
        <v>32</v>
      </c>
    </row>
    <row r="927" spans="1:15">
      <c r="A927" s="1">
        <v>46082</v>
      </c>
      <c r="B927" t="s">
        <v>279</v>
      </c>
      <c r="C927" t="s">
        <v>82</v>
      </c>
      <c r="D927" t="s">
        <v>83</v>
      </c>
      <c r="E927" t="s">
        <v>71</v>
      </c>
      <c r="F927" t="s">
        <v>23</v>
      </c>
      <c r="G927">
        <v>146</v>
      </c>
      <c r="H927">
        <v>420</v>
      </c>
      <c r="I927">
        <v>85</v>
      </c>
      <c r="J927">
        <v>481</v>
      </c>
      <c r="K927">
        <v>193</v>
      </c>
      <c r="L927" t="b">
        <v>0</v>
      </c>
      <c r="M927">
        <v>1799.89</v>
      </c>
      <c r="N927">
        <v>865746.6</v>
      </c>
      <c r="O927" t="s">
        <v>37</v>
      </c>
    </row>
    <row r="928" spans="1:15">
      <c r="A928" s="1">
        <v>46082</v>
      </c>
      <c r="B928" t="s">
        <v>279</v>
      </c>
      <c r="C928" t="s">
        <v>84</v>
      </c>
      <c r="D928" t="s">
        <v>85</v>
      </c>
      <c r="E928" t="s">
        <v>71</v>
      </c>
      <c r="F928" t="s">
        <v>23</v>
      </c>
      <c r="G928">
        <v>308</v>
      </c>
      <c r="H928">
        <v>598</v>
      </c>
      <c r="I928">
        <v>227</v>
      </c>
      <c r="J928">
        <v>679</v>
      </c>
      <c r="K928">
        <v>255</v>
      </c>
      <c r="L928" t="b">
        <v>0</v>
      </c>
      <c r="M928">
        <v>7953.12</v>
      </c>
      <c r="N928">
        <v>5400170.1900000004</v>
      </c>
      <c r="O928" t="s">
        <v>47</v>
      </c>
    </row>
    <row r="929" spans="1:15">
      <c r="A929" s="1">
        <v>46082</v>
      </c>
      <c r="B929" t="s">
        <v>279</v>
      </c>
      <c r="C929" t="s">
        <v>86</v>
      </c>
      <c r="D929" t="s">
        <v>87</v>
      </c>
      <c r="E929" t="s">
        <v>71</v>
      </c>
      <c r="F929" t="s">
        <v>23</v>
      </c>
      <c r="G929">
        <v>266</v>
      </c>
      <c r="H929">
        <v>0</v>
      </c>
      <c r="I929">
        <v>102</v>
      </c>
      <c r="J929">
        <v>164</v>
      </c>
      <c r="K929">
        <v>118</v>
      </c>
      <c r="L929" t="b">
        <v>0</v>
      </c>
      <c r="M929">
        <v>43.71</v>
      </c>
      <c r="N929">
        <v>7168.49</v>
      </c>
      <c r="O929" t="s">
        <v>60</v>
      </c>
    </row>
    <row r="930" spans="1:15">
      <c r="A930" s="1">
        <v>46082</v>
      </c>
      <c r="B930" t="s">
        <v>279</v>
      </c>
      <c r="C930" t="s">
        <v>88</v>
      </c>
      <c r="D930" t="s">
        <v>89</v>
      </c>
      <c r="E930" t="s">
        <v>71</v>
      </c>
      <c r="F930" t="s">
        <v>23</v>
      </c>
      <c r="G930">
        <v>726</v>
      </c>
      <c r="H930">
        <v>0</v>
      </c>
      <c r="I930">
        <v>199</v>
      </c>
      <c r="J930">
        <v>527</v>
      </c>
      <c r="K930">
        <v>314</v>
      </c>
      <c r="L930" t="b">
        <v>0</v>
      </c>
      <c r="M930">
        <v>216.33</v>
      </c>
      <c r="N930">
        <v>114005.8</v>
      </c>
      <c r="O930" t="s">
        <v>32</v>
      </c>
    </row>
    <row r="931" spans="1:15">
      <c r="A931" s="1">
        <v>46082</v>
      </c>
      <c r="B931" t="s">
        <v>279</v>
      </c>
      <c r="C931" t="s">
        <v>92</v>
      </c>
      <c r="D931" t="s">
        <v>93</v>
      </c>
      <c r="E931" t="s">
        <v>71</v>
      </c>
      <c r="F931" t="s">
        <v>23</v>
      </c>
      <c r="G931">
        <v>335</v>
      </c>
      <c r="H931">
        <v>0</v>
      </c>
      <c r="I931">
        <v>94</v>
      </c>
      <c r="J931">
        <v>241</v>
      </c>
      <c r="K931">
        <v>139</v>
      </c>
      <c r="L931" t="b">
        <v>0</v>
      </c>
      <c r="M931">
        <v>253.69</v>
      </c>
      <c r="N931">
        <v>61138.12</v>
      </c>
      <c r="O931" t="s">
        <v>24</v>
      </c>
    </row>
    <row r="932" spans="1:15">
      <c r="A932" s="1">
        <v>46082</v>
      </c>
      <c r="B932" t="s">
        <v>279</v>
      </c>
      <c r="C932" t="s">
        <v>247</v>
      </c>
      <c r="D932" t="s">
        <v>248</v>
      </c>
      <c r="E932" t="s">
        <v>71</v>
      </c>
      <c r="F932" t="s">
        <v>23</v>
      </c>
      <c r="G932">
        <v>426</v>
      </c>
      <c r="H932">
        <v>0</v>
      </c>
      <c r="I932">
        <v>174</v>
      </c>
      <c r="J932">
        <v>252</v>
      </c>
      <c r="K932">
        <v>196</v>
      </c>
      <c r="L932" t="b">
        <v>0</v>
      </c>
      <c r="M932">
        <v>281.10000000000002</v>
      </c>
      <c r="N932">
        <v>70837.19</v>
      </c>
      <c r="O932" t="s">
        <v>32</v>
      </c>
    </row>
    <row r="933" spans="1:15">
      <c r="A933" s="1">
        <v>46082</v>
      </c>
      <c r="B933" t="s">
        <v>279</v>
      </c>
      <c r="C933" t="s">
        <v>103</v>
      </c>
      <c r="D933" t="s">
        <v>104</v>
      </c>
      <c r="E933" t="s">
        <v>71</v>
      </c>
      <c r="F933" t="s">
        <v>23</v>
      </c>
      <c r="G933">
        <v>204</v>
      </c>
      <c r="H933">
        <v>0</v>
      </c>
      <c r="I933">
        <v>171</v>
      </c>
      <c r="J933">
        <v>33</v>
      </c>
      <c r="K933">
        <v>161</v>
      </c>
      <c r="L933" t="b">
        <v>1</v>
      </c>
      <c r="M933">
        <v>525.5</v>
      </c>
      <c r="N933">
        <v>17341.599999999999</v>
      </c>
      <c r="O933" t="s">
        <v>98</v>
      </c>
    </row>
    <row r="934" spans="1:15">
      <c r="A934" s="1">
        <v>46082</v>
      </c>
      <c r="B934" t="s">
        <v>279</v>
      </c>
      <c r="C934" t="s">
        <v>105</v>
      </c>
      <c r="D934" t="s">
        <v>106</v>
      </c>
      <c r="E934" t="s">
        <v>71</v>
      </c>
      <c r="F934" t="s">
        <v>23</v>
      </c>
      <c r="G934">
        <v>335</v>
      </c>
      <c r="H934">
        <v>0</v>
      </c>
      <c r="I934">
        <v>291</v>
      </c>
      <c r="J934">
        <v>44</v>
      </c>
      <c r="K934">
        <v>236</v>
      </c>
      <c r="L934" t="b">
        <v>1</v>
      </c>
      <c r="M934">
        <v>2377.34</v>
      </c>
      <c r="N934">
        <v>104602.88</v>
      </c>
      <c r="O934" t="s">
        <v>32</v>
      </c>
    </row>
    <row r="935" spans="1:15">
      <c r="A935" s="1">
        <v>46082</v>
      </c>
      <c r="B935" t="s">
        <v>279</v>
      </c>
      <c r="C935" t="s">
        <v>107</v>
      </c>
      <c r="D935" t="s">
        <v>108</v>
      </c>
      <c r="E935" t="s">
        <v>109</v>
      </c>
      <c r="F935" t="s">
        <v>110</v>
      </c>
      <c r="G935">
        <v>97</v>
      </c>
      <c r="H935">
        <v>186</v>
      </c>
      <c r="I935">
        <v>89</v>
      </c>
      <c r="J935">
        <v>194</v>
      </c>
      <c r="K935">
        <v>96</v>
      </c>
      <c r="L935" t="b">
        <v>0</v>
      </c>
      <c r="M935">
        <v>101.63</v>
      </c>
      <c r="N935">
        <v>19715.349999999999</v>
      </c>
      <c r="O935" t="s">
        <v>24</v>
      </c>
    </row>
    <row r="936" spans="1:15">
      <c r="A936" s="1">
        <v>46082</v>
      </c>
      <c r="B936" t="s">
        <v>279</v>
      </c>
      <c r="C936" t="s">
        <v>113</v>
      </c>
      <c r="D936" t="s">
        <v>114</v>
      </c>
      <c r="E936" t="s">
        <v>109</v>
      </c>
      <c r="F936" t="s">
        <v>110</v>
      </c>
      <c r="G936">
        <v>140</v>
      </c>
      <c r="H936">
        <v>0</v>
      </c>
      <c r="I936">
        <v>96</v>
      </c>
      <c r="J936">
        <v>44</v>
      </c>
      <c r="K936">
        <v>113</v>
      </c>
      <c r="L936" t="b">
        <v>1</v>
      </c>
      <c r="M936">
        <v>133.82</v>
      </c>
      <c r="N936">
        <v>5888</v>
      </c>
      <c r="O936" t="s">
        <v>27</v>
      </c>
    </row>
    <row r="937" spans="1:15">
      <c r="A937" s="1">
        <v>46082</v>
      </c>
      <c r="B937" t="s">
        <v>279</v>
      </c>
      <c r="C937" t="s">
        <v>115</v>
      </c>
      <c r="D937" t="s">
        <v>116</v>
      </c>
      <c r="E937" t="s">
        <v>109</v>
      </c>
      <c r="F937" t="s">
        <v>110</v>
      </c>
      <c r="G937">
        <v>243</v>
      </c>
      <c r="H937">
        <v>0</v>
      </c>
      <c r="I937">
        <v>190</v>
      </c>
      <c r="J937">
        <v>53</v>
      </c>
      <c r="K937">
        <v>195</v>
      </c>
      <c r="L937" t="b">
        <v>1</v>
      </c>
      <c r="M937">
        <v>593.75</v>
      </c>
      <c r="N937">
        <v>31468.51</v>
      </c>
      <c r="O937" t="s">
        <v>44</v>
      </c>
    </row>
    <row r="938" spans="1:15">
      <c r="A938" s="1">
        <v>46082</v>
      </c>
      <c r="B938" t="s">
        <v>279</v>
      </c>
      <c r="C938" t="s">
        <v>119</v>
      </c>
      <c r="D938" t="s">
        <v>120</v>
      </c>
      <c r="E938" t="s">
        <v>109</v>
      </c>
      <c r="F938" t="s">
        <v>110</v>
      </c>
      <c r="G938">
        <v>227</v>
      </c>
      <c r="H938">
        <v>494</v>
      </c>
      <c r="I938">
        <v>187</v>
      </c>
      <c r="J938">
        <v>534</v>
      </c>
      <c r="K938">
        <v>247</v>
      </c>
      <c r="L938" t="b">
        <v>0</v>
      </c>
      <c r="M938">
        <v>204.87</v>
      </c>
      <c r="N938">
        <v>109402.77</v>
      </c>
      <c r="O938" t="s">
        <v>32</v>
      </c>
    </row>
    <row r="939" spans="1:15">
      <c r="A939" s="1">
        <v>46082</v>
      </c>
      <c r="B939" t="s">
        <v>279</v>
      </c>
      <c r="C939" t="s">
        <v>121</v>
      </c>
      <c r="D939" t="s">
        <v>122</v>
      </c>
      <c r="E939" t="s">
        <v>109</v>
      </c>
      <c r="F939" t="s">
        <v>110</v>
      </c>
      <c r="G939">
        <v>227</v>
      </c>
      <c r="H939">
        <v>474</v>
      </c>
      <c r="I939">
        <v>205</v>
      </c>
      <c r="J939">
        <v>496</v>
      </c>
      <c r="K939">
        <v>261</v>
      </c>
      <c r="L939" t="b">
        <v>0</v>
      </c>
      <c r="M939">
        <v>40.380000000000003</v>
      </c>
      <c r="N939">
        <v>20028.36</v>
      </c>
      <c r="O939" t="s">
        <v>47</v>
      </c>
    </row>
    <row r="940" spans="1:15">
      <c r="A940" s="1">
        <v>46082</v>
      </c>
      <c r="B940" t="s">
        <v>279</v>
      </c>
      <c r="C940" t="s">
        <v>125</v>
      </c>
      <c r="D940" t="s">
        <v>126</v>
      </c>
      <c r="E940" t="s">
        <v>109</v>
      </c>
      <c r="F940" t="s">
        <v>110</v>
      </c>
      <c r="G940">
        <v>120</v>
      </c>
      <c r="H940">
        <v>298</v>
      </c>
      <c r="I940">
        <v>86</v>
      </c>
      <c r="J940">
        <v>332</v>
      </c>
      <c r="K940">
        <v>126</v>
      </c>
      <c r="L940" t="b">
        <v>0</v>
      </c>
      <c r="M940">
        <v>139.74</v>
      </c>
      <c r="N940">
        <v>46392.6</v>
      </c>
      <c r="O940" t="s">
        <v>47</v>
      </c>
    </row>
    <row r="941" spans="1:15">
      <c r="A941" s="1">
        <v>46082</v>
      </c>
      <c r="B941" t="s">
        <v>279</v>
      </c>
      <c r="C941" t="s">
        <v>127</v>
      </c>
      <c r="D941" t="s">
        <v>128</v>
      </c>
      <c r="E941" t="s">
        <v>109</v>
      </c>
      <c r="F941" t="s">
        <v>110</v>
      </c>
      <c r="G941">
        <v>42</v>
      </c>
      <c r="H941">
        <v>92</v>
      </c>
      <c r="I941">
        <v>28</v>
      </c>
      <c r="J941">
        <v>106</v>
      </c>
      <c r="K941">
        <v>43</v>
      </c>
      <c r="L941" t="b">
        <v>0</v>
      </c>
      <c r="M941">
        <v>604</v>
      </c>
      <c r="N941">
        <v>64023.75</v>
      </c>
      <c r="O941" t="s">
        <v>44</v>
      </c>
    </row>
    <row r="942" spans="1:15">
      <c r="A942" s="1">
        <v>46082</v>
      </c>
      <c r="B942" t="s">
        <v>279</v>
      </c>
      <c r="C942" t="s">
        <v>129</v>
      </c>
      <c r="D942" t="s">
        <v>130</v>
      </c>
      <c r="E942" t="s">
        <v>109</v>
      </c>
      <c r="F942" t="s">
        <v>110</v>
      </c>
      <c r="G942">
        <v>244</v>
      </c>
      <c r="H942">
        <v>0</v>
      </c>
      <c r="I942">
        <v>164</v>
      </c>
      <c r="J942">
        <v>80</v>
      </c>
      <c r="K942">
        <v>122</v>
      </c>
      <c r="L942" t="b">
        <v>1</v>
      </c>
      <c r="M942">
        <v>436.01</v>
      </c>
      <c r="N942">
        <v>34880.92</v>
      </c>
      <c r="O942" t="s">
        <v>32</v>
      </c>
    </row>
    <row r="943" spans="1:15">
      <c r="A943" s="1">
        <v>46082</v>
      </c>
      <c r="B943" t="s">
        <v>279</v>
      </c>
      <c r="C943" t="s">
        <v>131</v>
      </c>
      <c r="D943" t="s">
        <v>132</v>
      </c>
      <c r="E943" t="s">
        <v>109</v>
      </c>
      <c r="F943" t="s">
        <v>110</v>
      </c>
      <c r="G943">
        <v>171</v>
      </c>
      <c r="H943">
        <v>0</v>
      </c>
      <c r="I943">
        <v>88</v>
      </c>
      <c r="J943">
        <v>83</v>
      </c>
      <c r="K943">
        <v>128</v>
      </c>
      <c r="L943" t="b">
        <v>1</v>
      </c>
      <c r="M943">
        <v>1913.41</v>
      </c>
      <c r="N943">
        <v>158812.95000000001</v>
      </c>
      <c r="O943" t="s">
        <v>24</v>
      </c>
    </row>
    <row r="944" spans="1:15">
      <c r="A944" s="1">
        <v>46082</v>
      </c>
      <c r="B944" t="s">
        <v>279</v>
      </c>
      <c r="C944" t="s">
        <v>133</v>
      </c>
      <c r="D944" t="s">
        <v>134</v>
      </c>
      <c r="E944" t="s">
        <v>109</v>
      </c>
      <c r="F944" t="s">
        <v>110</v>
      </c>
      <c r="G944">
        <v>15</v>
      </c>
      <c r="H944">
        <v>41</v>
      </c>
      <c r="I944">
        <v>14</v>
      </c>
      <c r="J944">
        <v>42</v>
      </c>
      <c r="K944">
        <v>16</v>
      </c>
      <c r="L944" t="b">
        <v>0</v>
      </c>
      <c r="M944">
        <v>22.3</v>
      </c>
      <c r="N944">
        <v>936.5</v>
      </c>
      <c r="O944" t="s">
        <v>98</v>
      </c>
    </row>
    <row r="945" spans="1:15">
      <c r="A945" s="1">
        <v>46082</v>
      </c>
      <c r="B945" t="s">
        <v>279</v>
      </c>
      <c r="C945" t="s">
        <v>135</v>
      </c>
      <c r="D945" t="s">
        <v>136</v>
      </c>
      <c r="E945" t="s">
        <v>109</v>
      </c>
      <c r="F945" t="s">
        <v>110</v>
      </c>
      <c r="G945">
        <v>103</v>
      </c>
      <c r="H945">
        <v>371</v>
      </c>
      <c r="I945">
        <v>64</v>
      </c>
      <c r="J945">
        <v>410</v>
      </c>
      <c r="K945">
        <v>161</v>
      </c>
      <c r="L945" t="b">
        <v>0</v>
      </c>
      <c r="M945">
        <v>99.57</v>
      </c>
      <c r="N945">
        <v>40823.120000000003</v>
      </c>
      <c r="O945" t="s">
        <v>32</v>
      </c>
    </row>
    <row r="946" spans="1:15">
      <c r="A946" s="1">
        <v>46082</v>
      </c>
      <c r="B946" t="s">
        <v>279</v>
      </c>
      <c r="C946" t="s">
        <v>137</v>
      </c>
      <c r="D946" t="s">
        <v>138</v>
      </c>
      <c r="E946" t="s">
        <v>109</v>
      </c>
      <c r="F946" t="s">
        <v>110</v>
      </c>
      <c r="G946">
        <v>167</v>
      </c>
      <c r="H946">
        <v>474</v>
      </c>
      <c r="I946">
        <v>96</v>
      </c>
      <c r="J946">
        <v>545</v>
      </c>
      <c r="K946">
        <v>210</v>
      </c>
      <c r="L946" t="b">
        <v>0</v>
      </c>
      <c r="M946">
        <v>58.72</v>
      </c>
      <c r="N946">
        <v>32002.959999999999</v>
      </c>
      <c r="O946" t="s">
        <v>27</v>
      </c>
    </row>
    <row r="947" spans="1:15">
      <c r="A947" s="1">
        <v>46082</v>
      </c>
      <c r="B947" t="s">
        <v>279</v>
      </c>
      <c r="C947" t="s">
        <v>139</v>
      </c>
      <c r="D947" t="s">
        <v>140</v>
      </c>
      <c r="E947" t="s">
        <v>109</v>
      </c>
      <c r="F947" t="s">
        <v>110</v>
      </c>
      <c r="G947">
        <v>55</v>
      </c>
      <c r="H947">
        <v>0</v>
      </c>
      <c r="I947">
        <v>23</v>
      </c>
      <c r="J947">
        <v>32</v>
      </c>
      <c r="K947">
        <v>17</v>
      </c>
      <c r="L947" t="b">
        <v>0</v>
      </c>
      <c r="M947">
        <v>303.56</v>
      </c>
      <c r="N947">
        <v>9713.99</v>
      </c>
      <c r="O947" t="s">
        <v>32</v>
      </c>
    </row>
    <row r="948" spans="1:15">
      <c r="A948" s="1">
        <v>46082</v>
      </c>
      <c r="B948" t="s">
        <v>279</v>
      </c>
      <c r="C948" t="s">
        <v>143</v>
      </c>
      <c r="D948" t="s">
        <v>144</v>
      </c>
      <c r="E948" t="s">
        <v>109</v>
      </c>
      <c r="F948" t="s">
        <v>110</v>
      </c>
      <c r="G948">
        <v>99</v>
      </c>
      <c r="H948">
        <v>133</v>
      </c>
      <c r="I948">
        <v>43</v>
      </c>
      <c r="J948">
        <v>189</v>
      </c>
      <c r="K948">
        <v>56</v>
      </c>
      <c r="L948" t="b">
        <v>0</v>
      </c>
      <c r="M948">
        <v>401.16</v>
      </c>
      <c r="N948">
        <v>75819.350000000006</v>
      </c>
      <c r="O948" t="s">
        <v>24</v>
      </c>
    </row>
    <row r="949" spans="1:15">
      <c r="A949" s="1">
        <v>46082</v>
      </c>
      <c r="B949" t="s">
        <v>279</v>
      </c>
      <c r="C949" t="s">
        <v>152</v>
      </c>
      <c r="D949" t="s">
        <v>153</v>
      </c>
      <c r="E949" t="s">
        <v>151</v>
      </c>
      <c r="F949" t="s">
        <v>23</v>
      </c>
      <c r="G949">
        <v>368</v>
      </c>
      <c r="H949">
        <v>0</v>
      </c>
      <c r="I949">
        <v>80</v>
      </c>
      <c r="J949">
        <v>288</v>
      </c>
      <c r="K949">
        <v>102</v>
      </c>
      <c r="L949" t="b">
        <v>0</v>
      </c>
      <c r="M949">
        <v>1192.8699999999999</v>
      </c>
      <c r="N949">
        <v>343546.46</v>
      </c>
      <c r="O949" t="s">
        <v>98</v>
      </c>
    </row>
    <row r="950" spans="1:15">
      <c r="A950" s="1">
        <v>46082</v>
      </c>
      <c r="B950" t="s">
        <v>279</v>
      </c>
      <c r="C950" t="s">
        <v>154</v>
      </c>
      <c r="D950" t="s">
        <v>155</v>
      </c>
      <c r="E950" t="s">
        <v>151</v>
      </c>
      <c r="F950" t="s">
        <v>23</v>
      </c>
      <c r="G950">
        <v>94</v>
      </c>
      <c r="H950">
        <v>316</v>
      </c>
      <c r="I950">
        <v>74</v>
      </c>
      <c r="J950">
        <v>336</v>
      </c>
      <c r="K950">
        <v>134</v>
      </c>
      <c r="L950" t="b">
        <v>0</v>
      </c>
      <c r="M950">
        <v>307.29000000000002</v>
      </c>
      <c r="N950">
        <v>103247.94</v>
      </c>
      <c r="O950" t="s">
        <v>60</v>
      </c>
    </row>
    <row r="951" spans="1:15">
      <c r="A951" s="1">
        <v>46082</v>
      </c>
      <c r="B951" t="s">
        <v>279</v>
      </c>
      <c r="C951" t="s">
        <v>156</v>
      </c>
      <c r="D951" t="s">
        <v>157</v>
      </c>
      <c r="E951" t="s">
        <v>151</v>
      </c>
      <c r="F951" t="s">
        <v>23</v>
      </c>
      <c r="G951">
        <v>341</v>
      </c>
      <c r="H951">
        <v>507</v>
      </c>
      <c r="I951">
        <v>218</v>
      </c>
      <c r="J951">
        <v>630</v>
      </c>
      <c r="K951">
        <v>159</v>
      </c>
      <c r="L951" t="b">
        <v>0</v>
      </c>
      <c r="M951">
        <v>1527.6</v>
      </c>
      <c r="N951">
        <v>962386.32</v>
      </c>
      <c r="O951" t="s">
        <v>32</v>
      </c>
    </row>
    <row r="952" spans="1:15">
      <c r="A952" s="1">
        <v>46082</v>
      </c>
      <c r="B952" t="s">
        <v>279</v>
      </c>
      <c r="C952" t="s">
        <v>158</v>
      </c>
      <c r="D952" t="s">
        <v>159</v>
      </c>
      <c r="E952" t="s">
        <v>151</v>
      </c>
      <c r="F952" t="s">
        <v>23</v>
      </c>
      <c r="G952">
        <v>267</v>
      </c>
      <c r="H952">
        <v>413</v>
      </c>
      <c r="I952">
        <v>159</v>
      </c>
      <c r="J952">
        <v>521</v>
      </c>
      <c r="K952">
        <v>140</v>
      </c>
      <c r="L952" t="b">
        <v>0</v>
      </c>
      <c r="M952">
        <v>43.2</v>
      </c>
      <c r="N952">
        <v>22509.21</v>
      </c>
      <c r="O952" t="s">
        <v>37</v>
      </c>
    </row>
    <row r="953" spans="1:15">
      <c r="A953" s="1">
        <v>46082</v>
      </c>
      <c r="B953" t="s">
        <v>279</v>
      </c>
      <c r="C953" t="s">
        <v>160</v>
      </c>
      <c r="D953" t="s">
        <v>161</v>
      </c>
      <c r="E953" t="s">
        <v>151</v>
      </c>
      <c r="F953" t="s">
        <v>23</v>
      </c>
      <c r="G953">
        <v>50</v>
      </c>
      <c r="H953">
        <v>104</v>
      </c>
      <c r="I953">
        <v>32</v>
      </c>
      <c r="J953">
        <v>122</v>
      </c>
      <c r="K953">
        <v>46</v>
      </c>
      <c r="L953" t="b">
        <v>0</v>
      </c>
      <c r="M953">
        <v>226.44</v>
      </c>
      <c r="N953">
        <v>27626.03</v>
      </c>
      <c r="O953" t="s">
        <v>24</v>
      </c>
    </row>
    <row r="954" spans="1:15">
      <c r="A954" s="1">
        <v>46082</v>
      </c>
      <c r="B954" t="s">
        <v>279</v>
      </c>
      <c r="C954" t="s">
        <v>162</v>
      </c>
      <c r="D954" t="s">
        <v>163</v>
      </c>
      <c r="E954" t="s">
        <v>151</v>
      </c>
      <c r="F954" t="s">
        <v>23</v>
      </c>
      <c r="G954">
        <v>45</v>
      </c>
      <c r="H954">
        <v>142</v>
      </c>
      <c r="I954">
        <v>51</v>
      </c>
      <c r="J954">
        <v>136</v>
      </c>
      <c r="K954">
        <v>67</v>
      </c>
      <c r="L954" t="b">
        <v>0</v>
      </c>
      <c r="M954">
        <v>218.03</v>
      </c>
      <c r="N954">
        <v>29651.5</v>
      </c>
      <c r="O954" t="s">
        <v>37</v>
      </c>
    </row>
    <row r="955" spans="1:15">
      <c r="A955" s="1">
        <v>46082</v>
      </c>
      <c r="B955" t="s">
        <v>279</v>
      </c>
      <c r="C955" t="s">
        <v>164</v>
      </c>
      <c r="D955" t="s">
        <v>165</v>
      </c>
      <c r="E955" t="s">
        <v>151</v>
      </c>
      <c r="F955" t="s">
        <v>23</v>
      </c>
      <c r="G955">
        <v>154</v>
      </c>
      <c r="H955">
        <v>0</v>
      </c>
      <c r="I955">
        <v>51</v>
      </c>
      <c r="J955">
        <v>103</v>
      </c>
      <c r="K955">
        <v>84</v>
      </c>
      <c r="L955" t="b">
        <v>0</v>
      </c>
      <c r="M955">
        <v>914.71</v>
      </c>
      <c r="N955">
        <v>94214.8</v>
      </c>
      <c r="O955" t="s">
        <v>98</v>
      </c>
    </row>
    <row r="956" spans="1:15">
      <c r="A956" s="1">
        <v>46082</v>
      </c>
      <c r="B956" t="s">
        <v>279</v>
      </c>
      <c r="C956" t="s">
        <v>166</v>
      </c>
      <c r="D956" t="s">
        <v>167</v>
      </c>
      <c r="E956" t="s">
        <v>151</v>
      </c>
      <c r="F956" t="s">
        <v>23</v>
      </c>
      <c r="G956">
        <v>197</v>
      </c>
      <c r="H956">
        <v>0</v>
      </c>
      <c r="I956">
        <v>134</v>
      </c>
      <c r="J956">
        <v>63</v>
      </c>
      <c r="K956">
        <v>146</v>
      </c>
      <c r="L956" t="b">
        <v>1</v>
      </c>
      <c r="M956">
        <v>132.47999999999999</v>
      </c>
      <c r="N956">
        <v>8346.17</v>
      </c>
      <c r="O956" t="s">
        <v>44</v>
      </c>
    </row>
    <row r="957" spans="1:15">
      <c r="A957" s="1">
        <v>46082</v>
      </c>
      <c r="B957" t="s">
        <v>279</v>
      </c>
      <c r="C957" t="s">
        <v>249</v>
      </c>
      <c r="D957" t="s">
        <v>250</v>
      </c>
      <c r="E957" t="s">
        <v>151</v>
      </c>
      <c r="F957" t="s">
        <v>23</v>
      </c>
      <c r="G957">
        <v>548</v>
      </c>
      <c r="H957">
        <v>0</v>
      </c>
      <c r="I957">
        <v>146</v>
      </c>
      <c r="J957">
        <v>402</v>
      </c>
      <c r="K957">
        <v>231</v>
      </c>
      <c r="L957" t="b">
        <v>0</v>
      </c>
      <c r="M957">
        <v>594.34</v>
      </c>
      <c r="N957">
        <v>238924.76</v>
      </c>
      <c r="O957" t="s">
        <v>32</v>
      </c>
    </row>
    <row r="958" spans="1:15">
      <c r="A958" s="1">
        <v>46082</v>
      </c>
      <c r="B958" t="s">
        <v>279</v>
      </c>
      <c r="C958" t="s">
        <v>168</v>
      </c>
      <c r="D958" t="s">
        <v>169</v>
      </c>
      <c r="E958" t="s">
        <v>151</v>
      </c>
      <c r="F958" t="s">
        <v>23</v>
      </c>
      <c r="G958">
        <v>101</v>
      </c>
      <c r="H958">
        <v>529</v>
      </c>
      <c r="I958">
        <v>249</v>
      </c>
      <c r="J958">
        <v>381</v>
      </c>
      <c r="K958">
        <v>180</v>
      </c>
      <c r="L958" t="b">
        <v>0</v>
      </c>
      <c r="M958">
        <v>651.13</v>
      </c>
      <c r="N958">
        <v>248080.32</v>
      </c>
      <c r="O958" t="s">
        <v>27</v>
      </c>
    </row>
    <row r="959" spans="1:15">
      <c r="A959" s="1">
        <v>46082</v>
      </c>
      <c r="B959" t="s">
        <v>279</v>
      </c>
      <c r="C959" t="s">
        <v>170</v>
      </c>
      <c r="D959" t="s">
        <v>171</v>
      </c>
      <c r="E959" t="s">
        <v>151</v>
      </c>
      <c r="F959" t="s">
        <v>23</v>
      </c>
      <c r="G959">
        <v>65</v>
      </c>
      <c r="H959">
        <v>192</v>
      </c>
      <c r="I959">
        <v>77</v>
      </c>
      <c r="J959">
        <v>180</v>
      </c>
      <c r="K959">
        <v>96</v>
      </c>
      <c r="L959" t="b">
        <v>0</v>
      </c>
      <c r="M959">
        <v>3088.67</v>
      </c>
      <c r="N959">
        <v>555960.28</v>
      </c>
      <c r="O959" t="s">
        <v>47</v>
      </c>
    </row>
    <row r="960" spans="1:15">
      <c r="A960" s="1">
        <v>46082</v>
      </c>
      <c r="B960" t="s">
        <v>279</v>
      </c>
      <c r="C960" t="s">
        <v>172</v>
      </c>
      <c r="D960" t="s">
        <v>173</v>
      </c>
      <c r="E960" t="s">
        <v>151</v>
      </c>
      <c r="F960" t="s">
        <v>23</v>
      </c>
      <c r="G960">
        <v>502</v>
      </c>
      <c r="H960">
        <v>0</v>
      </c>
      <c r="I960">
        <v>146</v>
      </c>
      <c r="J960">
        <v>356</v>
      </c>
      <c r="K960">
        <v>168</v>
      </c>
      <c r="L960" t="b">
        <v>0</v>
      </c>
      <c r="M960">
        <v>465.62</v>
      </c>
      <c r="N960">
        <v>165760.28</v>
      </c>
      <c r="O960" t="s">
        <v>24</v>
      </c>
    </row>
    <row r="961" spans="1:15">
      <c r="A961" s="1">
        <v>46082</v>
      </c>
      <c r="B961" t="s">
        <v>279</v>
      </c>
      <c r="C961" t="s">
        <v>174</v>
      </c>
      <c r="D961" t="s">
        <v>175</v>
      </c>
      <c r="E961" t="s">
        <v>151</v>
      </c>
      <c r="F961" t="s">
        <v>23</v>
      </c>
      <c r="G961">
        <v>296</v>
      </c>
      <c r="H961">
        <v>0</v>
      </c>
      <c r="I961">
        <v>187</v>
      </c>
      <c r="J961">
        <v>109</v>
      </c>
      <c r="K961">
        <v>232</v>
      </c>
      <c r="L961" t="b">
        <v>1</v>
      </c>
      <c r="M961">
        <v>2312.85</v>
      </c>
      <c r="N961">
        <v>252100.66</v>
      </c>
      <c r="O961" t="s">
        <v>27</v>
      </c>
    </row>
    <row r="962" spans="1:15">
      <c r="A962" s="1">
        <v>46082</v>
      </c>
      <c r="B962" t="s">
        <v>279</v>
      </c>
      <c r="C962" t="s">
        <v>176</v>
      </c>
      <c r="D962" t="s">
        <v>177</v>
      </c>
      <c r="E962" t="s">
        <v>151</v>
      </c>
      <c r="F962" t="s">
        <v>23</v>
      </c>
      <c r="G962">
        <v>187</v>
      </c>
      <c r="H962">
        <v>243</v>
      </c>
      <c r="I962">
        <v>65</v>
      </c>
      <c r="J962">
        <v>365</v>
      </c>
      <c r="K962">
        <v>93</v>
      </c>
      <c r="L962" t="b">
        <v>0</v>
      </c>
      <c r="M962">
        <v>65.349999999999994</v>
      </c>
      <c r="N962">
        <v>23850.95</v>
      </c>
      <c r="O962" t="s">
        <v>27</v>
      </c>
    </row>
    <row r="963" spans="1:15">
      <c r="A963" s="1">
        <v>46082</v>
      </c>
      <c r="B963" t="s">
        <v>279</v>
      </c>
      <c r="C963" t="s">
        <v>178</v>
      </c>
      <c r="D963" t="s">
        <v>179</v>
      </c>
      <c r="E963" t="s">
        <v>151</v>
      </c>
      <c r="F963" t="s">
        <v>23</v>
      </c>
      <c r="G963">
        <v>14</v>
      </c>
      <c r="H963">
        <v>129</v>
      </c>
      <c r="I963">
        <v>29</v>
      </c>
      <c r="J963">
        <v>114</v>
      </c>
      <c r="K963">
        <v>39</v>
      </c>
      <c r="L963" t="b">
        <v>0</v>
      </c>
      <c r="M963">
        <v>338.06</v>
      </c>
      <c r="N963">
        <v>38538.53</v>
      </c>
      <c r="O963" t="s">
        <v>32</v>
      </c>
    </row>
    <row r="964" spans="1:15">
      <c r="A964" s="1">
        <v>46082</v>
      </c>
      <c r="B964" t="s">
        <v>279</v>
      </c>
      <c r="C964" t="s">
        <v>180</v>
      </c>
      <c r="D964" t="s">
        <v>181</v>
      </c>
      <c r="E964" t="s">
        <v>151</v>
      </c>
      <c r="F964" t="s">
        <v>23</v>
      </c>
      <c r="G964">
        <v>432</v>
      </c>
      <c r="H964">
        <v>0</v>
      </c>
      <c r="I964">
        <v>127</v>
      </c>
      <c r="J964">
        <v>305</v>
      </c>
      <c r="K964">
        <v>130</v>
      </c>
      <c r="L964" t="b">
        <v>0</v>
      </c>
      <c r="M964">
        <v>53.96</v>
      </c>
      <c r="N964">
        <v>16457.669999999998</v>
      </c>
      <c r="O964" t="s">
        <v>44</v>
      </c>
    </row>
    <row r="965" spans="1:15">
      <c r="A965" s="1">
        <v>46082</v>
      </c>
      <c r="B965" t="s">
        <v>279</v>
      </c>
      <c r="C965" t="s">
        <v>182</v>
      </c>
      <c r="D965" t="s">
        <v>183</v>
      </c>
      <c r="E965" t="s">
        <v>151</v>
      </c>
      <c r="F965" t="s">
        <v>23</v>
      </c>
      <c r="G965">
        <v>234</v>
      </c>
      <c r="H965">
        <v>0</v>
      </c>
      <c r="I965">
        <v>51</v>
      </c>
      <c r="J965">
        <v>183</v>
      </c>
      <c r="K965">
        <v>66</v>
      </c>
      <c r="L965" t="b">
        <v>0</v>
      </c>
      <c r="M965">
        <v>261.07</v>
      </c>
      <c r="N965">
        <v>47775.28</v>
      </c>
      <c r="O965" t="s">
        <v>32</v>
      </c>
    </row>
    <row r="966" spans="1:15">
      <c r="A966" s="1">
        <v>46082</v>
      </c>
      <c r="B966" t="s">
        <v>279</v>
      </c>
      <c r="C966" t="s">
        <v>251</v>
      </c>
      <c r="D966" t="s">
        <v>252</v>
      </c>
      <c r="E966" t="s">
        <v>151</v>
      </c>
      <c r="F966" t="s">
        <v>23</v>
      </c>
      <c r="G966">
        <v>202</v>
      </c>
      <c r="H966">
        <v>742</v>
      </c>
      <c r="I966">
        <v>301</v>
      </c>
      <c r="J966">
        <v>643</v>
      </c>
      <c r="K966">
        <v>261</v>
      </c>
      <c r="L966" t="b">
        <v>0</v>
      </c>
      <c r="M966">
        <v>79.44</v>
      </c>
      <c r="N966">
        <v>51081.62</v>
      </c>
      <c r="O966" t="s">
        <v>44</v>
      </c>
    </row>
    <row r="967" spans="1:15">
      <c r="A967" s="1">
        <v>46082</v>
      </c>
      <c r="B967" t="s">
        <v>279</v>
      </c>
      <c r="C967" t="s">
        <v>184</v>
      </c>
      <c r="D967" t="s">
        <v>185</v>
      </c>
      <c r="E967" t="s">
        <v>151</v>
      </c>
      <c r="F967" t="s">
        <v>23</v>
      </c>
      <c r="G967">
        <v>275</v>
      </c>
      <c r="H967">
        <v>0</v>
      </c>
      <c r="I967">
        <v>88</v>
      </c>
      <c r="J967">
        <v>187</v>
      </c>
      <c r="K967">
        <v>88</v>
      </c>
      <c r="L967" t="b">
        <v>0</v>
      </c>
      <c r="M967">
        <v>383.45</v>
      </c>
      <c r="N967">
        <v>71705.009999999995</v>
      </c>
      <c r="O967" t="s">
        <v>60</v>
      </c>
    </row>
    <row r="968" spans="1:15">
      <c r="A968" s="1">
        <v>46082</v>
      </c>
      <c r="B968" t="s">
        <v>279</v>
      </c>
      <c r="C968" t="s">
        <v>186</v>
      </c>
      <c r="D968" t="s">
        <v>187</v>
      </c>
      <c r="E968" t="s">
        <v>188</v>
      </c>
      <c r="F968" t="s">
        <v>23</v>
      </c>
      <c r="G968">
        <v>26</v>
      </c>
      <c r="H968">
        <v>0</v>
      </c>
      <c r="I968">
        <v>18</v>
      </c>
      <c r="J968">
        <v>8</v>
      </c>
      <c r="K968">
        <v>15</v>
      </c>
      <c r="L968" t="b">
        <v>1</v>
      </c>
      <c r="M968">
        <v>131.88</v>
      </c>
      <c r="N968">
        <v>1055.06</v>
      </c>
      <c r="O968" t="s">
        <v>24</v>
      </c>
    </row>
    <row r="969" spans="1:15">
      <c r="A969" s="1">
        <v>46082</v>
      </c>
      <c r="B969" t="s">
        <v>279</v>
      </c>
      <c r="C969" t="s">
        <v>189</v>
      </c>
      <c r="D969" t="s">
        <v>190</v>
      </c>
      <c r="E969" t="s">
        <v>188</v>
      </c>
      <c r="F969" t="s">
        <v>23</v>
      </c>
      <c r="G969">
        <v>154</v>
      </c>
      <c r="H969">
        <v>342</v>
      </c>
      <c r="I969">
        <v>87</v>
      </c>
      <c r="J969">
        <v>409</v>
      </c>
      <c r="K969">
        <v>135</v>
      </c>
      <c r="L969" t="b">
        <v>0</v>
      </c>
      <c r="M969">
        <v>548.28</v>
      </c>
      <c r="N969">
        <v>224246.5</v>
      </c>
      <c r="O969" t="s">
        <v>98</v>
      </c>
    </row>
    <row r="970" spans="1:15">
      <c r="A970" s="1">
        <v>46082</v>
      </c>
      <c r="B970" t="s">
        <v>279</v>
      </c>
      <c r="C970" t="s">
        <v>195</v>
      </c>
      <c r="D970" t="s">
        <v>196</v>
      </c>
      <c r="E970" t="s">
        <v>188</v>
      </c>
      <c r="F970" t="s">
        <v>23</v>
      </c>
      <c r="G970">
        <v>450</v>
      </c>
      <c r="H970">
        <v>513</v>
      </c>
      <c r="I970">
        <v>197</v>
      </c>
      <c r="J970">
        <v>766</v>
      </c>
      <c r="K970">
        <v>213</v>
      </c>
      <c r="L970" t="b">
        <v>0</v>
      </c>
      <c r="M970">
        <v>63.58</v>
      </c>
      <c r="N970">
        <v>48699.16</v>
      </c>
      <c r="O970" t="s">
        <v>47</v>
      </c>
    </row>
    <row r="971" spans="1:15">
      <c r="A971" s="1">
        <v>46082</v>
      </c>
      <c r="B971" t="s">
        <v>279</v>
      </c>
      <c r="C971" t="s">
        <v>253</v>
      </c>
      <c r="D971" t="s">
        <v>254</v>
      </c>
      <c r="E971" t="s">
        <v>188</v>
      </c>
      <c r="F971" t="s">
        <v>23</v>
      </c>
      <c r="G971">
        <v>125</v>
      </c>
      <c r="H971">
        <v>451</v>
      </c>
      <c r="I971">
        <v>142</v>
      </c>
      <c r="J971">
        <v>434</v>
      </c>
      <c r="K971">
        <v>171</v>
      </c>
      <c r="L971" t="b">
        <v>0</v>
      </c>
      <c r="M971">
        <v>327.5</v>
      </c>
      <c r="N971">
        <v>142132.95000000001</v>
      </c>
      <c r="O971" t="s">
        <v>60</v>
      </c>
    </row>
    <row r="972" spans="1:15">
      <c r="A972" s="1">
        <v>46082</v>
      </c>
      <c r="B972" t="s">
        <v>279</v>
      </c>
      <c r="C972" t="s">
        <v>197</v>
      </c>
      <c r="D972" t="s">
        <v>198</v>
      </c>
      <c r="E972" t="s">
        <v>188</v>
      </c>
      <c r="F972" t="s">
        <v>23</v>
      </c>
      <c r="G972">
        <v>72</v>
      </c>
      <c r="H972">
        <v>0</v>
      </c>
      <c r="I972">
        <v>44</v>
      </c>
      <c r="J972">
        <v>28</v>
      </c>
      <c r="K972">
        <v>55</v>
      </c>
      <c r="L972" t="b">
        <v>1</v>
      </c>
      <c r="M972">
        <v>116.76</v>
      </c>
      <c r="N972">
        <v>3269.29</v>
      </c>
      <c r="O972" t="s">
        <v>98</v>
      </c>
    </row>
    <row r="973" spans="1:15">
      <c r="A973" s="1">
        <v>46082</v>
      </c>
      <c r="B973" t="s">
        <v>279</v>
      </c>
      <c r="C973" t="s">
        <v>199</v>
      </c>
      <c r="D973" t="s">
        <v>200</v>
      </c>
      <c r="E973" t="s">
        <v>188</v>
      </c>
      <c r="F973" t="s">
        <v>23</v>
      </c>
      <c r="G973">
        <v>26</v>
      </c>
      <c r="H973">
        <v>365</v>
      </c>
      <c r="I973">
        <v>102</v>
      </c>
      <c r="J973">
        <v>289</v>
      </c>
      <c r="K973">
        <v>112</v>
      </c>
      <c r="L973" t="b">
        <v>0</v>
      </c>
      <c r="M973">
        <v>535.87</v>
      </c>
      <c r="N973">
        <v>154865.01999999999</v>
      </c>
      <c r="O973" t="s">
        <v>98</v>
      </c>
    </row>
    <row r="974" spans="1:15">
      <c r="A974" s="1">
        <v>46082</v>
      </c>
      <c r="B974" t="s">
        <v>279</v>
      </c>
      <c r="C974" t="s">
        <v>201</v>
      </c>
      <c r="D974" t="s">
        <v>202</v>
      </c>
      <c r="E974" t="s">
        <v>188</v>
      </c>
      <c r="F974" t="s">
        <v>23</v>
      </c>
      <c r="G974">
        <v>265</v>
      </c>
      <c r="H974">
        <v>0</v>
      </c>
      <c r="I974">
        <v>204</v>
      </c>
      <c r="J974">
        <v>61</v>
      </c>
      <c r="K974">
        <v>194</v>
      </c>
      <c r="L974" t="b">
        <v>1</v>
      </c>
      <c r="M974">
        <v>865.53</v>
      </c>
      <c r="N974">
        <v>52797.47</v>
      </c>
      <c r="O974" t="s">
        <v>47</v>
      </c>
    </row>
    <row r="975" spans="1:15">
      <c r="A975" s="1">
        <v>46082</v>
      </c>
      <c r="B975" t="s">
        <v>279</v>
      </c>
      <c r="C975" t="s">
        <v>203</v>
      </c>
      <c r="D975" t="s">
        <v>204</v>
      </c>
      <c r="E975" t="s">
        <v>188</v>
      </c>
      <c r="F975" t="s">
        <v>23</v>
      </c>
      <c r="G975">
        <v>272</v>
      </c>
      <c r="H975">
        <v>0</v>
      </c>
      <c r="I975">
        <v>95</v>
      </c>
      <c r="J975">
        <v>177</v>
      </c>
      <c r="K975">
        <v>192</v>
      </c>
      <c r="L975" t="b">
        <v>1</v>
      </c>
      <c r="M975">
        <v>4042.96</v>
      </c>
      <c r="N975">
        <v>715603.45</v>
      </c>
      <c r="O975" t="s">
        <v>47</v>
      </c>
    </row>
    <row r="976" spans="1:15">
      <c r="A976" s="1">
        <v>46082</v>
      </c>
      <c r="B976" t="s">
        <v>279</v>
      </c>
      <c r="C976" t="s">
        <v>205</v>
      </c>
      <c r="D976" t="s">
        <v>206</v>
      </c>
      <c r="E976" t="s">
        <v>188</v>
      </c>
      <c r="F976" t="s">
        <v>23</v>
      </c>
      <c r="G976">
        <v>122</v>
      </c>
      <c r="H976">
        <v>409</v>
      </c>
      <c r="I976">
        <v>123</v>
      </c>
      <c r="J976">
        <v>408</v>
      </c>
      <c r="K976">
        <v>245</v>
      </c>
      <c r="L976" t="b">
        <v>0</v>
      </c>
      <c r="M976">
        <v>94.34</v>
      </c>
      <c r="N976">
        <v>38488.800000000003</v>
      </c>
      <c r="O976" t="s">
        <v>98</v>
      </c>
    </row>
    <row r="977" spans="1:15">
      <c r="A977" s="1">
        <v>46082</v>
      </c>
      <c r="B977" t="s">
        <v>279</v>
      </c>
      <c r="C977" t="s">
        <v>255</v>
      </c>
      <c r="D977" t="s">
        <v>256</v>
      </c>
      <c r="E977" t="s">
        <v>188</v>
      </c>
      <c r="F977" t="s">
        <v>23</v>
      </c>
      <c r="G977">
        <v>135</v>
      </c>
      <c r="H977">
        <v>0</v>
      </c>
      <c r="I977">
        <v>128</v>
      </c>
      <c r="J977">
        <v>7</v>
      </c>
      <c r="K977">
        <v>111</v>
      </c>
      <c r="L977" t="b">
        <v>1</v>
      </c>
      <c r="M977">
        <v>389.87</v>
      </c>
      <c r="N977">
        <v>2729.08</v>
      </c>
      <c r="O977" t="s">
        <v>37</v>
      </c>
    </row>
    <row r="978" spans="1:15">
      <c r="A978" s="1">
        <v>46082</v>
      </c>
      <c r="B978" t="s">
        <v>279</v>
      </c>
      <c r="C978" t="s">
        <v>209</v>
      </c>
      <c r="D978" t="s">
        <v>210</v>
      </c>
      <c r="E978" t="s">
        <v>188</v>
      </c>
      <c r="F978" t="s">
        <v>23</v>
      </c>
      <c r="G978">
        <v>746</v>
      </c>
      <c r="H978">
        <v>470</v>
      </c>
      <c r="I978">
        <v>262</v>
      </c>
      <c r="J978">
        <v>954</v>
      </c>
      <c r="K978">
        <v>293</v>
      </c>
      <c r="L978" t="b">
        <v>0</v>
      </c>
      <c r="M978">
        <v>367.55</v>
      </c>
      <c r="N978">
        <v>350646.91</v>
      </c>
      <c r="O978" t="s">
        <v>37</v>
      </c>
    </row>
    <row r="979" spans="1:15">
      <c r="A979" s="1">
        <v>46082</v>
      </c>
      <c r="B979" t="s">
        <v>279</v>
      </c>
      <c r="C979" t="s">
        <v>266</v>
      </c>
      <c r="D979" t="s">
        <v>267</v>
      </c>
      <c r="E979" t="s">
        <v>188</v>
      </c>
      <c r="F979" t="s">
        <v>23</v>
      </c>
      <c r="G979">
        <v>162</v>
      </c>
      <c r="H979">
        <v>274</v>
      </c>
      <c r="I979">
        <v>97</v>
      </c>
      <c r="J979">
        <v>339</v>
      </c>
      <c r="K979">
        <v>141</v>
      </c>
      <c r="L979" t="b">
        <v>0</v>
      </c>
      <c r="M979">
        <v>102.05</v>
      </c>
      <c r="N979">
        <v>34594.550000000003</v>
      </c>
      <c r="O979" t="s">
        <v>24</v>
      </c>
    </row>
    <row r="980" spans="1:15">
      <c r="A980" s="1">
        <v>46082</v>
      </c>
      <c r="B980" t="s">
        <v>279</v>
      </c>
      <c r="C980" t="s">
        <v>211</v>
      </c>
      <c r="D980" t="s">
        <v>212</v>
      </c>
      <c r="E980" t="s">
        <v>188</v>
      </c>
      <c r="F980" t="s">
        <v>23</v>
      </c>
      <c r="G980">
        <v>23</v>
      </c>
      <c r="H980">
        <v>98</v>
      </c>
      <c r="I980">
        <v>51</v>
      </c>
      <c r="J980">
        <v>70</v>
      </c>
      <c r="K980">
        <v>43</v>
      </c>
      <c r="L980" t="b">
        <v>0</v>
      </c>
      <c r="M980">
        <v>432.1</v>
      </c>
      <c r="N980">
        <v>30247</v>
      </c>
      <c r="O980" t="s">
        <v>60</v>
      </c>
    </row>
    <row r="981" spans="1:15">
      <c r="A981" s="1">
        <v>46082</v>
      </c>
      <c r="B981" t="s">
        <v>279</v>
      </c>
      <c r="C981" t="s">
        <v>268</v>
      </c>
      <c r="D981" t="s">
        <v>269</v>
      </c>
      <c r="E981" t="s">
        <v>188</v>
      </c>
      <c r="F981" t="s">
        <v>23</v>
      </c>
      <c r="G981">
        <v>29</v>
      </c>
      <c r="H981">
        <v>90</v>
      </c>
      <c r="I981">
        <v>29</v>
      </c>
      <c r="J981">
        <v>90</v>
      </c>
      <c r="K981">
        <v>28</v>
      </c>
      <c r="L981" t="b">
        <v>0</v>
      </c>
      <c r="M981">
        <v>40.53</v>
      </c>
      <c r="N981">
        <v>3647.36</v>
      </c>
      <c r="O981" t="s">
        <v>47</v>
      </c>
    </row>
    <row r="982" spans="1:15">
      <c r="A982" s="1">
        <v>46082</v>
      </c>
      <c r="B982" t="s">
        <v>279</v>
      </c>
      <c r="C982" t="s">
        <v>270</v>
      </c>
      <c r="D982" t="s">
        <v>271</v>
      </c>
      <c r="E982" t="s">
        <v>188</v>
      </c>
      <c r="F982" t="s">
        <v>23</v>
      </c>
      <c r="G982">
        <v>40</v>
      </c>
      <c r="H982">
        <v>261</v>
      </c>
      <c r="I982">
        <v>85</v>
      </c>
      <c r="J982">
        <v>216</v>
      </c>
      <c r="K982">
        <v>105</v>
      </c>
      <c r="L982" t="b">
        <v>0</v>
      </c>
      <c r="M982">
        <v>176.28</v>
      </c>
      <c r="N982">
        <v>38076.81</v>
      </c>
      <c r="O982" t="s">
        <v>24</v>
      </c>
    </row>
    <row r="983" spans="1:15">
      <c r="A983" s="1">
        <v>46082</v>
      </c>
      <c r="B983" t="s">
        <v>279</v>
      </c>
      <c r="C983" t="s">
        <v>213</v>
      </c>
      <c r="D983" t="s">
        <v>214</v>
      </c>
      <c r="E983" t="s">
        <v>188</v>
      </c>
      <c r="F983" t="s">
        <v>23</v>
      </c>
      <c r="G983">
        <v>231</v>
      </c>
      <c r="H983">
        <v>564</v>
      </c>
      <c r="I983">
        <v>118</v>
      </c>
      <c r="J983">
        <v>677</v>
      </c>
      <c r="K983">
        <v>284</v>
      </c>
      <c r="L983" t="b">
        <v>0</v>
      </c>
      <c r="M983">
        <v>314.54000000000002</v>
      </c>
      <c r="N983">
        <v>212943.45</v>
      </c>
      <c r="O983" t="s">
        <v>44</v>
      </c>
    </row>
    <row r="984" spans="1:15">
      <c r="A984" s="1">
        <v>46082</v>
      </c>
      <c r="B984" t="s">
        <v>279</v>
      </c>
      <c r="C984" t="s">
        <v>215</v>
      </c>
      <c r="D984" t="s">
        <v>216</v>
      </c>
      <c r="E984" t="s">
        <v>188</v>
      </c>
      <c r="F984" t="s">
        <v>23</v>
      </c>
      <c r="G984">
        <v>399</v>
      </c>
      <c r="H984">
        <v>0</v>
      </c>
      <c r="I984">
        <v>279</v>
      </c>
      <c r="J984">
        <v>120</v>
      </c>
      <c r="K984">
        <v>286</v>
      </c>
      <c r="L984" t="b">
        <v>1</v>
      </c>
      <c r="M984">
        <v>1737.94</v>
      </c>
      <c r="N984">
        <v>208552.3</v>
      </c>
      <c r="O984" t="s">
        <v>27</v>
      </c>
    </row>
    <row r="985" spans="1:15">
      <c r="A985" s="1">
        <v>46082</v>
      </c>
      <c r="B985" t="s">
        <v>279</v>
      </c>
      <c r="C985" t="s">
        <v>217</v>
      </c>
      <c r="D985" t="s">
        <v>218</v>
      </c>
      <c r="E985" t="s">
        <v>219</v>
      </c>
      <c r="F985" t="s">
        <v>23</v>
      </c>
      <c r="G985">
        <v>772</v>
      </c>
      <c r="H985">
        <v>0</v>
      </c>
      <c r="I985">
        <v>167</v>
      </c>
      <c r="J985">
        <v>605</v>
      </c>
      <c r="K985">
        <v>171</v>
      </c>
      <c r="L985" t="b">
        <v>0</v>
      </c>
      <c r="M985">
        <v>17.13</v>
      </c>
      <c r="N985">
        <v>10362.84</v>
      </c>
      <c r="O985" t="s">
        <v>37</v>
      </c>
    </row>
    <row r="986" spans="1:15">
      <c r="A986" s="1">
        <v>46082</v>
      </c>
      <c r="B986" t="s">
        <v>279</v>
      </c>
      <c r="C986" t="s">
        <v>220</v>
      </c>
      <c r="D986" t="s">
        <v>221</v>
      </c>
      <c r="E986" t="s">
        <v>219</v>
      </c>
      <c r="F986" t="s">
        <v>23</v>
      </c>
      <c r="G986">
        <v>258</v>
      </c>
      <c r="H986">
        <v>550</v>
      </c>
      <c r="I986">
        <v>111</v>
      </c>
      <c r="J986">
        <v>697</v>
      </c>
      <c r="K986">
        <v>221</v>
      </c>
      <c r="L986" t="b">
        <v>0</v>
      </c>
      <c r="M986">
        <v>85.95</v>
      </c>
      <c r="N986">
        <v>59904.75</v>
      </c>
      <c r="O986" t="s">
        <v>60</v>
      </c>
    </row>
    <row r="987" spans="1:15">
      <c r="A987" s="1">
        <v>46082</v>
      </c>
      <c r="B987" t="s">
        <v>279</v>
      </c>
      <c r="C987" t="s">
        <v>222</v>
      </c>
      <c r="D987" t="s">
        <v>223</v>
      </c>
      <c r="E987" t="s">
        <v>219</v>
      </c>
      <c r="F987" t="s">
        <v>23</v>
      </c>
      <c r="G987">
        <v>295</v>
      </c>
      <c r="H987">
        <v>271</v>
      </c>
      <c r="I987">
        <v>79</v>
      </c>
      <c r="J987">
        <v>487</v>
      </c>
      <c r="K987">
        <v>138</v>
      </c>
      <c r="L987" t="b">
        <v>0</v>
      </c>
      <c r="M987">
        <v>41.47</v>
      </c>
      <c r="N987">
        <v>20195.830000000002</v>
      </c>
      <c r="O987" t="s">
        <v>37</v>
      </c>
    </row>
    <row r="988" spans="1:15">
      <c r="A988" s="1">
        <v>46082</v>
      </c>
      <c r="B988" t="s">
        <v>279</v>
      </c>
      <c r="C988" t="s">
        <v>224</v>
      </c>
      <c r="D988" t="s">
        <v>225</v>
      </c>
      <c r="E988" t="s">
        <v>219</v>
      </c>
      <c r="F988" t="s">
        <v>23</v>
      </c>
      <c r="G988">
        <v>214</v>
      </c>
      <c r="H988">
        <v>0</v>
      </c>
      <c r="I988">
        <v>128</v>
      </c>
      <c r="J988">
        <v>86</v>
      </c>
      <c r="K988">
        <v>133</v>
      </c>
      <c r="L988" t="b">
        <v>1</v>
      </c>
      <c r="M988">
        <v>178.99</v>
      </c>
      <c r="N988">
        <v>15393.37</v>
      </c>
      <c r="O988" t="s">
        <v>44</v>
      </c>
    </row>
    <row r="989" spans="1:15">
      <c r="A989" s="1">
        <v>46082</v>
      </c>
      <c r="B989" t="s">
        <v>279</v>
      </c>
      <c r="C989" t="s">
        <v>272</v>
      </c>
      <c r="D989" t="s">
        <v>273</v>
      </c>
      <c r="E989" t="s">
        <v>219</v>
      </c>
      <c r="F989" t="s">
        <v>23</v>
      </c>
      <c r="G989">
        <v>250</v>
      </c>
      <c r="H989">
        <v>0</v>
      </c>
      <c r="I989">
        <v>136</v>
      </c>
      <c r="J989">
        <v>114</v>
      </c>
      <c r="K989">
        <v>120</v>
      </c>
      <c r="L989" t="b">
        <v>1</v>
      </c>
      <c r="M989">
        <v>1721.55</v>
      </c>
      <c r="N989">
        <v>196256.15</v>
      </c>
      <c r="O989" t="s">
        <v>98</v>
      </c>
    </row>
    <row r="990" spans="1:15">
      <c r="A990" s="1">
        <v>46082</v>
      </c>
      <c r="B990" t="s">
        <v>279</v>
      </c>
      <c r="C990" t="s">
        <v>228</v>
      </c>
      <c r="D990" t="s">
        <v>229</v>
      </c>
      <c r="E990" t="s">
        <v>219</v>
      </c>
      <c r="F990" t="s">
        <v>23</v>
      </c>
      <c r="G990">
        <v>714</v>
      </c>
      <c r="H990">
        <v>0</v>
      </c>
      <c r="I990">
        <v>187</v>
      </c>
      <c r="J990">
        <v>527</v>
      </c>
      <c r="K990">
        <v>215</v>
      </c>
      <c r="L990" t="b">
        <v>0</v>
      </c>
      <c r="M990">
        <v>47.58</v>
      </c>
      <c r="N990">
        <v>25075.77</v>
      </c>
      <c r="O990" t="s">
        <v>44</v>
      </c>
    </row>
    <row r="991" spans="1:15">
      <c r="A991" s="1">
        <v>46082</v>
      </c>
      <c r="B991" t="s">
        <v>279</v>
      </c>
      <c r="C991" t="s">
        <v>230</v>
      </c>
      <c r="D991" t="s">
        <v>231</v>
      </c>
      <c r="E991" t="s">
        <v>219</v>
      </c>
      <c r="F991" t="s">
        <v>23</v>
      </c>
      <c r="G991">
        <v>186</v>
      </c>
      <c r="H991">
        <v>527</v>
      </c>
      <c r="I991">
        <v>137</v>
      </c>
      <c r="J991">
        <v>576</v>
      </c>
      <c r="K991">
        <v>216</v>
      </c>
      <c r="L991" t="b">
        <v>0</v>
      </c>
      <c r="M991">
        <v>215.86</v>
      </c>
      <c r="N991">
        <v>124334.22</v>
      </c>
      <c r="O991" t="s">
        <v>32</v>
      </c>
    </row>
    <row r="992" spans="1:15">
      <c r="A992" s="1">
        <v>46082</v>
      </c>
      <c r="B992" t="s">
        <v>279</v>
      </c>
      <c r="C992" t="s">
        <v>257</v>
      </c>
      <c r="D992" t="s">
        <v>258</v>
      </c>
      <c r="E992" t="s">
        <v>219</v>
      </c>
      <c r="F992" t="s">
        <v>23</v>
      </c>
      <c r="G992">
        <v>65</v>
      </c>
      <c r="H992">
        <v>305</v>
      </c>
      <c r="I992">
        <v>74</v>
      </c>
      <c r="J992">
        <v>296</v>
      </c>
      <c r="K992">
        <v>74</v>
      </c>
      <c r="L992" t="b">
        <v>0</v>
      </c>
      <c r="M992">
        <v>698.76</v>
      </c>
      <c r="N992">
        <v>206833.89</v>
      </c>
      <c r="O992" t="s">
        <v>47</v>
      </c>
    </row>
    <row r="993" spans="1:15">
      <c r="A993" s="1">
        <v>46082</v>
      </c>
      <c r="B993" t="s">
        <v>279</v>
      </c>
      <c r="C993" t="s">
        <v>259</v>
      </c>
      <c r="D993" t="s">
        <v>260</v>
      </c>
      <c r="E993" t="s">
        <v>219</v>
      </c>
      <c r="F993" t="s">
        <v>23</v>
      </c>
      <c r="G993">
        <v>48</v>
      </c>
      <c r="H993">
        <v>212</v>
      </c>
      <c r="I993">
        <v>105</v>
      </c>
      <c r="J993">
        <v>155</v>
      </c>
      <c r="K993">
        <v>97</v>
      </c>
      <c r="L993" t="b">
        <v>0</v>
      </c>
      <c r="M993">
        <v>555.27</v>
      </c>
      <c r="N993">
        <v>86067.59</v>
      </c>
      <c r="O993" t="s">
        <v>60</v>
      </c>
    </row>
    <row r="994" spans="1:15">
      <c r="A994" s="1">
        <v>46082</v>
      </c>
      <c r="B994" t="s">
        <v>279</v>
      </c>
      <c r="C994" t="s">
        <v>234</v>
      </c>
      <c r="D994" t="s">
        <v>235</v>
      </c>
      <c r="E994" t="s">
        <v>219</v>
      </c>
      <c r="F994" t="s">
        <v>23</v>
      </c>
      <c r="G994">
        <v>281</v>
      </c>
      <c r="H994">
        <v>0</v>
      </c>
      <c r="I994">
        <v>66</v>
      </c>
      <c r="J994">
        <v>215</v>
      </c>
      <c r="K994">
        <v>101</v>
      </c>
      <c r="L994" t="b">
        <v>0</v>
      </c>
      <c r="M994">
        <v>2413.5100000000002</v>
      </c>
      <c r="N994">
        <v>518905.59</v>
      </c>
      <c r="O994" t="s">
        <v>47</v>
      </c>
    </row>
    <row r="995" spans="1:15">
      <c r="A995" s="1">
        <v>46082</v>
      </c>
      <c r="B995" t="s">
        <v>279</v>
      </c>
      <c r="C995" t="s">
        <v>277</v>
      </c>
      <c r="D995" t="s">
        <v>278</v>
      </c>
      <c r="E995" t="s">
        <v>219</v>
      </c>
      <c r="F995" t="s">
        <v>23</v>
      </c>
      <c r="G995">
        <v>278</v>
      </c>
      <c r="H995">
        <v>0</v>
      </c>
      <c r="I995">
        <v>93</v>
      </c>
      <c r="J995">
        <v>185</v>
      </c>
      <c r="K995">
        <v>109</v>
      </c>
      <c r="L995" t="b">
        <v>0</v>
      </c>
      <c r="M995">
        <v>1274.8599999999999</v>
      </c>
      <c r="N995">
        <v>235849.49</v>
      </c>
      <c r="O995" t="s">
        <v>44</v>
      </c>
    </row>
    <row r="996" spans="1:15">
      <c r="A996" s="1">
        <v>46082</v>
      </c>
      <c r="B996" t="s">
        <v>279</v>
      </c>
      <c r="C996" t="s">
        <v>274</v>
      </c>
      <c r="D996" t="s">
        <v>275</v>
      </c>
      <c r="E996" t="s">
        <v>219</v>
      </c>
      <c r="F996" t="s">
        <v>23</v>
      </c>
      <c r="G996">
        <v>544</v>
      </c>
      <c r="H996">
        <v>0</v>
      </c>
      <c r="I996">
        <v>200</v>
      </c>
      <c r="J996">
        <v>344</v>
      </c>
      <c r="K996">
        <v>197</v>
      </c>
      <c r="L996" t="b">
        <v>0</v>
      </c>
      <c r="M996">
        <v>237.82</v>
      </c>
      <c r="N996">
        <v>81810.53</v>
      </c>
      <c r="O996" t="s">
        <v>60</v>
      </c>
    </row>
    <row r="997" spans="1:15">
      <c r="A997" s="1">
        <v>46082</v>
      </c>
      <c r="B997" t="s">
        <v>279</v>
      </c>
      <c r="C997" t="s">
        <v>236</v>
      </c>
      <c r="D997" t="s">
        <v>237</v>
      </c>
      <c r="E997" t="s">
        <v>219</v>
      </c>
      <c r="F997" t="s">
        <v>23</v>
      </c>
      <c r="G997">
        <v>443</v>
      </c>
      <c r="H997">
        <v>0</v>
      </c>
      <c r="I997">
        <v>98</v>
      </c>
      <c r="J997">
        <v>345</v>
      </c>
      <c r="K997">
        <v>84</v>
      </c>
      <c r="L997" t="b">
        <v>0</v>
      </c>
      <c r="M997">
        <v>955</v>
      </c>
      <c r="N997">
        <v>329474.45</v>
      </c>
      <c r="O997" t="s">
        <v>98</v>
      </c>
    </row>
    <row r="998" spans="1:15">
      <c r="A998" s="1">
        <v>46082</v>
      </c>
      <c r="B998" t="s">
        <v>279</v>
      </c>
      <c r="C998" t="s">
        <v>263</v>
      </c>
      <c r="D998" t="s">
        <v>264</v>
      </c>
      <c r="E998" t="s">
        <v>219</v>
      </c>
      <c r="F998" t="s">
        <v>23</v>
      </c>
      <c r="G998">
        <v>172</v>
      </c>
      <c r="H998">
        <v>0</v>
      </c>
      <c r="I998">
        <v>146</v>
      </c>
      <c r="J998">
        <v>26</v>
      </c>
      <c r="K998">
        <v>139</v>
      </c>
      <c r="L998" t="b">
        <v>1</v>
      </c>
      <c r="M998">
        <v>32.99</v>
      </c>
      <c r="N998">
        <v>857.74</v>
      </c>
      <c r="O998" t="s">
        <v>27</v>
      </c>
    </row>
    <row r="999" spans="1:15">
      <c r="A999" s="1">
        <v>46082</v>
      </c>
      <c r="B999" t="s">
        <v>279</v>
      </c>
      <c r="C999" t="s">
        <v>238</v>
      </c>
      <c r="D999" t="s">
        <v>239</v>
      </c>
      <c r="E999" t="s">
        <v>219</v>
      </c>
      <c r="F999" t="s">
        <v>23</v>
      </c>
      <c r="G999">
        <v>295</v>
      </c>
      <c r="H999">
        <v>0</v>
      </c>
      <c r="I999">
        <v>138</v>
      </c>
      <c r="J999">
        <v>157</v>
      </c>
      <c r="K999">
        <v>204</v>
      </c>
      <c r="L999" t="b">
        <v>1</v>
      </c>
      <c r="M999">
        <v>154.08000000000001</v>
      </c>
      <c r="N999">
        <v>24189.86</v>
      </c>
      <c r="O999" t="s">
        <v>32</v>
      </c>
    </row>
    <row r="1000" spans="1:15">
      <c r="A1000" s="1">
        <v>46082</v>
      </c>
      <c r="B1000" t="s">
        <v>279</v>
      </c>
      <c r="C1000" t="s">
        <v>240</v>
      </c>
      <c r="D1000" t="s">
        <v>241</v>
      </c>
      <c r="E1000" t="s">
        <v>219</v>
      </c>
      <c r="F1000" t="s">
        <v>23</v>
      </c>
      <c r="G1000">
        <v>212</v>
      </c>
      <c r="H1000">
        <v>0</v>
      </c>
      <c r="I1000">
        <v>94</v>
      </c>
      <c r="J1000">
        <v>118</v>
      </c>
      <c r="K1000">
        <v>130</v>
      </c>
      <c r="L1000" t="b">
        <v>1</v>
      </c>
      <c r="M1000">
        <v>58.94</v>
      </c>
      <c r="N1000">
        <v>6954.94</v>
      </c>
      <c r="O1000" t="s">
        <v>27</v>
      </c>
    </row>
    <row r="1001" spans="1:15">
      <c r="A1001" s="1">
        <v>46082</v>
      </c>
      <c r="B1001" t="s">
        <v>279</v>
      </c>
      <c r="C1001" t="s">
        <v>242</v>
      </c>
      <c r="D1001" t="s">
        <v>243</v>
      </c>
      <c r="E1001" t="s">
        <v>219</v>
      </c>
      <c r="F1001" t="s">
        <v>23</v>
      </c>
      <c r="G1001">
        <v>249</v>
      </c>
      <c r="H1001">
        <v>0</v>
      </c>
      <c r="I1001">
        <v>60</v>
      </c>
      <c r="J1001">
        <v>189</v>
      </c>
      <c r="K1001">
        <v>100</v>
      </c>
      <c r="L1001" t="b">
        <v>0</v>
      </c>
      <c r="M1001">
        <v>284.95</v>
      </c>
      <c r="N1001">
        <v>53854.86</v>
      </c>
      <c r="O1001" t="s">
        <v>60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226E6-0FB4-4C21-AA6B-3A362DEAD94A}">
  <dimension ref="A1:I45"/>
  <sheetViews>
    <sheetView showGridLines="0" showRowColHeaders="0" workbookViewId="0">
      <selection activeCell="L31" sqref="L31"/>
    </sheetView>
  </sheetViews>
  <sheetFormatPr defaultRowHeight="15"/>
  <cols>
    <col min="1" max="1" width="24.140625" customWidth="1"/>
    <col min="3" max="3" width="29.85546875" customWidth="1"/>
    <col min="5" max="5" width="24" customWidth="1"/>
    <col min="7" max="7" width="23.140625" customWidth="1"/>
    <col min="8" max="8" width="8.140625" customWidth="1"/>
    <col min="9" max="9" width="28" customWidth="1"/>
  </cols>
  <sheetData>
    <row r="1" spans="1:9" ht="26.25">
      <c r="A1" s="22" t="s">
        <v>293</v>
      </c>
      <c r="B1" s="22"/>
      <c r="C1" s="22"/>
      <c r="D1" s="22"/>
      <c r="E1" s="22"/>
      <c r="F1" s="22"/>
      <c r="G1" s="22"/>
      <c r="H1" s="22"/>
      <c r="I1" s="22"/>
    </row>
    <row r="3" spans="1:9" ht="15.75">
      <c r="A3" s="9" t="s">
        <v>283</v>
      </c>
      <c r="B3" s="10"/>
      <c r="C3" s="9" t="str">
        <f>analysis!A5</f>
        <v>TOTAL CLOSING STOCK UNITS</v>
      </c>
      <c r="D3" s="10"/>
      <c r="E3" s="9" t="str">
        <f>analysis!A6</f>
        <v>TOTAL UNITIS ISSUED</v>
      </c>
      <c r="F3" s="10"/>
      <c r="G3" s="9" t="str">
        <f>analysis!A7</f>
        <v>TOTAL UNITIS RECEIVED</v>
      </c>
      <c r="H3" s="10"/>
      <c r="I3" s="9" t="str">
        <f>analysis!A8</f>
        <v>TOTAL INVENTORY RECORDS</v>
      </c>
    </row>
    <row r="4" spans="1:9" ht="15.75">
      <c r="A4" s="11">
        <f>analysis!B4</f>
        <v>162186704.88000032</v>
      </c>
      <c r="B4" s="10"/>
      <c r="C4" s="12">
        <f>analysis!B5</f>
        <v>247837</v>
      </c>
      <c r="D4" s="10"/>
      <c r="E4" s="12">
        <f>analysis!B6</f>
        <v>118139</v>
      </c>
      <c r="F4" s="10"/>
      <c r="G4" s="12">
        <f>analysis!B7</f>
        <v>134661</v>
      </c>
      <c r="H4" s="10"/>
      <c r="I4" s="12">
        <f>analysis!B8</f>
        <v>1000</v>
      </c>
    </row>
    <row r="37" spans="1:9" ht="21">
      <c r="B37" s="18"/>
      <c r="C37" s="19"/>
      <c r="D37" s="19"/>
      <c r="E37" s="20"/>
      <c r="F37" s="16"/>
      <c r="G37" s="16"/>
      <c r="H37" s="16"/>
      <c r="I37" s="16"/>
    </row>
    <row r="38" spans="1:9" ht="15.75">
      <c r="B38" s="13"/>
      <c r="C38" s="14"/>
      <c r="D38" s="14"/>
      <c r="E38" s="13"/>
      <c r="F38" s="14"/>
      <c r="G38" s="14"/>
      <c r="H38" s="14"/>
      <c r="I38" s="14"/>
    </row>
    <row r="39" spans="1:9" ht="15.75">
      <c r="B39" s="13"/>
      <c r="C39" s="13"/>
      <c r="D39" s="14"/>
      <c r="E39" s="13"/>
      <c r="F39" s="14"/>
      <c r="G39" s="14"/>
      <c r="H39" s="14"/>
      <c r="I39" s="14"/>
    </row>
    <row r="40" spans="1:9" ht="18.75">
      <c r="A40" s="17"/>
      <c r="B40" s="13"/>
      <c r="C40" s="13"/>
      <c r="D40" s="14"/>
      <c r="E40" s="13"/>
      <c r="F40" s="14"/>
      <c r="G40" s="14"/>
      <c r="H40" s="14"/>
      <c r="I40" s="14"/>
    </row>
    <row r="41" spans="1:9" ht="15.75">
      <c r="B41" s="13"/>
      <c r="C41" s="13"/>
      <c r="D41" s="14"/>
      <c r="E41" s="21"/>
      <c r="F41" s="14"/>
      <c r="G41" s="14"/>
      <c r="H41" s="14"/>
      <c r="I41" s="14"/>
    </row>
    <row r="42" spans="1:9" ht="18.75">
      <c r="A42" s="15"/>
      <c r="B42" s="13"/>
      <c r="C42" s="13"/>
      <c r="D42" s="14"/>
      <c r="E42" s="13"/>
      <c r="F42" s="14"/>
      <c r="G42" s="14"/>
      <c r="H42" s="14"/>
      <c r="I42" s="14"/>
    </row>
    <row r="43" spans="1:9" ht="15.75">
      <c r="A43" s="13"/>
      <c r="B43" s="13"/>
      <c r="C43" s="13"/>
      <c r="D43" s="14"/>
      <c r="E43" s="21"/>
      <c r="F43" s="14"/>
      <c r="G43" s="14"/>
      <c r="H43" s="14"/>
      <c r="I43" s="14"/>
    </row>
    <row r="44" spans="1:9" ht="15.75">
      <c r="A44" s="13"/>
      <c r="B44" s="13"/>
      <c r="C44" s="13"/>
      <c r="D44" s="14"/>
      <c r="E44" s="13"/>
      <c r="F44" s="14"/>
      <c r="G44" s="14"/>
      <c r="H44" s="14"/>
      <c r="I44" s="14"/>
    </row>
    <row r="45" spans="1:9" ht="15.75">
      <c r="A45" s="13"/>
      <c r="B45" s="13"/>
      <c r="C45" s="13"/>
      <c r="D45" s="14"/>
      <c r="E45" s="21"/>
      <c r="F45" s="14"/>
      <c r="G45" s="14"/>
      <c r="H45" s="14"/>
      <c r="I45" s="14"/>
    </row>
  </sheetData>
  <mergeCells count="1">
    <mergeCell ref="A1:I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2026-10-24T06:09:56Z</dcterms:created>
  <dcterms:modified xsi:type="dcterms:W3CDTF">2026-10-28T10:47:37Z</dcterms:modified>
  <cp:category/>
  <cp:contentStatus/>
</cp:coreProperties>
</file>